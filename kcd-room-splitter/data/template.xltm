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Pricing WorkSheet\Live\"/>
    </mc:Choice>
  </mc:AlternateContent>
  <xr:revisionPtr revIDLastSave="0" documentId="8_{AB3EBA03-5048-45E3-88EE-4EF73B01BBB1}" xr6:coauthVersionLast="47" xr6:coauthVersionMax="47" xr10:uidLastSave="{00000000-0000-0000-0000-000000000000}"/>
  <bookViews>
    <workbookView xWindow="28680" yWindow="-120" windowWidth="29040" windowHeight="15720" tabRatio="826" xr2:uid="{00000000-000D-0000-FFFF-FFFF00000000}"/>
  </bookViews>
  <sheets>
    <sheet name="Data Entry" sheetId="5" r:id="rId1"/>
    <sheet name="Modify Here" sheetId="54" r:id="rId2"/>
    <sheet name="Final Price Sheet" sheetId="4" r:id="rId3"/>
    <sheet name="Job Cart Cover Sheet" sheetId="18" r:id="rId4"/>
    <sheet name="Purchase Order" sheetId="20" r:id="rId5"/>
    <sheet name="VJT Order" sheetId="52" r:id="rId6"/>
    <sheet name="CF5 Order" sheetId="50" r:id="rId7"/>
    <sheet name="CF Stone" sheetId="43" r:id="rId8"/>
    <sheet name="CF Thermo" sheetId="51" r:id="rId9"/>
    <sheet name="Doormark A1" sheetId="53" r:id="rId10"/>
    <sheet name="Doormark B1" sheetId="55" r:id="rId11"/>
    <sheet name="Ladder" sheetId="57" state="hidden" r:id="rId12"/>
    <sheet name="BCCD A1" sheetId="58" state="hidden" r:id="rId13"/>
    <sheet name="Holes" sheetId="44" r:id="rId14"/>
    <sheet name="W.W. Template" sheetId="46" r:id="rId15"/>
    <sheet name="Data Conversions" sheetId="42" r:id="rId16"/>
    <sheet name="Import" sheetId="48" state="hidden" r:id="rId17"/>
    <sheet name="Work Required Grid" sheetId="7" state="hidden" r:id="rId18"/>
  </sheets>
  <functionGroups builtInGroupCount="19"/>
  <externalReferences>
    <externalReference r:id="rId19"/>
    <externalReference r:id="rId20"/>
  </externalReferences>
  <definedNames>
    <definedName name="__IntlFixup" hidden="1">TRUE</definedName>
    <definedName name="__IntlFixupTable" localSheetId="12" hidden="1">#REF!</definedName>
    <definedName name="__IntlFixupTable" localSheetId="8" hidden="1">#REF!</definedName>
    <definedName name="__IntlFixupTable" localSheetId="6" hidden="1">#REF!</definedName>
    <definedName name="__IntlFixupTable" localSheetId="9" hidden="1">#REF!</definedName>
    <definedName name="__IntlFixupTable" localSheetId="10" hidden="1">#REF!</definedName>
    <definedName name="__IntlFixupTable" localSheetId="13" hidden="1">#REF!</definedName>
    <definedName name="__IntlFixupTable" localSheetId="5" hidden="1">#REF!</definedName>
    <definedName name="__IntlFixupTable" hidden="1">#REF!</definedName>
    <definedName name="_Order1" hidden="1">0</definedName>
    <definedName name="AA.Report.Files" localSheetId="12" hidden="1">#REF!</definedName>
    <definedName name="AA.Report.Files" localSheetId="9" hidden="1">#REF!</definedName>
    <definedName name="AA.Report.Files" localSheetId="10" hidden="1">#REF!</definedName>
    <definedName name="AA.Report.Files" localSheetId="13" hidden="1">#REF!</definedName>
    <definedName name="AA.Report.Files" localSheetId="5" hidden="1">#REF!</definedName>
    <definedName name="AA.Report.Files" hidden="1">#REF!</definedName>
    <definedName name="AA.Reports.Available" localSheetId="12" hidden="1">#REF!</definedName>
    <definedName name="AA.Reports.Available" localSheetId="9" hidden="1">#REF!</definedName>
    <definedName name="AA.Reports.Available" localSheetId="10" hidden="1">#REF!</definedName>
    <definedName name="AA.Reports.Available" localSheetId="13" hidden="1">#REF!</definedName>
    <definedName name="AA.Reports.Available" hidden="1">#REF!</definedName>
    <definedName name="CFThermoStyle" localSheetId="12">INDEX('[1]Data Conversions'!$M$1:$M$20, MATCH('[2]CF Thermo'!$B$102,'[1]Data Conversions'!$L$1:$L$20,0))</definedName>
    <definedName name="CFThermoStyle" localSheetId="8">INDEX('Data Conversions'!$M$1:$M$20, MATCH('CF Thermo'!$B$2,'Data Conversions'!$L$1:$L$20,0))</definedName>
    <definedName name="CFThermoStyle" localSheetId="6">INDEX('Data Conversions'!$M$1:$M$20, MATCH(#REF!,'Data Conversions'!$L$1:$L$20,0))</definedName>
    <definedName name="CFThermoStyle" localSheetId="9">INDEX('[1]Data Conversions'!$M$1:$M$20, MATCH('[2]CF Thermo'!$B$102,'[1]Data Conversions'!$L$1:$L$20,0))</definedName>
    <definedName name="CFThermoStyle" localSheetId="10">INDEX('[1]Data Conversions'!$M$1:$M$20, MATCH('[2]CF Thermo'!$B$102,'[1]Data Conversions'!$L$1:$L$20,0))</definedName>
    <definedName name="CFThermoStyle" localSheetId="5">INDEX('Data Conversions'!$M$1:$M$20, MATCH(#REF!,'Data Conversions'!$L$1:$L$20,0))</definedName>
    <definedName name="CFThermoStyle">INDEX('Data Conversions'!$M$1:$M$20, MATCH(#REF!,'Data Conversions'!$L$1:$L$20,0))</definedName>
    <definedName name="Cubbie_Material" localSheetId="12">#REF!</definedName>
    <definedName name="Cubbie_Material" localSheetId="9">#REF!</definedName>
    <definedName name="Cubbie_Material" localSheetId="10">#REF!</definedName>
    <definedName name="Cubbie_Material" localSheetId="13">#REF!</definedName>
    <definedName name="Cubbie_Material" localSheetId="5">#REF!</definedName>
    <definedName name="Cubbie_Material" localSheetId="17">#REF!</definedName>
    <definedName name="Cubbie_Material">#REF!</definedName>
    <definedName name="Data.Dump" localSheetId="12" hidden="1">OFFSET([0]!Data.Top.Left,1,0)</definedName>
    <definedName name="Data.Dump" localSheetId="8" hidden="1">OFFSET([0]!Data.Top.Left,1,0)</definedName>
    <definedName name="Data.Dump" localSheetId="6" hidden="1">OFFSET([0]!Data.Top.Left,1,0)</definedName>
    <definedName name="Data.Dump" localSheetId="9" hidden="1">OFFSET([0]!Data.Top.Left,1,0)</definedName>
    <definedName name="Data.Dump" localSheetId="10" hidden="1">OFFSET([0]!Data.Top.Left,1,0)</definedName>
    <definedName name="Data.Dump" localSheetId="13" hidden="1">OFFSET([0]!Data.Top.Left,1,0)</definedName>
    <definedName name="Data.Dump" localSheetId="11" hidden="1">OFFSET([0]!Data.Top.Left,1,0)</definedName>
    <definedName name="Data.Dump" localSheetId="1" hidden="1">OFFSET([0]!Data.Top.Left,1,0)</definedName>
    <definedName name="Data.Dump" localSheetId="5" hidden="1">OFFSET([0]!Data.Top.Left,1,0)</definedName>
    <definedName name="Data.Dump" hidden="1">OFFSET([0]!Data.Top.Left,1,0)</definedName>
    <definedName name="DATA.DUMP2" localSheetId="12" hidden="1">OFFSET([0]!Data.Top.Left,1,0)</definedName>
    <definedName name="DATA.DUMP2" localSheetId="8" hidden="1">OFFSET([0]!Data.Top.Left,1,0)</definedName>
    <definedName name="DATA.DUMP2" localSheetId="6" hidden="1">OFFSET([0]!Data.Top.Left,1,0)</definedName>
    <definedName name="DATA.DUMP2" localSheetId="9" hidden="1">OFFSET([0]!Data.Top.Left,1,0)</definedName>
    <definedName name="DATA.DUMP2" localSheetId="10" hidden="1">OFFSET([0]!Data.Top.Left,1,0)</definedName>
    <definedName name="DATA.DUMP2" localSheetId="11" hidden="1">OFFSET([0]!Data.Top.Left,1,0)</definedName>
    <definedName name="DATA.DUMP2" localSheetId="1" hidden="1">OFFSET([0]!Data.Top.Left,1,0)</definedName>
    <definedName name="DATA.DUMP2" localSheetId="5" hidden="1">OFFSET([0]!Data.Top.Left,1,0)</definedName>
    <definedName name="DATA.DUMP2" hidden="1">OFFSET([0]!Data.Top.Left,1,0)</definedName>
    <definedName name="DATA.DUMP3" localSheetId="12" hidden="1">OFFSET([0]!Data.Top.Left,1,0)</definedName>
    <definedName name="DATA.DUMP3" localSheetId="8" hidden="1">OFFSET([0]!Data.Top.Left,1,0)</definedName>
    <definedName name="DATA.DUMP3" localSheetId="6" hidden="1">OFFSET([0]!Data.Top.Left,1,0)</definedName>
    <definedName name="DATA.DUMP3" localSheetId="9" hidden="1">OFFSET([0]!Data.Top.Left,1,0)</definedName>
    <definedName name="DATA.DUMP3" localSheetId="10" hidden="1">OFFSET([0]!Data.Top.Left,1,0)</definedName>
    <definedName name="DATA.DUMP3" localSheetId="11" hidden="1">OFFSET([0]!Data.Top.Left,1,0)</definedName>
    <definedName name="DATA.DUMP3" localSheetId="1" hidden="1">OFFSET([0]!Data.Top.Left,1,0)</definedName>
    <definedName name="DATA.DUMP3" localSheetId="5" hidden="1">OFFSET([0]!Data.Top.Left,1,0)</definedName>
    <definedName name="DATA.DUMP3" hidden="1">OFFSET([0]!Data.Top.Left,1,0)</definedName>
    <definedName name="Database.File" localSheetId="12" hidden="1">#REF!</definedName>
    <definedName name="Database.File" localSheetId="9" hidden="1">#REF!</definedName>
    <definedName name="Database.File" localSheetId="10" hidden="1">#REF!</definedName>
    <definedName name="Database.File" localSheetId="13" hidden="1">#REF!</definedName>
    <definedName name="Database.File" hidden="1">#REF!</definedName>
    <definedName name="File.Type" localSheetId="12" hidden="1">#REF!</definedName>
    <definedName name="File.Type" localSheetId="9" hidden="1">#REF!</definedName>
    <definedName name="File.Type" localSheetId="10" hidden="1">#REF!</definedName>
    <definedName name="File.Type" localSheetId="13" hidden="1">#REF!</definedName>
    <definedName name="File.Type" hidden="1">#REF!</definedName>
    <definedName name="GraniteOptions">'Data Conversions'!$Y$61:$Y$63</definedName>
    <definedName name="HTML_CodePage" hidden="1">1252</definedName>
    <definedName name="HTML_Control" localSheetId="12" hidden="1">{"'Leverage'!$B$2:$M$418"}</definedName>
    <definedName name="HTML_Control" localSheetId="8" hidden="1">{"'Leverage'!$B$2:$M$418"}</definedName>
    <definedName name="HTML_Control" localSheetId="6" hidden="1">{"'Leverage'!$B$2:$M$418"}</definedName>
    <definedName name="HTML_Control" localSheetId="9" hidden="1">{"'Leverage'!$B$2:$M$418"}</definedName>
    <definedName name="HTML_Control" localSheetId="10" hidden="1">{"'Leverage'!$B$2:$M$418"}</definedName>
    <definedName name="HTML_Control" localSheetId="13" hidden="1">{"'Leverage'!$B$2:$M$418"}</definedName>
    <definedName name="HTML_Control" localSheetId="5" hidden="1">{"'Leverage'!$B$2:$M$418"}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JB" localSheetId="12" hidden="1">{#N/A,#N/A,FALSE,"Job Cart Cover Sheet"}</definedName>
    <definedName name="JB" localSheetId="8" hidden="1">{#N/A,#N/A,FALSE,"Job Cart Cover Sheet"}</definedName>
    <definedName name="JB" localSheetId="6" hidden="1">{#N/A,#N/A,FALSE,"Job Cart Cover Sheet"}</definedName>
    <definedName name="JB" localSheetId="9" hidden="1">{#N/A,#N/A,FALSE,"Job Cart Cover Sheet"}</definedName>
    <definedName name="JB" localSheetId="10" hidden="1">{#N/A,#N/A,FALSE,"Job Cart Cover Sheet"}</definedName>
    <definedName name="JB" localSheetId="13" hidden="1">{#N/A,#N/A,FALSE,"Job Cart Cover Sheet"}</definedName>
    <definedName name="JB" localSheetId="1" hidden="1">{#N/A,#N/A,FALSE,"Job Cart Cover Sheet"}</definedName>
    <definedName name="JB" localSheetId="5" hidden="1">{#N/A,#N/A,FALSE,"Job Cart Cover Sheet"}</definedName>
    <definedName name="JB" hidden="1">{#N/A,#N/A,FALSE,"Job Cart Cover Sheet"}</definedName>
    <definedName name="jbbf" localSheetId="12" hidden="1">{#N/A,#N/A,FALSE,"Job Cart Cover Sheet"}</definedName>
    <definedName name="jbbf" localSheetId="8" hidden="1">{#N/A,#N/A,FALSE,"Job Cart Cover Sheet"}</definedName>
    <definedName name="jbbf" localSheetId="6" hidden="1">{#N/A,#N/A,FALSE,"Job Cart Cover Sheet"}</definedName>
    <definedName name="jbbf" localSheetId="9" hidden="1">{#N/A,#N/A,FALSE,"Job Cart Cover Sheet"}</definedName>
    <definedName name="jbbf" localSheetId="10" hidden="1">{#N/A,#N/A,FALSE,"Job Cart Cover Sheet"}</definedName>
    <definedName name="jbbf" localSheetId="13" hidden="1">{#N/A,#N/A,FALSE,"Job Cart Cover Sheet"}</definedName>
    <definedName name="jbbf" localSheetId="1" hidden="1">{#N/A,#N/A,FALSE,"Job Cart Cover Sheet"}</definedName>
    <definedName name="jbbf" localSheetId="5" hidden="1">{#N/A,#N/A,FALSE,"Job Cart Cover Sheet"}</definedName>
    <definedName name="jbbf" hidden="1">{#N/A,#N/A,FALSE,"Job Cart Cover Sheet"}</definedName>
    <definedName name="Macro1" localSheetId="12">'BCCD A1'!Macro1</definedName>
    <definedName name="Macro1" localSheetId="8">'CF Thermo'!Macro1</definedName>
    <definedName name="Macro1" localSheetId="6">'CF5 Order'!Macro1</definedName>
    <definedName name="Macro1" localSheetId="9">'Doormark A1'!Macro1</definedName>
    <definedName name="Macro1" localSheetId="10">'Doormark B1'!Macro1</definedName>
    <definedName name="Macro1" localSheetId="13">Holes!Macro1</definedName>
    <definedName name="Macro1" localSheetId="5">'VJT Order'!Macro1</definedName>
    <definedName name="Macro1">[0]!Macro1</definedName>
    <definedName name="Macro2" localSheetId="12">'BCCD A1'!Macro2</definedName>
    <definedName name="Macro2" localSheetId="8">'CF Thermo'!Macro2</definedName>
    <definedName name="Macro2" localSheetId="6">'CF5 Order'!Macro2</definedName>
    <definedName name="Macro2" localSheetId="9">'Doormark A1'!Macro2</definedName>
    <definedName name="Macro2" localSheetId="10">'Doormark B1'!Macro2</definedName>
    <definedName name="Macro2" localSheetId="13">Holes!Macro2</definedName>
    <definedName name="Macro2" localSheetId="5">'VJT Order'!Macro2</definedName>
    <definedName name="Macro2">[0]!Macro2</definedName>
    <definedName name="MarbleOptions">'Data Conversions'!$Z$61:$Z$63</definedName>
    <definedName name="Materials" localSheetId="12">#REF!</definedName>
    <definedName name="Materials" localSheetId="9">#REF!</definedName>
    <definedName name="Materials" localSheetId="10">#REF!</definedName>
    <definedName name="Materials" localSheetId="13">#REF!</definedName>
    <definedName name="Materials" localSheetId="5">#REF!</definedName>
    <definedName name="Materials" localSheetId="17">#REF!</definedName>
    <definedName name="Materials">#REF!</definedName>
    <definedName name="Ownership" localSheetId="12" hidden="1">OFFSET([0]!Data.Top.Left,1,0)</definedName>
    <definedName name="Ownership" localSheetId="8" hidden="1">OFFSET([0]!Data.Top.Left,1,0)</definedName>
    <definedName name="Ownership" localSheetId="6" hidden="1">OFFSET([0]!Data.Top.Left,1,0)</definedName>
    <definedName name="Ownership" localSheetId="9" hidden="1">OFFSET([0]!Data.Top.Left,1,0)</definedName>
    <definedName name="Ownership" localSheetId="10" hidden="1">OFFSET([0]!Data.Top.Left,1,0)</definedName>
    <definedName name="Ownership" localSheetId="13" hidden="1">OFFSET([0]!Data.Top.Left,1,0)</definedName>
    <definedName name="Ownership" localSheetId="11" hidden="1">OFFSET([0]!Data.Top.Left,1,0)</definedName>
    <definedName name="Ownership" localSheetId="1" hidden="1">OFFSET([0]!Data.Top.Left,1,0)</definedName>
    <definedName name="Ownership" localSheetId="5" hidden="1">OFFSET([0]!Data.Top.Left,1,0)</definedName>
    <definedName name="Ownership" hidden="1">OFFSET([0]!Data.Top.Left,1,0)</definedName>
    <definedName name="_xlnm.Print_Area" localSheetId="7">'CF Stone'!$A$1:$I$36</definedName>
    <definedName name="_xlnm.Print_Area" localSheetId="8">'CF Thermo'!$A$1:$R$58</definedName>
    <definedName name="_xlnm.Print_Area" localSheetId="6">'CF5 Order'!$G$1:$O$51</definedName>
    <definedName name="_xlnm.Print_Area" localSheetId="2">'Final Price Sheet'!$A$1:$K$68</definedName>
    <definedName name="_xlnm.Print_Area" localSheetId="3">'Job Cart Cover Sheet'!$A$1:$O$28,'Job Cart Cover Sheet'!$X$1:$AP$28</definedName>
    <definedName name="_xlnm.Print_Area" localSheetId="11">Ladder!$B$1:$K$67</definedName>
    <definedName name="_xlnm.Print_Area" localSheetId="4">'Purchase Order'!$B$1:$K$63</definedName>
    <definedName name="_xlnm.Print_Area" localSheetId="5">'VJT Order'!$B$1:$J$50</definedName>
    <definedName name="QuartzOptions">'Data Conversions'!$X$61:$X$72</definedName>
    <definedName name="RodFinish">'Data Conversions'!$J$1:$J$6</definedName>
    <definedName name="RodLength">'Data Conversions'!$K$1:$K$4</definedName>
    <definedName name="S" localSheetId="12" hidden="1">{#N/A,#N/A,FALSE,"Rafix Locator"}</definedName>
    <definedName name="S" localSheetId="8" hidden="1">{#N/A,#N/A,FALSE,"Rafix Locator"}</definedName>
    <definedName name="S" localSheetId="6" hidden="1">{#N/A,#N/A,FALSE,"Rafix Locator"}</definedName>
    <definedName name="S" localSheetId="9" hidden="1">{#N/A,#N/A,FALSE,"Rafix Locator"}</definedName>
    <definedName name="S" localSheetId="10" hidden="1">{#N/A,#N/A,FALSE,"Rafix Locator"}</definedName>
    <definedName name="S" localSheetId="13" hidden="1">{#N/A,#N/A,FALSE,"Rafix Locator"}</definedName>
    <definedName name="S" localSheetId="1" hidden="1">{#N/A,#N/A,FALSE,"Rafix Locator"}</definedName>
    <definedName name="S" localSheetId="5" hidden="1">{#N/A,#N/A,FALSE,"Rafix Locator"}</definedName>
    <definedName name="S" hidden="1">{#N/A,#N/A,FALSE,"Rafix Locator"}</definedName>
    <definedName name="Show.Acct.Update.Warning" localSheetId="12" hidden="1">#REF!</definedName>
    <definedName name="Show.Acct.Update.Warning" localSheetId="9" hidden="1">#REF!</definedName>
    <definedName name="Show.Acct.Update.Warning" localSheetId="10" hidden="1">#REF!</definedName>
    <definedName name="Show.Acct.Update.Warning" localSheetId="13" hidden="1">#REF!</definedName>
    <definedName name="Show.Acct.Update.Warning" hidden="1">#REF!</definedName>
    <definedName name="Show.MDB.Update.Warning" localSheetId="12" hidden="1">#REF!</definedName>
    <definedName name="Show.MDB.Update.Warning" localSheetId="9" hidden="1">#REF!</definedName>
    <definedName name="Show.MDB.Update.Warning" localSheetId="10" hidden="1">#REF!</definedName>
    <definedName name="Show.MDB.Update.Warning" localSheetId="13" hidden="1">#REF!</definedName>
    <definedName name="Show.MDB.Update.Warning" hidden="1">#REF!</definedName>
    <definedName name="wrn.Cutlist._.Only." localSheetId="12" hidden="1">{#N/A,#N/A,FALSE,"Cut List"}</definedName>
    <definedName name="wrn.Cutlist._.Only." localSheetId="8" hidden="1">{#N/A,#N/A,FALSE,"Cut List"}</definedName>
    <definedName name="wrn.Cutlist._.Only." localSheetId="6" hidden="1">{#N/A,#N/A,FALSE,"Cut List"}</definedName>
    <definedName name="wrn.Cutlist._.Only." localSheetId="9" hidden="1">{#N/A,#N/A,FALSE,"Cut List"}</definedName>
    <definedName name="wrn.Cutlist._.Only." localSheetId="10" hidden="1">{#N/A,#N/A,FALSE,"Cut List"}</definedName>
    <definedName name="wrn.Cutlist._.Only." localSheetId="13" hidden="1">{#N/A,#N/A,FALSE,"Cut List"}</definedName>
    <definedName name="wrn.Cutlist._.Only." localSheetId="3" hidden="1">{#N/A,#N/A,FALSE,"Cut List"}</definedName>
    <definedName name="wrn.Cutlist._.Only." localSheetId="1" hidden="1">{#N/A,#N/A,FALSE,"Cut List"}</definedName>
    <definedName name="wrn.Cutlist._.Only." localSheetId="5" hidden="1">{#N/A,#N/A,FALSE,"Cut List"}</definedName>
    <definedName name="wrn.Cutlist._.Only." localSheetId="17" hidden="1">{#N/A,#N/A,FALSE,"Cut List"}</definedName>
    <definedName name="wrn.Cutlist._.Only." hidden="1">{#N/A,#N/A,FALSE,"Cut List"}</definedName>
    <definedName name="wrn.Cutlist._.with._.Cover." localSheetId="12" hidden="1">{#N/A,#N/A,FALSE,"Job Cart Cover Sheet";#N/A,#N/A,FALSE,"Cut List"}</definedName>
    <definedName name="wrn.Cutlist._.with._.Cover." localSheetId="8" hidden="1">{#N/A,#N/A,FALSE,"Job Cart Cover Sheet";#N/A,#N/A,FALSE,"Cut List"}</definedName>
    <definedName name="wrn.Cutlist._.with._.Cover." localSheetId="6" hidden="1">{#N/A,#N/A,FALSE,"Job Cart Cover Sheet";#N/A,#N/A,FALSE,"Cut List"}</definedName>
    <definedName name="wrn.Cutlist._.with._.Cover." localSheetId="9" hidden="1">{#N/A,#N/A,FALSE,"Job Cart Cover Sheet";#N/A,#N/A,FALSE,"Cut List"}</definedName>
    <definedName name="wrn.Cutlist._.with._.Cover." localSheetId="10" hidden="1">{#N/A,#N/A,FALSE,"Job Cart Cover Sheet";#N/A,#N/A,FALSE,"Cut List"}</definedName>
    <definedName name="wrn.Cutlist._.with._.Cover." localSheetId="13" hidden="1">{#N/A,#N/A,FALSE,"Job Cart Cover Sheet";#N/A,#N/A,FALSE,"Cut List"}</definedName>
    <definedName name="wrn.Cutlist._.with._.Cover." localSheetId="3" hidden="1">{#N/A,#N/A,FALSE,"Job Cart Cover Sheet";#N/A,#N/A,FALSE,"Cut List"}</definedName>
    <definedName name="wrn.Cutlist._.with._.Cover." localSheetId="1" hidden="1">{#N/A,#N/A,FALSE,"Job Cart Cover Sheet";#N/A,#N/A,FALSE,"Cut List"}</definedName>
    <definedName name="wrn.Cutlist._.with._.Cover." localSheetId="5" hidden="1">{#N/A,#N/A,FALSE,"Job Cart Cover Sheet";#N/A,#N/A,FALSE,"Cut List"}</definedName>
    <definedName name="wrn.Cutlist._.with._.Cover." localSheetId="17" hidden="1">{#N/A,#N/A,FALSE,"Job Cart Cover Sheet";#N/A,#N/A,FALSE,"Cut List"}</definedName>
    <definedName name="wrn.Cutlist._.with._.Cover." hidden="1">{#N/A,#N/A,FALSE,"Job Cart Cover Sheet";#N/A,#N/A,FALSE,"Cut List"}</definedName>
    <definedName name="wrn.Designer._.Pricing." localSheetId="12" hidden="1">{#N/A,#N/A,FALSE,"Standard Pricing Calculations"}</definedName>
    <definedName name="wrn.Designer._.Pricing." localSheetId="8" hidden="1">{#N/A,#N/A,FALSE,"Standard Pricing Calculations"}</definedName>
    <definedName name="wrn.Designer._.Pricing." localSheetId="6" hidden="1">{#N/A,#N/A,FALSE,"Standard Pricing Calculations"}</definedName>
    <definedName name="wrn.Designer._.Pricing." localSheetId="9" hidden="1">{#N/A,#N/A,FALSE,"Standard Pricing Calculations"}</definedName>
    <definedName name="wrn.Designer._.Pricing." localSheetId="10" hidden="1">{#N/A,#N/A,FALSE,"Standard Pricing Calculations"}</definedName>
    <definedName name="wrn.Designer._.Pricing." localSheetId="13" hidden="1">{#N/A,#N/A,FALSE,"Standard Pricing Calculations"}</definedName>
    <definedName name="wrn.Designer._.Pricing." localSheetId="3" hidden="1">{#N/A,#N/A,FALSE,"Standard Pricing Calculations"}</definedName>
    <definedName name="wrn.Designer._.Pricing." localSheetId="1" hidden="1">{#N/A,#N/A,FALSE,"Standard Pricing Calculations"}</definedName>
    <definedName name="wrn.Designer._.Pricing." localSheetId="5" hidden="1">{#N/A,#N/A,FALSE,"Standard Pricing Calculations"}</definedName>
    <definedName name="wrn.Designer._.Pricing." localSheetId="17" hidden="1">{#N/A,#N/A,FALSE,"Standard Pricing Calculations"}</definedName>
    <definedName name="wrn.Designer._.Pricing." hidden="1">{#N/A,#N/A,FALSE,"Standard Pricing Calculations"}</definedName>
    <definedName name="wrn.Hinge._.Locator." localSheetId="12" hidden="1">{#N/A,#N/A,FALSE,"Door Hinge Locator"}</definedName>
    <definedName name="wrn.Hinge._.Locator." localSheetId="8" hidden="1">{#N/A,#N/A,FALSE,"Door Hinge Locator"}</definedName>
    <definedName name="wrn.Hinge._.Locator." localSheetId="6" hidden="1">{#N/A,#N/A,FALSE,"Door Hinge Locator"}</definedName>
    <definedName name="wrn.Hinge._.Locator." localSheetId="9" hidden="1">{#N/A,#N/A,FALSE,"Door Hinge Locator"}</definedName>
    <definedName name="wrn.Hinge._.Locator." localSheetId="10" hidden="1">{#N/A,#N/A,FALSE,"Door Hinge Locator"}</definedName>
    <definedName name="wrn.Hinge._.Locator." localSheetId="13" hidden="1">{#N/A,#N/A,FALSE,"Door Hinge Locator"}</definedName>
    <definedName name="wrn.Hinge._.Locator." localSheetId="3" hidden="1">{#N/A,#N/A,FALSE,"Door Hinge Locator"}</definedName>
    <definedName name="wrn.Hinge._.Locator." localSheetId="1" hidden="1">{#N/A,#N/A,FALSE,"Door Hinge Locator"}</definedName>
    <definedName name="wrn.Hinge._.Locator." localSheetId="5" hidden="1">{#N/A,#N/A,FALSE,"Door Hinge Locator"}</definedName>
    <definedName name="wrn.Hinge._.Locator." localSheetId="17" hidden="1">{#N/A,#N/A,FALSE,"Door Hinge Locator"}</definedName>
    <definedName name="wrn.Hinge._.Locator." hidden="1">{#N/A,#N/A,FALSE,"Door Hinge Locator"}</definedName>
    <definedName name="wrn.Job._.Cart._.Cover._.Sheet." localSheetId="12" hidden="1">{#N/A,#N/A,FALSE,"Job Cart Cover Sheet"}</definedName>
    <definedName name="wrn.Job._.Cart._.Cover._.Sheet." localSheetId="8" hidden="1">{#N/A,#N/A,FALSE,"Job Cart Cover Sheet"}</definedName>
    <definedName name="wrn.Job._.Cart._.Cover._.Sheet." localSheetId="6" hidden="1">{#N/A,#N/A,FALSE,"Job Cart Cover Sheet"}</definedName>
    <definedName name="wrn.Job._.Cart._.Cover._.Sheet." localSheetId="9" hidden="1">{#N/A,#N/A,FALSE,"Job Cart Cover Sheet"}</definedName>
    <definedName name="wrn.Job._.Cart._.Cover._.Sheet." localSheetId="10" hidden="1">{#N/A,#N/A,FALSE,"Job Cart Cover Sheet"}</definedName>
    <definedName name="wrn.Job._.Cart._.Cover._.Sheet." localSheetId="13" hidden="1">{#N/A,#N/A,FALSE,"Job Cart Cover Sheet"}</definedName>
    <definedName name="wrn.Job._.Cart._.Cover._.Sheet." localSheetId="3" hidden="1">{#N/A,#N/A,FALSE,"Job Cart Cover Sheet"}</definedName>
    <definedName name="wrn.Job._.Cart._.Cover._.Sheet." localSheetId="1" hidden="1">{#N/A,#N/A,FALSE,"Job Cart Cover Sheet"}</definedName>
    <definedName name="wrn.Job._.Cart._.Cover._.Sheet." localSheetId="5" hidden="1">{#N/A,#N/A,FALSE,"Job Cart Cover Sheet"}</definedName>
    <definedName name="wrn.Job._.Cart._.Cover._.Sheet." localSheetId="17" hidden="1">{#N/A,#N/A,FALSE,"Job Cart Cover Sheet"}</definedName>
    <definedName name="wrn.Job._.Cart._.Cover._.Sheet." hidden="1">{#N/A,#N/A,FALSE,"Job Cart Cover Sheet"}</definedName>
    <definedName name="wrn.Pricing._.and._.Costs." localSheetId="12" hidden="1">{#N/A,#N/A,FALSE,"Standard Pricing Calculations";#N/A,#N/A,FALSE,"Parts Cost &amp; Calculations"}</definedName>
    <definedName name="wrn.Pricing._.and._.Costs." localSheetId="8" hidden="1">{#N/A,#N/A,FALSE,"Standard Pricing Calculations";#N/A,#N/A,FALSE,"Parts Cost &amp; Calculations"}</definedName>
    <definedName name="wrn.Pricing._.and._.Costs." localSheetId="6" hidden="1">{#N/A,#N/A,FALSE,"Standard Pricing Calculations";#N/A,#N/A,FALSE,"Parts Cost &amp; Calculations"}</definedName>
    <definedName name="wrn.Pricing._.and._.Costs." localSheetId="9" hidden="1">{#N/A,#N/A,FALSE,"Standard Pricing Calculations";#N/A,#N/A,FALSE,"Parts Cost &amp; Calculations"}</definedName>
    <definedName name="wrn.Pricing._.and._.Costs." localSheetId="10" hidden="1">{#N/A,#N/A,FALSE,"Standard Pricing Calculations";#N/A,#N/A,FALSE,"Parts Cost &amp; Calculations"}</definedName>
    <definedName name="wrn.Pricing._.and._.Costs." localSheetId="13" hidden="1">{#N/A,#N/A,FALSE,"Standard Pricing Calculations";#N/A,#N/A,FALSE,"Parts Cost &amp; Calculations"}</definedName>
    <definedName name="wrn.Pricing._.and._.Costs." localSheetId="3" hidden="1">{#N/A,#N/A,FALSE,"Standard Pricing Calculations";#N/A,#N/A,FALSE,"Parts Cost &amp; Calculations"}</definedName>
    <definedName name="wrn.Pricing._.and._.Costs." localSheetId="1" hidden="1">{#N/A,#N/A,FALSE,"Standard Pricing Calculations";#N/A,#N/A,FALSE,"Parts Cost &amp; Calculations"}</definedName>
    <definedName name="wrn.Pricing._.and._.Costs." localSheetId="5" hidden="1">{#N/A,#N/A,FALSE,"Standard Pricing Calculations";#N/A,#N/A,FALSE,"Parts Cost &amp; Calculations"}</definedName>
    <definedName name="wrn.Pricing._.and._.Costs." localSheetId="17" hidden="1">{#N/A,#N/A,FALSE,"Standard Pricing Calculations";#N/A,#N/A,FALSE,"Parts Cost &amp; Calculations"}</definedName>
    <definedName name="wrn.Pricing._.and._.Costs." hidden="1">{#N/A,#N/A,FALSE,"Standard Pricing Calculations";#N/A,#N/A,FALSE,"Parts Cost &amp; Calculations"}</definedName>
    <definedName name="wrn.Rafix._.Locator." localSheetId="12" hidden="1">{#N/A,#N/A,FALSE,"Rafix Locator"}</definedName>
    <definedName name="wrn.Rafix._.Locator." localSheetId="8" hidden="1">{#N/A,#N/A,FALSE,"Rafix Locator"}</definedName>
    <definedName name="wrn.Rafix._.Locator." localSheetId="6" hidden="1">{#N/A,#N/A,FALSE,"Rafix Locator"}</definedName>
    <definedName name="wrn.Rafix._.Locator." localSheetId="9" hidden="1">{#N/A,#N/A,FALSE,"Rafix Locator"}</definedName>
    <definedName name="wrn.Rafix._.Locator." localSheetId="10" hidden="1">{#N/A,#N/A,FALSE,"Rafix Locator"}</definedName>
    <definedName name="wrn.Rafix._.Locator." localSheetId="13" hidden="1">{#N/A,#N/A,FALSE,"Rafix Locator"}</definedName>
    <definedName name="wrn.Rafix._.Locator." localSheetId="3" hidden="1">{#N/A,#N/A,FALSE,"Rafix Locator"}</definedName>
    <definedName name="wrn.Rafix._.Locator." localSheetId="1" hidden="1">{#N/A,#N/A,FALSE,"Rafix Locator"}</definedName>
    <definedName name="wrn.Rafix._.Locator." localSheetId="5" hidden="1">{#N/A,#N/A,FALSE,"Rafix Locator"}</definedName>
    <definedName name="wrn.Rafix._.Locator." localSheetId="17" hidden="1">{#N/A,#N/A,FALSE,"Rafix Locator"}</definedName>
    <definedName name="wrn.Rafix._.Locator." hidden="1">{#N/A,#N/A,FALSE,"Rafix Locator"}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7" i="50" l="1"/>
  <c r="I47" i="50"/>
  <c r="AS68" i="58"/>
  <c r="AF68" i="58" s="1"/>
  <c r="BV28" i="58" l="1"/>
  <c r="BS17" i="53"/>
  <c r="DP23" i="58" l="1"/>
  <c r="D96" i="44"/>
  <c r="E96" i="44" s="1"/>
  <c r="D95" i="44" l="1"/>
  <c r="E95" i="44" l="1"/>
  <c r="D94" i="44"/>
  <c r="E94" i="44" l="1"/>
  <c r="D93" i="44"/>
  <c r="D92" i="44" l="1"/>
  <c r="E93" i="44"/>
  <c r="E92" i="44" l="1"/>
  <c r="D91" i="44"/>
  <c r="E91" i="44" l="1"/>
  <c r="D90" i="44"/>
  <c r="E90" i="44" l="1"/>
  <c r="D89" i="44"/>
  <c r="D88" i="44" l="1"/>
  <c r="E89" i="44"/>
  <c r="E88" i="44" l="1"/>
  <c r="D87" i="44"/>
  <c r="D86" i="44" l="1"/>
  <c r="E87" i="44"/>
  <c r="E86" i="44" l="1"/>
  <c r="D85" i="44"/>
  <c r="D84" i="44" l="1"/>
  <c r="E85" i="44"/>
  <c r="E84" i="44" l="1"/>
  <c r="D83" i="44"/>
  <c r="D82" i="44" l="1"/>
  <c r="E83" i="44"/>
  <c r="E82" i="44" l="1"/>
  <c r="D81" i="44"/>
  <c r="E81" i="44" l="1"/>
  <c r="D80" i="44"/>
  <c r="E80" i="44" l="1"/>
  <c r="D79" i="44"/>
  <c r="E79" i="44" l="1"/>
  <c r="D78" i="44"/>
  <c r="D77" i="44" l="1"/>
  <c r="E78" i="44"/>
  <c r="D76" i="44" l="1"/>
  <c r="E77" i="44"/>
  <c r="E76" i="44" l="1"/>
  <c r="D75" i="44"/>
  <c r="D74" i="44" l="1"/>
  <c r="E75" i="44"/>
  <c r="E74" i="44" l="1"/>
  <c r="D73" i="44"/>
  <c r="D72" i="44" l="1"/>
  <c r="E73" i="44"/>
  <c r="D71" i="44" l="1"/>
  <c r="E72" i="44"/>
  <c r="E71" i="44" l="1"/>
  <c r="D70" i="44"/>
  <c r="E70" i="44" l="1"/>
  <c r="D69" i="44"/>
  <c r="D68" i="44" l="1"/>
  <c r="E69" i="44"/>
  <c r="E68" i="44" l="1"/>
  <c r="D67" i="44"/>
  <c r="E67" i="44" l="1"/>
  <c r="D66" i="44"/>
  <c r="D65" i="44" l="1"/>
  <c r="E66" i="44"/>
  <c r="D64" i="44" l="1"/>
  <c r="E65" i="44"/>
  <c r="E64" i="44" l="1"/>
  <c r="D63" i="44"/>
  <c r="D62" i="44" l="1"/>
  <c r="E63" i="44"/>
  <c r="D61" i="44" l="1"/>
  <c r="E62" i="44"/>
  <c r="E61" i="44" l="1"/>
  <c r="D60" i="44"/>
  <c r="E60" i="44" l="1"/>
  <c r="D59" i="44"/>
  <c r="E59" i="44" l="1"/>
  <c r="D58" i="44"/>
  <c r="E58" i="44" l="1"/>
  <c r="D57" i="44"/>
  <c r="D56" i="44" l="1"/>
  <c r="E57" i="44"/>
  <c r="E56" i="44" l="1"/>
  <c r="D55" i="44"/>
  <c r="E55" i="44" l="1"/>
  <c r="D54" i="44"/>
  <c r="D53" i="44" l="1"/>
  <c r="E54" i="44"/>
  <c r="D52" i="44" l="1"/>
  <c r="E53" i="44"/>
  <c r="E52" i="44" l="1"/>
  <c r="D51" i="44"/>
  <c r="E51" i="44" l="1"/>
  <c r="D50" i="44"/>
  <c r="E50" i="44" l="1"/>
  <c r="D49" i="44"/>
  <c r="D48" i="44" l="1"/>
  <c r="E49" i="44"/>
  <c r="E48" i="44" l="1"/>
  <c r="D47" i="44"/>
  <c r="D46" i="44" l="1"/>
  <c r="E47" i="44"/>
  <c r="D45" i="44" l="1"/>
  <c r="E46" i="44"/>
  <c r="D44" i="44" l="1"/>
  <c r="E45" i="44"/>
  <c r="E44" i="44" l="1"/>
  <c r="D43" i="44"/>
  <c r="D42" i="44" l="1"/>
  <c r="E43" i="44"/>
  <c r="D41" i="44" l="1"/>
  <c r="E42" i="44"/>
  <c r="E41" i="44" l="1"/>
  <c r="D40" i="44"/>
  <c r="E40" i="44" l="1"/>
  <c r="D39" i="44"/>
  <c r="E39" i="44" l="1"/>
  <c r="D38" i="44"/>
  <c r="E38" i="44" l="1"/>
  <c r="D37" i="44"/>
  <c r="D36" i="44" l="1"/>
  <c r="E37" i="44"/>
  <c r="E36" i="44" l="1"/>
  <c r="D35" i="44"/>
  <c r="D34" i="44" l="1"/>
  <c r="E35" i="44"/>
  <c r="D33" i="44" l="1"/>
  <c r="E34" i="44"/>
  <c r="D32" i="44" l="1"/>
  <c r="E33" i="44"/>
  <c r="E32" i="44" l="1"/>
  <c r="D31" i="44"/>
  <c r="E31" i="44" l="1"/>
  <c r="D30" i="44"/>
  <c r="D29" i="44" l="1"/>
  <c r="E30" i="44"/>
  <c r="E29" i="44" l="1"/>
  <c r="D28" i="44"/>
  <c r="E28" i="44" l="1"/>
  <c r="D27" i="44"/>
  <c r="D26" i="44" l="1"/>
  <c r="E27" i="44"/>
  <c r="D25" i="44" l="1"/>
  <c r="E26" i="44"/>
  <c r="E25" i="44" l="1"/>
  <c r="D24" i="44"/>
  <c r="D23" i="44" l="1"/>
  <c r="E24" i="44"/>
  <c r="D22" i="44" l="1"/>
  <c r="E23" i="44"/>
  <c r="D21" i="44" l="1"/>
  <c r="E22" i="44"/>
  <c r="E21" i="44" l="1"/>
  <c r="D20" i="44"/>
  <c r="E20" i="44" l="1"/>
  <c r="D19" i="44"/>
  <c r="E19" i="44" l="1"/>
  <c r="D18" i="44"/>
  <c r="D17" i="44" l="1"/>
  <c r="E18" i="44"/>
  <c r="E17" i="44" l="1"/>
  <c r="D16" i="44"/>
  <c r="D15" i="44" l="1"/>
  <c r="E16" i="44"/>
  <c r="E15" i="44" l="1"/>
  <c r="D14" i="44"/>
  <c r="D13" i="44" l="1"/>
  <c r="E14" i="44"/>
  <c r="E13" i="44" l="1"/>
  <c r="D12" i="44"/>
  <c r="E12" i="44" l="1"/>
  <c r="D11" i="44"/>
  <c r="D10" i="44" l="1"/>
  <c r="E11" i="44"/>
  <c r="E10" i="44" l="1"/>
  <c r="D9" i="44"/>
  <c r="E9" i="44" l="1"/>
  <c r="D8" i="44"/>
  <c r="D7" i="44" l="1"/>
  <c r="E8" i="44"/>
  <c r="D6" i="44" l="1"/>
  <c r="E7" i="44"/>
  <c r="D5" i="44" l="1"/>
  <c r="E6" i="44"/>
  <c r="E5" i="44" l="1"/>
  <c r="D4" i="44"/>
  <c r="E4" i="44" l="1"/>
  <c r="D3" i="44"/>
  <c r="E3" i="44" s="1"/>
  <c r="B9" i="57"/>
  <c r="H14" i="57"/>
  <c r="J8" i="57"/>
  <c r="J6" i="57"/>
  <c r="J4" i="57"/>
  <c r="I49" i="50"/>
  <c r="H49" i="50"/>
  <c r="O47" i="50"/>
  <c r="N47" i="50"/>
  <c r="X1" i="18"/>
  <c r="CA31" i="55"/>
  <c r="AH31" i="55"/>
  <c r="AM152" i="55" s="1"/>
  <c r="CY24" i="55"/>
  <c r="N24" i="55"/>
  <c r="BS17" i="55"/>
  <c r="V51" i="42"/>
  <c r="T51" i="42"/>
  <c r="V46" i="42"/>
  <c r="T46" i="42"/>
  <c r="V41" i="42"/>
  <c r="T41" i="42"/>
  <c r="V36" i="42"/>
  <c r="T36" i="42"/>
  <c r="V31" i="42"/>
  <c r="T31" i="42"/>
  <c r="V26" i="42"/>
  <c r="T26" i="42"/>
  <c r="V21" i="42"/>
  <c r="T21" i="42"/>
  <c r="V16" i="42"/>
  <c r="T16" i="42"/>
  <c r="V11" i="42"/>
  <c r="T11" i="42"/>
  <c r="T6" i="42"/>
  <c r="V6" i="42"/>
  <c r="N24" i="53" l="1"/>
  <c r="C2" i="43" l="1"/>
  <c r="C3" i="43"/>
  <c r="CA31" i="53"/>
  <c r="AH31" i="53"/>
  <c r="A55" i="53" s="1"/>
  <c r="L21" i="42"/>
  <c r="M21" i="42" s="1"/>
  <c r="AA10" i="42"/>
  <c r="AC10" i="42" s="1"/>
  <c r="AA9" i="42"/>
  <c r="AD9" i="42" s="1"/>
  <c r="AA8" i="42"/>
  <c r="AD8" i="42" s="1"/>
  <c r="AA7" i="42"/>
  <c r="AC7" i="42" s="1"/>
  <c r="AA6" i="42"/>
  <c r="AD6" i="42" s="1"/>
  <c r="AA5" i="42"/>
  <c r="AD5" i="42" s="1"/>
  <c r="AA4" i="42"/>
  <c r="AD4" i="42" s="1"/>
  <c r="AA3" i="42"/>
  <c r="AB3" i="42" s="1"/>
  <c r="AA2" i="42"/>
  <c r="AC2" i="42" s="1"/>
  <c r="AA1" i="42"/>
  <c r="AB1" i="42" s="1"/>
  <c r="CY24" i="53"/>
  <c r="AD2" i="42" l="1"/>
  <c r="AC8" i="42"/>
  <c r="AD3" i="42"/>
  <c r="I21" i="50" s="1"/>
  <c r="AC3" i="42"/>
  <c r="AC5" i="42"/>
  <c r="AC6" i="42"/>
  <c r="AB2" i="42"/>
  <c r="AB7" i="42"/>
  <c r="AB10" i="42"/>
  <c r="AB5" i="42"/>
  <c r="AD7" i="42"/>
  <c r="AD10" i="42"/>
  <c r="AC1" i="42"/>
  <c r="AB6" i="42"/>
  <c r="AD1" i="42"/>
  <c r="AB8" i="42"/>
  <c r="BU55" i="53"/>
  <c r="AB9" i="42"/>
  <c r="AC9" i="42"/>
  <c r="AB4" i="42"/>
  <c r="AC4" i="42"/>
  <c r="C3" i="54" l="1"/>
  <c r="D3" i="54"/>
  <c r="C4" i="54"/>
  <c r="D4" i="54"/>
  <c r="C5" i="54"/>
  <c r="D5" i="54"/>
  <c r="C6" i="54"/>
  <c r="D6" i="54"/>
  <c r="C7" i="54"/>
  <c r="D7" i="54"/>
  <c r="C8" i="54"/>
  <c r="D8" i="54"/>
  <c r="C9" i="54"/>
  <c r="D9" i="54"/>
  <c r="C10" i="54"/>
  <c r="D10" i="54"/>
  <c r="C11" i="54"/>
  <c r="D11" i="54"/>
  <c r="C12" i="54"/>
  <c r="D12" i="54"/>
  <c r="C13" i="54"/>
  <c r="D13" i="54"/>
  <c r="C14" i="54"/>
  <c r="D14" i="54"/>
  <c r="C15" i="54"/>
  <c r="D15" i="54"/>
  <c r="C16" i="54"/>
  <c r="D16" i="54"/>
  <c r="C17" i="54"/>
  <c r="D17" i="54"/>
  <c r="C18" i="54"/>
  <c r="D18" i="54"/>
  <c r="C19" i="54"/>
  <c r="D19" i="54"/>
  <c r="C20" i="54"/>
  <c r="D20" i="54"/>
  <c r="C21" i="54"/>
  <c r="D21" i="54"/>
  <c r="C22" i="54"/>
  <c r="D22" i="54"/>
  <c r="C23" i="54"/>
  <c r="D23" i="54"/>
  <c r="C24" i="54"/>
  <c r="D24" i="54"/>
  <c r="C25" i="54"/>
  <c r="D25" i="54"/>
  <c r="C26" i="54"/>
  <c r="D26" i="54"/>
  <c r="C27" i="54"/>
  <c r="D27" i="54"/>
  <c r="C28" i="54"/>
  <c r="D28" i="54"/>
  <c r="C29" i="54"/>
  <c r="D29" i="54"/>
  <c r="C30" i="54"/>
  <c r="D30" i="54"/>
  <c r="C31" i="54"/>
  <c r="D31" i="54"/>
  <c r="C32" i="54"/>
  <c r="D32" i="54"/>
  <c r="C33" i="54"/>
  <c r="D33" i="54"/>
  <c r="C34" i="54"/>
  <c r="D34" i="54"/>
  <c r="C35" i="54"/>
  <c r="D35" i="54"/>
  <c r="C36" i="54"/>
  <c r="D36" i="54"/>
  <c r="C37" i="54"/>
  <c r="D37" i="54"/>
  <c r="C38" i="54"/>
  <c r="D38" i="54"/>
  <c r="C39" i="54"/>
  <c r="D39" i="54"/>
  <c r="C40" i="54"/>
  <c r="D40" i="54"/>
  <c r="C41" i="54"/>
  <c r="D41" i="54"/>
  <c r="C42" i="54"/>
  <c r="D42" i="54"/>
  <c r="C43" i="54"/>
  <c r="D43" i="54"/>
  <c r="C44" i="54"/>
  <c r="D44" i="54"/>
  <c r="C45" i="54"/>
  <c r="D45" i="54"/>
  <c r="C46" i="54"/>
  <c r="D46" i="54"/>
  <c r="C47" i="54"/>
  <c r="D47" i="54"/>
  <c r="C48" i="54"/>
  <c r="D48" i="54"/>
  <c r="C49" i="54"/>
  <c r="D49" i="54"/>
  <c r="C50" i="54"/>
  <c r="D50" i="54"/>
  <c r="C51" i="54"/>
  <c r="D51" i="54"/>
  <c r="C52" i="54"/>
  <c r="D52" i="54"/>
  <c r="C53" i="54"/>
  <c r="D53" i="54"/>
  <c r="C54" i="54"/>
  <c r="D54" i="54"/>
  <c r="C55" i="54"/>
  <c r="D55" i="54"/>
  <c r="C56" i="54"/>
  <c r="D56" i="54"/>
  <c r="C57" i="54"/>
  <c r="D57" i="54"/>
  <c r="C58" i="54"/>
  <c r="D58" i="54"/>
  <c r="C59" i="54"/>
  <c r="D59" i="54"/>
  <c r="C60" i="54"/>
  <c r="D60" i="54"/>
  <c r="C61" i="54"/>
  <c r="D61" i="54"/>
  <c r="C62" i="54"/>
  <c r="D62" i="54"/>
  <c r="C63" i="54"/>
  <c r="D63" i="54"/>
  <c r="C64" i="54"/>
  <c r="D64" i="54"/>
  <c r="C65" i="54"/>
  <c r="D65" i="54"/>
  <c r="C66" i="54"/>
  <c r="D66" i="54"/>
  <c r="C67" i="54"/>
  <c r="D67" i="54"/>
  <c r="C68" i="54"/>
  <c r="D68" i="54"/>
  <c r="C69" i="54"/>
  <c r="D69" i="54"/>
  <c r="C70" i="54"/>
  <c r="D70" i="54"/>
  <c r="C71" i="54"/>
  <c r="D71" i="54"/>
  <c r="C72" i="54"/>
  <c r="D72" i="54"/>
  <c r="C73" i="54"/>
  <c r="D73" i="54"/>
  <c r="C74" i="54"/>
  <c r="D74" i="54"/>
  <c r="C75" i="54"/>
  <c r="D75" i="54"/>
  <c r="C76" i="54"/>
  <c r="D76" i="54"/>
  <c r="C77" i="54"/>
  <c r="D77" i="54"/>
  <c r="C78" i="54"/>
  <c r="D78" i="54"/>
  <c r="C79" i="54"/>
  <c r="D79" i="54"/>
  <c r="C80" i="54"/>
  <c r="D80" i="54"/>
  <c r="C81" i="54"/>
  <c r="D81" i="54"/>
  <c r="C82" i="54"/>
  <c r="D82" i="54"/>
  <c r="C83" i="54"/>
  <c r="D83" i="54"/>
  <c r="C84" i="54"/>
  <c r="D84" i="54"/>
  <c r="C85" i="54"/>
  <c r="D85" i="54"/>
  <c r="C86" i="54"/>
  <c r="D86" i="54"/>
  <c r="C87" i="54"/>
  <c r="D87" i="54"/>
  <c r="C88" i="54"/>
  <c r="D88" i="54"/>
  <c r="C89" i="54"/>
  <c r="D89" i="54"/>
  <c r="C90" i="54"/>
  <c r="D90" i="54"/>
  <c r="C91" i="54"/>
  <c r="D91" i="54"/>
  <c r="C92" i="54"/>
  <c r="D92" i="54"/>
  <c r="C93" i="54"/>
  <c r="D93" i="54"/>
  <c r="C94" i="54"/>
  <c r="D94" i="54"/>
  <c r="C95" i="54"/>
  <c r="D95" i="54"/>
  <c r="C96" i="54"/>
  <c r="D96" i="54"/>
  <c r="C97" i="54"/>
  <c r="D97" i="54"/>
  <c r="C98" i="54"/>
  <c r="D98" i="54"/>
  <c r="C99" i="54"/>
  <c r="D99" i="54"/>
  <c r="C100" i="54"/>
  <c r="D100" i="54"/>
  <c r="C101" i="54"/>
  <c r="D101" i="54"/>
  <c r="C102" i="54"/>
  <c r="D102" i="54"/>
  <c r="C103" i="54"/>
  <c r="D103" i="54"/>
  <c r="C104" i="54"/>
  <c r="D104" i="54"/>
  <c r="C105" i="54"/>
  <c r="D105" i="54"/>
  <c r="C106" i="54"/>
  <c r="D106" i="54"/>
  <c r="C107" i="54"/>
  <c r="D107" i="54"/>
  <c r="C108" i="54"/>
  <c r="D108" i="54"/>
  <c r="C109" i="54"/>
  <c r="D109" i="54"/>
  <c r="C110" i="54"/>
  <c r="D110" i="54"/>
  <c r="C111" i="54"/>
  <c r="D111" i="54"/>
  <c r="C112" i="54"/>
  <c r="D112" i="54"/>
  <c r="C113" i="54"/>
  <c r="D113" i="54"/>
  <c r="C114" i="54"/>
  <c r="D114" i="54"/>
  <c r="C115" i="54"/>
  <c r="D115" i="54"/>
  <c r="C116" i="54"/>
  <c r="D116" i="54"/>
  <c r="C117" i="54"/>
  <c r="D117" i="54"/>
  <c r="C118" i="54"/>
  <c r="D118" i="54"/>
  <c r="C119" i="54"/>
  <c r="D119" i="54"/>
  <c r="C120" i="54"/>
  <c r="D120" i="54"/>
  <c r="C121" i="54"/>
  <c r="D121" i="54"/>
  <c r="C122" i="54"/>
  <c r="D122" i="54"/>
  <c r="C123" i="54"/>
  <c r="D123" i="54"/>
  <c r="C124" i="54"/>
  <c r="D124" i="54"/>
  <c r="C125" i="54"/>
  <c r="D125" i="54"/>
  <c r="C126" i="54"/>
  <c r="D126" i="54"/>
  <c r="C127" i="54"/>
  <c r="D127" i="54"/>
  <c r="C128" i="54"/>
  <c r="D128" i="54"/>
  <c r="C129" i="54"/>
  <c r="D129" i="54"/>
  <c r="C130" i="54"/>
  <c r="D130" i="54"/>
  <c r="C131" i="54"/>
  <c r="D131" i="54"/>
  <c r="C132" i="54"/>
  <c r="D132" i="54"/>
  <c r="C133" i="54"/>
  <c r="D133" i="54"/>
  <c r="C134" i="54"/>
  <c r="D134" i="54"/>
  <c r="C135" i="54"/>
  <c r="D135" i="54"/>
  <c r="C136" i="54"/>
  <c r="D136" i="54"/>
  <c r="C137" i="54"/>
  <c r="D137" i="54"/>
  <c r="C138" i="54"/>
  <c r="D138" i="54"/>
  <c r="C139" i="54"/>
  <c r="D139" i="54"/>
  <c r="C140" i="54"/>
  <c r="D140" i="54"/>
  <c r="C141" i="54"/>
  <c r="D141" i="54"/>
  <c r="C142" i="54"/>
  <c r="D142" i="54"/>
  <c r="C143" i="54"/>
  <c r="D143" i="54"/>
  <c r="C144" i="54"/>
  <c r="D144" i="54"/>
  <c r="C145" i="54"/>
  <c r="D145" i="54"/>
  <c r="C146" i="54"/>
  <c r="D146" i="54"/>
  <c r="C147" i="54"/>
  <c r="D147" i="54"/>
  <c r="C148" i="54"/>
  <c r="D148" i="54"/>
  <c r="C149" i="54"/>
  <c r="D149" i="54"/>
  <c r="C150" i="54"/>
  <c r="D150" i="54"/>
  <c r="C151" i="54"/>
  <c r="D151" i="54"/>
  <c r="C152" i="54"/>
  <c r="D152" i="54"/>
  <c r="C153" i="54"/>
  <c r="D153" i="54"/>
  <c r="C154" i="54"/>
  <c r="D154" i="54"/>
  <c r="C155" i="54"/>
  <c r="D155" i="54"/>
  <c r="C156" i="54"/>
  <c r="D156" i="54"/>
  <c r="C157" i="54"/>
  <c r="D157" i="54"/>
  <c r="C158" i="54"/>
  <c r="D158" i="54"/>
  <c r="C159" i="54"/>
  <c r="D159" i="54"/>
  <c r="C160" i="54"/>
  <c r="D160" i="54"/>
  <c r="C161" i="54"/>
  <c r="D161" i="54"/>
  <c r="C162" i="54"/>
  <c r="D162" i="54"/>
  <c r="C163" i="54"/>
  <c r="D163" i="54"/>
  <c r="C164" i="54"/>
  <c r="D164" i="54"/>
  <c r="C165" i="54"/>
  <c r="D165" i="54"/>
  <c r="C166" i="54"/>
  <c r="D166" i="54"/>
  <c r="C167" i="54"/>
  <c r="D167" i="54"/>
  <c r="C168" i="54"/>
  <c r="D168" i="54"/>
  <c r="C169" i="54"/>
  <c r="D169" i="54"/>
  <c r="C170" i="54"/>
  <c r="D170" i="54"/>
  <c r="C171" i="54"/>
  <c r="D171" i="54"/>
  <c r="C172" i="54"/>
  <c r="D172" i="54"/>
  <c r="C173" i="54"/>
  <c r="D173" i="54"/>
  <c r="C174" i="54"/>
  <c r="D174" i="54"/>
  <c r="C175" i="54"/>
  <c r="D175" i="54"/>
  <c r="C176" i="54"/>
  <c r="D176" i="54"/>
  <c r="C177" i="54"/>
  <c r="D177" i="54"/>
  <c r="C178" i="54"/>
  <c r="D178" i="54"/>
  <c r="C179" i="54"/>
  <c r="D179" i="54"/>
  <c r="C180" i="54"/>
  <c r="D180" i="54"/>
  <c r="C181" i="54"/>
  <c r="D181" i="54"/>
  <c r="C182" i="54"/>
  <c r="D182" i="54"/>
  <c r="C183" i="54"/>
  <c r="D183" i="54"/>
  <c r="C184" i="54"/>
  <c r="D184" i="54"/>
  <c r="C185" i="54"/>
  <c r="D185" i="54"/>
  <c r="C186" i="54"/>
  <c r="D186" i="54"/>
  <c r="C187" i="54"/>
  <c r="D187" i="54"/>
  <c r="C188" i="54"/>
  <c r="D188" i="54"/>
  <c r="C189" i="54"/>
  <c r="D189" i="54"/>
  <c r="C190" i="54"/>
  <c r="D190" i="54"/>
  <c r="C191" i="54"/>
  <c r="D191" i="54"/>
  <c r="C192" i="54"/>
  <c r="D192" i="54"/>
  <c r="C193" i="54"/>
  <c r="D193" i="54"/>
  <c r="C194" i="54"/>
  <c r="D194" i="54"/>
  <c r="C195" i="54"/>
  <c r="D195" i="54"/>
  <c r="C196" i="54"/>
  <c r="D196" i="54"/>
  <c r="C197" i="54"/>
  <c r="D197" i="54"/>
  <c r="C198" i="54"/>
  <c r="D198" i="54"/>
  <c r="C199" i="54"/>
  <c r="D199" i="54"/>
  <c r="C200" i="54"/>
  <c r="D200" i="54"/>
  <c r="C201" i="54"/>
  <c r="D201" i="54"/>
  <c r="C202" i="54"/>
  <c r="D202" i="54"/>
  <c r="C203" i="54"/>
  <c r="D203" i="54"/>
  <c r="C204" i="54"/>
  <c r="D204" i="54"/>
  <c r="C205" i="54"/>
  <c r="D205" i="54"/>
  <c r="C206" i="54"/>
  <c r="D206" i="54"/>
  <c r="C207" i="54"/>
  <c r="D207" i="54"/>
  <c r="C208" i="54"/>
  <c r="D208" i="54"/>
  <c r="C209" i="54"/>
  <c r="D209" i="54"/>
  <c r="C210" i="54"/>
  <c r="D210" i="54"/>
  <c r="C211" i="54"/>
  <c r="D211" i="54"/>
  <c r="C212" i="54"/>
  <c r="D212" i="54"/>
  <c r="C213" i="54"/>
  <c r="D213" i="54"/>
  <c r="C214" i="54"/>
  <c r="D214" i="54"/>
  <c r="C215" i="54"/>
  <c r="D215" i="54"/>
  <c r="C216" i="54"/>
  <c r="D216" i="54"/>
  <c r="C217" i="54"/>
  <c r="D217" i="54"/>
  <c r="C218" i="54"/>
  <c r="D218" i="54"/>
  <c r="C219" i="54"/>
  <c r="D219" i="54"/>
  <c r="C220" i="54"/>
  <c r="D220" i="54"/>
  <c r="C221" i="54"/>
  <c r="D221" i="54"/>
  <c r="C222" i="54"/>
  <c r="D222" i="54"/>
  <c r="C223" i="54"/>
  <c r="D223" i="54"/>
  <c r="C224" i="54"/>
  <c r="D224" i="54"/>
  <c r="C225" i="54"/>
  <c r="D225" i="54"/>
  <c r="C226" i="54"/>
  <c r="D226" i="54"/>
  <c r="C227" i="54"/>
  <c r="D227" i="54"/>
  <c r="C228" i="54"/>
  <c r="D228" i="54"/>
  <c r="C229" i="54"/>
  <c r="D229" i="54"/>
  <c r="C230" i="54"/>
  <c r="D230" i="54"/>
  <c r="C231" i="54"/>
  <c r="D231" i="54"/>
  <c r="C232" i="54"/>
  <c r="D232" i="54"/>
  <c r="C233" i="54"/>
  <c r="D233" i="54"/>
  <c r="C234" i="54"/>
  <c r="D234" i="54"/>
  <c r="C235" i="54"/>
  <c r="D235" i="54"/>
  <c r="C236" i="54"/>
  <c r="D236" i="54"/>
  <c r="C237" i="54"/>
  <c r="D237" i="54"/>
  <c r="C238" i="54"/>
  <c r="D238" i="54"/>
  <c r="C239" i="54"/>
  <c r="D239" i="54"/>
  <c r="C240" i="54"/>
  <c r="D240" i="54"/>
  <c r="C241" i="54"/>
  <c r="D241" i="54"/>
  <c r="C242" i="54"/>
  <c r="D242" i="54"/>
  <c r="C243" i="54"/>
  <c r="D243" i="54"/>
  <c r="C244" i="54"/>
  <c r="D244" i="54"/>
  <c r="C245" i="54"/>
  <c r="D245" i="54"/>
  <c r="C246" i="54"/>
  <c r="D246" i="54"/>
  <c r="C247" i="54"/>
  <c r="D247" i="54"/>
  <c r="C248" i="54"/>
  <c r="D248" i="54"/>
  <c r="C249" i="54"/>
  <c r="D249" i="54"/>
  <c r="C250" i="54"/>
  <c r="D250" i="54"/>
  <c r="C251" i="54"/>
  <c r="D251" i="54"/>
  <c r="C252" i="54"/>
  <c r="D252" i="54"/>
  <c r="C253" i="54"/>
  <c r="D253" i="54"/>
  <c r="C254" i="54"/>
  <c r="D254" i="54"/>
  <c r="C255" i="54"/>
  <c r="D255" i="54"/>
  <c r="C256" i="54"/>
  <c r="D256" i="54"/>
  <c r="C257" i="54"/>
  <c r="D257" i="54"/>
  <c r="C258" i="54"/>
  <c r="D258" i="54"/>
  <c r="C259" i="54"/>
  <c r="D259" i="54"/>
  <c r="C260" i="54"/>
  <c r="D260" i="54"/>
  <c r="C261" i="54"/>
  <c r="D261" i="54"/>
  <c r="C262" i="54"/>
  <c r="D262" i="54"/>
  <c r="C263" i="54"/>
  <c r="D263" i="54"/>
  <c r="C264" i="54"/>
  <c r="D264" i="54"/>
  <c r="C265" i="54"/>
  <c r="D265" i="54"/>
  <c r="C266" i="54"/>
  <c r="D266" i="54"/>
  <c r="C267" i="54"/>
  <c r="D267" i="54"/>
  <c r="C268" i="54"/>
  <c r="D268" i="54"/>
  <c r="C269" i="54"/>
  <c r="D269" i="54"/>
  <c r="C270" i="54"/>
  <c r="D270" i="54"/>
  <c r="C271" i="54"/>
  <c r="D271" i="54"/>
  <c r="C272" i="54"/>
  <c r="D272" i="54"/>
  <c r="C273" i="54"/>
  <c r="D273" i="54"/>
  <c r="C274" i="54"/>
  <c r="D274" i="54"/>
  <c r="C275" i="54"/>
  <c r="D275" i="54"/>
  <c r="C276" i="54"/>
  <c r="D276" i="54"/>
  <c r="C277" i="54"/>
  <c r="D277" i="54"/>
  <c r="C278" i="54"/>
  <c r="D278" i="54"/>
  <c r="C279" i="54"/>
  <c r="D279" i="54"/>
  <c r="C280" i="54"/>
  <c r="D280" i="54"/>
  <c r="C281" i="54"/>
  <c r="D281" i="54"/>
  <c r="C282" i="54"/>
  <c r="D282" i="54"/>
  <c r="C283" i="54"/>
  <c r="D283" i="54"/>
  <c r="C284" i="54"/>
  <c r="D284" i="54"/>
  <c r="C285" i="54"/>
  <c r="D285" i="54"/>
  <c r="C286" i="54"/>
  <c r="D286" i="54"/>
  <c r="C287" i="54"/>
  <c r="D287" i="54"/>
  <c r="C288" i="54"/>
  <c r="D288" i="54"/>
  <c r="C289" i="54"/>
  <c r="D289" i="54"/>
  <c r="C290" i="54"/>
  <c r="D290" i="54"/>
  <c r="C291" i="54"/>
  <c r="D291" i="54"/>
  <c r="C292" i="54"/>
  <c r="D292" i="54"/>
  <c r="C293" i="54"/>
  <c r="D293" i="54"/>
  <c r="C294" i="54"/>
  <c r="D294" i="54"/>
  <c r="C295" i="54"/>
  <c r="D295" i="54"/>
  <c r="C296" i="54"/>
  <c r="D296" i="54"/>
  <c r="C297" i="54"/>
  <c r="D297" i="54"/>
  <c r="C298" i="54"/>
  <c r="D298" i="54"/>
  <c r="C299" i="54"/>
  <c r="D299" i="54"/>
  <c r="C300" i="54"/>
  <c r="D300" i="54"/>
  <c r="C301" i="54"/>
  <c r="D301" i="54"/>
  <c r="C302" i="54"/>
  <c r="D302" i="54"/>
  <c r="C303" i="54"/>
  <c r="D303" i="54"/>
  <c r="C304" i="54"/>
  <c r="D304" i="54"/>
  <c r="C305" i="54"/>
  <c r="D305" i="54"/>
  <c r="C306" i="54"/>
  <c r="D306" i="54"/>
  <c r="C307" i="54"/>
  <c r="D307" i="54"/>
  <c r="C308" i="54"/>
  <c r="D308" i="54"/>
  <c r="C309" i="54"/>
  <c r="D309" i="54"/>
  <c r="C310" i="54"/>
  <c r="D310" i="54"/>
  <c r="C311" i="54"/>
  <c r="D311" i="54"/>
  <c r="C312" i="54"/>
  <c r="D312" i="54"/>
  <c r="C313" i="54"/>
  <c r="D313" i="54"/>
  <c r="C314" i="54"/>
  <c r="D314" i="54"/>
  <c r="C315" i="54"/>
  <c r="D315" i="54"/>
  <c r="C316" i="54"/>
  <c r="D316" i="54"/>
  <c r="C317" i="54"/>
  <c r="D317" i="54"/>
  <c r="C318" i="54"/>
  <c r="D318" i="54"/>
  <c r="C319" i="54"/>
  <c r="D319" i="54"/>
  <c r="C320" i="54"/>
  <c r="D320" i="54"/>
  <c r="C321" i="54"/>
  <c r="D321" i="54"/>
  <c r="C322" i="54"/>
  <c r="D322" i="54"/>
  <c r="C323" i="54"/>
  <c r="D323" i="54"/>
  <c r="C324" i="54"/>
  <c r="D324" i="54"/>
  <c r="C325" i="54"/>
  <c r="D325" i="54"/>
  <c r="C326" i="54"/>
  <c r="D326" i="54"/>
  <c r="C327" i="54"/>
  <c r="D327" i="54"/>
  <c r="C328" i="54"/>
  <c r="D328" i="54"/>
  <c r="C329" i="54"/>
  <c r="D329" i="54"/>
  <c r="C330" i="54"/>
  <c r="D330" i="54"/>
  <c r="C331" i="54"/>
  <c r="D331" i="54"/>
  <c r="C332" i="54"/>
  <c r="D332" i="54"/>
  <c r="C333" i="54"/>
  <c r="D333" i="54"/>
  <c r="C334" i="54"/>
  <c r="D334" i="54"/>
  <c r="C335" i="54"/>
  <c r="D335" i="54"/>
  <c r="C336" i="54"/>
  <c r="D336" i="54"/>
  <c r="C337" i="54"/>
  <c r="D337" i="54"/>
  <c r="C338" i="54"/>
  <c r="D338" i="54"/>
  <c r="C339" i="54"/>
  <c r="D339" i="54"/>
  <c r="C340" i="54"/>
  <c r="D340" i="54"/>
  <c r="C341" i="54"/>
  <c r="D341" i="54"/>
  <c r="C342" i="54"/>
  <c r="D342" i="54"/>
  <c r="C343" i="54"/>
  <c r="D343" i="54"/>
  <c r="C344" i="54"/>
  <c r="D344" i="54"/>
  <c r="C345" i="54"/>
  <c r="D345" i="54"/>
  <c r="C346" i="54"/>
  <c r="D346" i="54"/>
  <c r="C347" i="54"/>
  <c r="D347" i="54"/>
  <c r="C348" i="54"/>
  <c r="D348" i="54"/>
  <c r="C349" i="54"/>
  <c r="D349" i="54"/>
  <c r="C350" i="54"/>
  <c r="D350" i="54"/>
  <c r="C351" i="54"/>
  <c r="D351" i="54"/>
  <c r="C352" i="54"/>
  <c r="D352" i="54"/>
  <c r="C353" i="54"/>
  <c r="D353" i="54"/>
  <c r="C354" i="54"/>
  <c r="D354" i="54"/>
  <c r="C355" i="54"/>
  <c r="D355" i="54"/>
  <c r="C356" i="54"/>
  <c r="D356" i="54"/>
  <c r="C357" i="54"/>
  <c r="D357" i="54"/>
  <c r="C358" i="54"/>
  <c r="D358" i="54"/>
  <c r="C359" i="54"/>
  <c r="D359" i="54"/>
  <c r="C360" i="54"/>
  <c r="D360" i="54"/>
  <c r="C361" i="54"/>
  <c r="D361" i="54"/>
  <c r="C362" i="54"/>
  <c r="D362" i="54"/>
  <c r="C363" i="54"/>
  <c r="D363" i="54"/>
  <c r="C364" i="54"/>
  <c r="D364" i="54"/>
  <c r="C365" i="54"/>
  <c r="D365" i="54"/>
  <c r="C366" i="54"/>
  <c r="D366" i="54"/>
  <c r="C367" i="54"/>
  <c r="D367" i="54"/>
  <c r="C368" i="54"/>
  <c r="D368" i="54"/>
  <c r="C369" i="54"/>
  <c r="D369" i="54"/>
  <c r="C370" i="54"/>
  <c r="D370" i="54"/>
  <c r="C371" i="54"/>
  <c r="D371" i="54"/>
  <c r="C372" i="54"/>
  <c r="D372" i="54"/>
  <c r="C373" i="54"/>
  <c r="D373" i="54"/>
  <c r="C374" i="54"/>
  <c r="D374" i="54"/>
  <c r="C375" i="54"/>
  <c r="D375" i="54"/>
  <c r="C376" i="54"/>
  <c r="D376" i="54"/>
  <c r="C377" i="54"/>
  <c r="D377" i="54"/>
  <c r="C378" i="54"/>
  <c r="D378" i="54"/>
  <c r="C379" i="54"/>
  <c r="D379" i="54"/>
  <c r="C380" i="54"/>
  <c r="D380" i="54"/>
  <c r="C381" i="54"/>
  <c r="D381" i="54"/>
  <c r="C382" i="54"/>
  <c r="D382" i="54"/>
  <c r="C383" i="54"/>
  <c r="D383" i="54"/>
  <c r="C384" i="54"/>
  <c r="D384" i="54"/>
  <c r="C385" i="54"/>
  <c r="D385" i="54"/>
  <c r="C386" i="54"/>
  <c r="D386" i="54"/>
  <c r="C387" i="54"/>
  <c r="D387" i="54"/>
  <c r="C388" i="54"/>
  <c r="D388" i="54"/>
  <c r="C389" i="54"/>
  <c r="D389" i="54"/>
  <c r="C390" i="54"/>
  <c r="D390" i="54"/>
  <c r="C391" i="54"/>
  <c r="D391" i="54"/>
  <c r="C392" i="54"/>
  <c r="D392" i="54"/>
  <c r="C393" i="54"/>
  <c r="D393" i="54"/>
  <c r="C394" i="54"/>
  <c r="D394" i="54"/>
  <c r="C395" i="54"/>
  <c r="D395" i="54"/>
  <c r="C396" i="54"/>
  <c r="D396" i="54"/>
  <c r="C397" i="54"/>
  <c r="D397" i="54"/>
  <c r="C398" i="54"/>
  <c r="D398" i="54"/>
  <c r="C399" i="54"/>
  <c r="D399" i="54"/>
  <c r="C400" i="54"/>
  <c r="D400" i="54"/>
  <c r="C401" i="54"/>
  <c r="D401" i="54"/>
  <c r="C402" i="54"/>
  <c r="D402" i="54"/>
  <c r="C403" i="54"/>
  <c r="D403" i="54"/>
  <c r="C404" i="54"/>
  <c r="D404" i="54"/>
  <c r="C405" i="54"/>
  <c r="D405" i="54"/>
  <c r="C406" i="54"/>
  <c r="D406" i="54"/>
  <c r="C407" i="54"/>
  <c r="D407" i="54"/>
  <c r="C408" i="54"/>
  <c r="D408" i="54"/>
  <c r="C409" i="54"/>
  <c r="D409" i="54"/>
  <c r="C410" i="54"/>
  <c r="D410" i="54"/>
  <c r="C411" i="54"/>
  <c r="D411" i="54"/>
  <c r="C412" i="54"/>
  <c r="D412" i="54"/>
  <c r="C413" i="54"/>
  <c r="D413" i="54"/>
  <c r="C414" i="54"/>
  <c r="D414" i="54"/>
  <c r="C415" i="54"/>
  <c r="D415" i="54"/>
  <c r="C416" i="54"/>
  <c r="D416" i="54"/>
  <c r="C417" i="54"/>
  <c r="D417" i="54"/>
  <c r="C418" i="54"/>
  <c r="D418" i="54"/>
  <c r="C419" i="54"/>
  <c r="D419" i="54"/>
  <c r="C420" i="54"/>
  <c r="D420" i="54"/>
  <c r="C421" i="54"/>
  <c r="D421" i="54"/>
  <c r="C422" i="54"/>
  <c r="D422" i="54"/>
  <c r="C423" i="54"/>
  <c r="D423" i="54"/>
  <c r="C424" i="54"/>
  <c r="D424" i="54"/>
  <c r="C425" i="54"/>
  <c r="D425" i="54"/>
  <c r="C426" i="54"/>
  <c r="D426" i="54"/>
  <c r="C427" i="54"/>
  <c r="D427" i="54"/>
  <c r="C428" i="54"/>
  <c r="D428" i="54"/>
  <c r="C429" i="54"/>
  <c r="D429" i="54"/>
  <c r="C430" i="54"/>
  <c r="D430" i="54"/>
  <c r="C431" i="54"/>
  <c r="D431" i="54"/>
  <c r="C432" i="54"/>
  <c r="D432" i="54"/>
  <c r="C433" i="54"/>
  <c r="D433" i="54"/>
  <c r="C434" i="54"/>
  <c r="D434" i="54"/>
  <c r="C435" i="54"/>
  <c r="D435" i="54"/>
  <c r="C436" i="54"/>
  <c r="D436" i="54"/>
  <c r="C437" i="54"/>
  <c r="D437" i="54"/>
  <c r="C438" i="54"/>
  <c r="D438" i="54"/>
  <c r="C439" i="54"/>
  <c r="D439" i="54"/>
  <c r="C440" i="54"/>
  <c r="D440" i="54"/>
  <c r="C441" i="54"/>
  <c r="D441" i="54"/>
  <c r="C442" i="54"/>
  <c r="D442" i="54"/>
  <c r="C443" i="54"/>
  <c r="D443" i="54"/>
  <c r="C444" i="54"/>
  <c r="D444" i="54"/>
  <c r="C445" i="54"/>
  <c r="D445" i="54"/>
  <c r="C446" i="54"/>
  <c r="D446" i="54"/>
  <c r="C447" i="54"/>
  <c r="D447" i="54"/>
  <c r="C448" i="54"/>
  <c r="D448" i="54"/>
  <c r="C449" i="54"/>
  <c r="D449" i="54"/>
  <c r="C450" i="54"/>
  <c r="D450" i="54"/>
  <c r="C451" i="54"/>
  <c r="D451" i="54"/>
  <c r="C452" i="54"/>
  <c r="D452" i="54"/>
  <c r="C453" i="54"/>
  <c r="D453" i="54"/>
  <c r="C454" i="54"/>
  <c r="D454" i="54"/>
  <c r="C455" i="54"/>
  <c r="D455" i="54"/>
  <c r="C456" i="54"/>
  <c r="D456" i="54"/>
  <c r="C457" i="54"/>
  <c r="D457" i="54"/>
  <c r="C458" i="54"/>
  <c r="D458" i="54"/>
  <c r="C459" i="54"/>
  <c r="D459" i="54"/>
  <c r="C460" i="54"/>
  <c r="D460" i="54"/>
  <c r="C461" i="54"/>
  <c r="D461" i="54"/>
  <c r="C462" i="54"/>
  <c r="D462" i="54"/>
  <c r="C463" i="54"/>
  <c r="D463" i="54"/>
  <c r="C464" i="54"/>
  <c r="D464" i="54"/>
  <c r="C465" i="54"/>
  <c r="D465" i="54"/>
  <c r="C466" i="54"/>
  <c r="D466" i="54"/>
  <c r="C467" i="54"/>
  <c r="D467" i="54"/>
  <c r="C468" i="54"/>
  <c r="D468" i="54"/>
  <c r="C469" i="54"/>
  <c r="D469" i="54"/>
  <c r="C470" i="54"/>
  <c r="D470" i="54"/>
  <c r="C471" i="54"/>
  <c r="D471" i="54"/>
  <c r="C472" i="54"/>
  <c r="D472" i="54"/>
  <c r="C473" i="54"/>
  <c r="D473" i="54"/>
  <c r="C474" i="54"/>
  <c r="D474" i="54"/>
  <c r="C475" i="54"/>
  <c r="D475" i="54"/>
  <c r="C476" i="54"/>
  <c r="D476" i="54"/>
  <c r="C477" i="54"/>
  <c r="D477" i="54"/>
  <c r="C478" i="54"/>
  <c r="D478" i="54"/>
  <c r="C479" i="54"/>
  <c r="D479" i="54"/>
  <c r="C480" i="54"/>
  <c r="D480" i="54"/>
  <c r="C481" i="54"/>
  <c r="D481" i="54"/>
  <c r="C482" i="54"/>
  <c r="D482" i="54"/>
  <c r="C483" i="54"/>
  <c r="D483" i="54"/>
  <c r="C484" i="54"/>
  <c r="D484" i="54"/>
  <c r="C485" i="54"/>
  <c r="D485" i="54"/>
  <c r="C486" i="54"/>
  <c r="D486" i="54"/>
  <c r="C487" i="54"/>
  <c r="D487" i="54"/>
  <c r="C488" i="54"/>
  <c r="D488" i="54"/>
  <c r="C489" i="54"/>
  <c r="D489" i="54"/>
  <c r="C490" i="54"/>
  <c r="D490" i="54"/>
  <c r="C491" i="54"/>
  <c r="D491" i="54"/>
  <c r="C492" i="54"/>
  <c r="D492" i="54"/>
  <c r="C493" i="54"/>
  <c r="D493" i="54"/>
  <c r="C494" i="54"/>
  <c r="D494" i="54"/>
  <c r="C495" i="54"/>
  <c r="D495" i="54"/>
  <c r="C496" i="54"/>
  <c r="D496" i="54"/>
  <c r="C497" i="54"/>
  <c r="D497" i="54"/>
  <c r="C498" i="54"/>
  <c r="D498" i="54"/>
  <c r="C499" i="54"/>
  <c r="D499" i="54"/>
  <c r="C500" i="54"/>
  <c r="D500" i="54"/>
  <c r="C501" i="54"/>
  <c r="D501" i="54"/>
  <c r="C502" i="54"/>
  <c r="D502" i="54"/>
  <c r="C503" i="54"/>
  <c r="D503" i="54"/>
  <c r="C504" i="54"/>
  <c r="D504" i="54"/>
  <c r="C505" i="54"/>
  <c r="D505" i="54"/>
  <c r="C506" i="54"/>
  <c r="D506" i="54"/>
  <c r="C507" i="54"/>
  <c r="D507" i="54"/>
  <c r="C508" i="54"/>
  <c r="D508" i="54"/>
  <c r="C509" i="54"/>
  <c r="D509" i="54"/>
  <c r="C510" i="54"/>
  <c r="D510" i="54"/>
  <c r="C511" i="54"/>
  <c r="D511" i="54"/>
  <c r="C512" i="54"/>
  <c r="D512" i="54"/>
  <c r="C513" i="54"/>
  <c r="D513" i="54"/>
  <c r="C514" i="54"/>
  <c r="D514" i="54"/>
  <c r="C515" i="54"/>
  <c r="D515" i="54"/>
  <c r="C516" i="54"/>
  <c r="D516" i="54"/>
  <c r="C517" i="54"/>
  <c r="D517" i="54"/>
  <c r="C518" i="54"/>
  <c r="D518" i="54"/>
  <c r="C519" i="54"/>
  <c r="D519" i="54"/>
  <c r="C520" i="54"/>
  <c r="D520" i="54"/>
  <c r="C521" i="54"/>
  <c r="D521" i="54"/>
  <c r="C522" i="54"/>
  <c r="D522" i="54"/>
  <c r="C523" i="54"/>
  <c r="D523" i="54"/>
  <c r="C524" i="54"/>
  <c r="D524" i="54"/>
  <c r="C525" i="54"/>
  <c r="D525" i="54"/>
  <c r="C526" i="54"/>
  <c r="D526" i="54"/>
  <c r="C527" i="54"/>
  <c r="D527" i="54"/>
  <c r="C528" i="54"/>
  <c r="D528" i="54"/>
  <c r="C529" i="54"/>
  <c r="D529" i="54"/>
  <c r="C530" i="54"/>
  <c r="D530" i="54"/>
  <c r="C531" i="54"/>
  <c r="D531" i="54"/>
  <c r="C532" i="54"/>
  <c r="D532" i="54"/>
  <c r="C533" i="54"/>
  <c r="D533" i="54"/>
  <c r="C534" i="54"/>
  <c r="D534" i="54"/>
  <c r="C535" i="54"/>
  <c r="D535" i="54"/>
  <c r="C536" i="54"/>
  <c r="D536" i="54"/>
  <c r="C537" i="54"/>
  <c r="D537" i="54"/>
  <c r="C538" i="54"/>
  <c r="D538" i="54"/>
  <c r="C539" i="54"/>
  <c r="D539" i="54"/>
  <c r="C540" i="54"/>
  <c r="D540" i="54"/>
  <c r="C541" i="54"/>
  <c r="D541" i="54"/>
  <c r="C542" i="54"/>
  <c r="D542" i="54"/>
  <c r="C543" i="54"/>
  <c r="D543" i="54"/>
  <c r="C544" i="54"/>
  <c r="D544" i="54"/>
  <c r="C545" i="54"/>
  <c r="D545" i="54"/>
  <c r="C546" i="54"/>
  <c r="D546" i="54"/>
  <c r="C547" i="54"/>
  <c r="D547" i="54"/>
  <c r="C548" i="54"/>
  <c r="D548" i="54"/>
  <c r="C549" i="54"/>
  <c r="D549" i="54"/>
  <c r="C550" i="54"/>
  <c r="D550" i="54"/>
  <c r="C551" i="54"/>
  <c r="D551" i="54"/>
  <c r="C552" i="54"/>
  <c r="D552" i="54"/>
  <c r="C553" i="54"/>
  <c r="D553" i="54"/>
  <c r="C554" i="54"/>
  <c r="D554" i="54"/>
  <c r="C555" i="54"/>
  <c r="D555" i="54"/>
  <c r="C556" i="54"/>
  <c r="D556" i="54"/>
  <c r="C557" i="54"/>
  <c r="D557" i="54"/>
  <c r="C558" i="54"/>
  <c r="D558" i="54"/>
  <c r="C559" i="54"/>
  <c r="D559" i="54"/>
  <c r="C560" i="54"/>
  <c r="D560" i="54"/>
  <c r="C561" i="54"/>
  <c r="D561" i="54"/>
  <c r="C562" i="54"/>
  <c r="D562" i="54"/>
  <c r="C563" i="54"/>
  <c r="D563" i="54"/>
  <c r="C564" i="54"/>
  <c r="D564" i="54"/>
  <c r="C565" i="54"/>
  <c r="D565" i="54"/>
  <c r="C566" i="54"/>
  <c r="D566" i="54"/>
  <c r="C567" i="54"/>
  <c r="D567" i="54"/>
  <c r="C568" i="54"/>
  <c r="D568" i="54"/>
  <c r="C569" i="54"/>
  <c r="D569" i="54"/>
  <c r="C570" i="54"/>
  <c r="D570" i="54"/>
  <c r="C571" i="54"/>
  <c r="D571" i="54"/>
  <c r="C572" i="54"/>
  <c r="D572" i="54"/>
  <c r="C573" i="54"/>
  <c r="D573" i="54"/>
  <c r="C574" i="54"/>
  <c r="D574" i="54"/>
  <c r="C575" i="54"/>
  <c r="D575" i="54"/>
  <c r="C576" i="54"/>
  <c r="D576" i="54"/>
  <c r="C577" i="54"/>
  <c r="D577" i="54"/>
  <c r="C578" i="54"/>
  <c r="D578" i="54"/>
  <c r="C579" i="54"/>
  <c r="D579" i="54"/>
  <c r="C580" i="54"/>
  <c r="D580" i="54"/>
  <c r="C581" i="54"/>
  <c r="D581" i="54"/>
  <c r="C582" i="54"/>
  <c r="D582" i="54"/>
  <c r="C583" i="54"/>
  <c r="D583" i="54"/>
  <c r="C584" i="54"/>
  <c r="D584" i="54"/>
  <c r="C585" i="54"/>
  <c r="D585" i="54"/>
  <c r="C586" i="54"/>
  <c r="D586" i="54"/>
  <c r="C587" i="54"/>
  <c r="D587" i="54"/>
  <c r="C588" i="54"/>
  <c r="D588" i="54"/>
  <c r="C589" i="54"/>
  <c r="D589" i="54"/>
  <c r="C590" i="54"/>
  <c r="D590" i="54"/>
  <c r="C591" i="54"/>
  <c r="D591" i="54"/>
  <c r="C592" i="54"/>
  <c r="D592" i="54"/>
  <c r="C593" i="54"/>
  <c r="D593" i="54"/>
  <c r="C594" i="54"/>
  <c r="D594" i="54"/>
  <c r="C595" i="54"/>
  <c r="D595" i="54"/>
  <c r="C596" i="54"/>
  <c r="D596" i="54"/>
  <c r="C597" i="54"/>
  <c r="D597" i="54"/>
  <c r="C598" i="54"/>
  <c r="D598" i="54"/>
  <c r="C599" i="54"/>
  <c r="D599" i="54"/>
  <c r="C600" i="54"/>
  <c r="D600" i="54"/>
  <c r="C601" i="54"/>
  <c r="D601" i="54"/>
  <c r="C602" i="54"/>
  <c r="D602" i="54"/>
  <c r="C603" i="54"/>
  <c r="D603" i="54"/>
  <c r="C604" i="54"/>
  <c r="D604" i="54"/>
  <c r="C605" i="54"/>
  <c r="D605" i="54"/>
  <c r="C606" i="54"/>
  <c r="D606" i="54"/>
  <c r="C607" i="54"/>
  <c r="D607" i="54"/>
  <c r="C608" i="54"/>
  <c r="D608" i="54"/>
  <c r="C609" i="54"/>
  <c r="D609" i="54"/>
  <c r="C610" i="54"/>
  <c r="D610" i="54"/>
  <c r="C611" i="54"/>
  <c r="D611" i="54"/>
  <c r="C612" i="54"/>
  <c r="D612" i="54"/>
  <c r="C613" i="54"/>
  <c r="D613" i="54"/>
  <c r="C614" i="54"/>
  <c r="D614" i="54"/>
  <c r="C615" i="54"/>
  <c r="D615" i="54"/>
  <c r="C616" i="54"/>
  <c r="D616" i="54"/>
  <c r="C617" i="54"/>
  <c r="D617" i="54"/>
  <c r="C618" i="54"/>
  <c r="D618" i="54"/>
  <c r="C619" i="54"/>
  <c r="D619" i="54"/>
  <c r="C620" i="54"/>
  <c r="D620" i="54"/>
  <c r="C621" i="54"/>
  <c r="D621" i="54"/>
  <c r="C622" i="54"/>
  <c r="D622" i="54"/>
  <c r="C623" i="54"/>
  <c r="D623" i="54"/>
  <c r="C624" i="54"/>
  <c r="D624" i="54"/>
  <c r="C625" i="54"/>
  <c r="D625" i="54"/>
  <c r="C626" i="54"/>
  <c r="D626" i="54"/>
  <c r="C627" i="54"/>
  <c r="D627" i="54"/>
  <c r="C628" i="54"/>
  <c r="D628" i="54"/>
  <c r="C629" i="54"/>
  <c r="D629" i="54"/>
  <c r="C630" i="54"/>
  <c r="D630" i="54"/>
  <c r="C631" i="54"/>
  <c r="D631" i="54"/>
  <c r="C632" i="54"/>
  <c r="D632" i="54"/>
  <c r="C633" i="54"/>
  <c r="D633" i="54"/>
  <c r="C634" i="54"/>
  <c r="D634" i="54"/>
  <c r="C635" i="54"/>
  <c r="D635" i="54"/>
  <c r="C636" i="54"/>
  <c r="D636" i="54"/>
  <c r="C637" i="54"/>
  <c r="D637" i="54"/>
  <c r="D2" i="54"/>
  <c r="C2" i="54"/>
  <c r="E604" i="54"/>
  <c r="B604" i="54"/>
  <c r="A604" i="54"/>
  <c r="E603" i="54"/>
  <c r="B603" i="54"/>
  <c r="A603" i="54"/>
  <c r="E602" i="54"/>
  <c r="B602" i="54"/>
  <c r="A602" i="54"/>
  <c r="E601" i="54"/>
  <c r="B601" i="54"/>
  <c r="A601" i="54"/>
  <c r="E600" i="54"/>
  <c r="B600" i="54"/>
  <c r="A600" i="54"/>
  <c r="E599" i="54"/>
  <c r="B599" i="54"/>
  <c r="A599" i="54"/>
  <c r="E598" i="54"/>
  <c r="B598" i="54"/>
  <c r="A598" i="54"/>
  <c r="E597" i="54"/>
  <c r="B597" i="54"/>
  <c r="A597" i="54"/>
  <c r="E596" i="54"/>
  <c r="B596" i="54"/>
  <c r="A596" i="54"/>
  <c r="E595" i="54"/>
  <c r="B595" i="54"/>
  <c r="A595" i="54"/>
  <c r="E594" i="54"/>
  <c r="B594" i="54"/>
  <c r="A594" i="54"/>
  <c r="E593" i="54"/>
  <c r="B593" i="54"/>
  <c r="A593" i="54"/>
  <c r="E592" i="54"/>
  <c r="B592" i="54"/>
  <c r="A592" i="54"/>
  <c r="E591" i="54"/>
  <c r="B591" i="54"/>
  <c r="A591" i="54"/>
  <c r="E590" i="54"/>
  <c r="B590" i="54"/>
  <c r="A590" i="54"/>
  <c r="E589" i="54"/>
  <c r="B589" i="54"/>
  <c r="A589" i="54"/>
  <c r="E588" i="54"/>
  <c r="B588" i="54"/>
  <c r="A588" i="54"/>
  <c r="E587" i="54"/>
  <c r="B587" i="54"/>
  <c r="A587" i="54"/>
  <c r="E586" i="54"/>
  <c r="B586" i="54"/>
  <c r="A586" i="54"/>
  <c r="E585" i="54"/>
  <c r="B585" i="54"/>
  <c r="A585" i="54"/>
  <c r="E584" i="54"/>
  <c r="B584" i="54"/>
  <c r="A584" i="54"/>
  <c r="E583" i="54"/>
  <c r="B583" i="54"/>
  <c r="A583" i="54"/>
  <c r="E582" i="54"/>
  <c r="B582" i="54"/>
  <c r="A582" i="54"/>
  <c r="E581" i="54"/>
  <c r="B581" i="54"/>
  <c r="A581" i="54"/>
  <c r="E580" i="54"/>
  <c r="B580" i="54"/>
  <c r="A580" i="54"/>
  <c r="E579" i="54"/>
  <c r="B579" i="54"/>
  <c r="A579" i="54"/>
  <c r="E578" i="54"/>
  <c r="B578" i="54"/>
  <c r="A578" i="54"/>
  <c r="E577" i="54"/>
  <c r="B577" i="54"/>
  <c r="A577" i="54"/>
  <c r="E576" i="54"/>
  <c r="B576" i="54"/>
  <c r="A576" i="54"/>
  <c r="E575" i="54"/>
  <c r="B575" i="54"/>
  <c r="A575" i="54"/>
  <c r="E574" i="54"/>
  <c r="B574" i="54"/>
  <c r="A574" i="54"/>
  <c r="E573" i="54"/>
  <c r="B573" i="54"/>
  <c r="A573" i="54"/>
  <c r="E572" i="54"/>
  <c r="B572" i="54"/>
  <c r="A572" i="54"/>
  <c r="E571" i="54"/>
  <c r="B571" i="54"/>
  <c r="A571" i="54"/>
  <c r="E570" i="54"/>
  <c r="B570" i="54"/>
  <c r="A570" i="54"/>
  <c r="E569" i="54"/>
  <c r="B569" i="54"/>
  <c r="A569" i="54"/>
  <c r="E568" i="54"/>
  <c r="B568" i="54"/>
  <c r="A568" i="54"/>
  <c r="E567" i="54"/>
  <c r="B567" i="54"/>
  <c r="A567" i="54"/>
  <c r="E566" i="54"/>
  <c r="B566" i="54"/>
  <c r="A566" i="54"/>
  <c r="E565" i="54"/>
  <c r="B565" i="54"/>
  <c r="A565" i="54"/>
  <c r="E564" i="54"/>
  <c r="B564" i="54"/>
  <c r="A564" i="54"/>
  <c r="E563" i="54"/>
  <c r="B563" i="54"/>
  <c r="A563" i="54"/>
  <c r="E562" i="54"/>
  <c r="B562" i="54"/>
  <c r="A562" i="54"/>
  <c r="E561" i="54"/>
  <c r="B561" i="54"/>
  <c r="A561" i="54"/>
  <c r="E560" i="54"/>
  <c r="B560" i="54"/>
  <c r="A560" i="54"/>
  <c r="E559" i="54"/>
  <c r="B559" i="54"/>
  <c r="A559" i="54"/>
  <c r="E558" i="54"/>
  <c r="B558" i="54"/>
  <c r="A558" i="54"/>
  <c r="E557" i="54"/>
  <c r="B557" i="54"/>
  <c r="A557" i="54"/>
  <c r="E556" i="54"/>
  <c r="B556" i="54"/>
  <c r="A556" i="54"/>
  <c r="E555" i="54"/>
  <c r="B555" i="54"/>
  <c r="A555" i="54"/>
  <c r="E554" i="54"/>
  <c r="B554" i="54"/>
  <c r="A554" i="54"/>
  <c r="E553" i="54"/>
  <c r="B553" i="54"/>
  <c r="A553" i="54"/>
  <c r="E552" i="54"/>
  <c r="B552" i="54"/>
  <c r="A552" i="54"/>
  <c r="E551" i="54"/>
  <c r="B551" i="54"/>
  <c r="A551" i="54"/>
  <c r="E550" i="54"/>
  <c r="B550" i="54"/>
  <c r="A550" i="54"/>
  <c r="E549" i="54"/>
  <c r="B549" i="54"/>
  <c r="A549" i="54"/>
  <c r="E548" i="54"/>
  <c r="B548" i="54"/>
  <c r="A548" i="54"/>
  <c r="E547" i="54"/>
  <c r="B547" i="54"/>
  <c r="A547" i="54"/>
  <c r="E546" i="54"/>
  <c r="B546" i="54"/>
  <c r="A546" i="54"/>
  <c r="E545" i="54"/>
  <c r="B545" i="54"/>
  <c r="A545" i="54"/>
  <c r="E544" i="54"/>
  <c r="B544" i="54"/>
  <c r="A544" i="54"/>
  <c r="E543" i="54"/>
  <c r="B543" i="54"/>
  <c r="A543" i="54"/>
  <c r="E542" i="54"/>
  <c r="B542" i="54"/>
  <c r="A542" i="54"/>
  <c r="E541" i="54"/>
  <c r="B541" i="54"/>
  <c r="A541" i="54"/>
  <c r="E540" i="54"/>
  <c r="B540" i="54"/>
  <c r="A540" i="54"/>
  <c r="E539" i="54"/>
  <c r="B539" i="54"/>
  <c r="A539" i="54"/>
  <c r="E538" i="54"/>
  <c r="B538" i="54"/>
  <c r="A538" i="54"/>
  <c r="E537" i="54"/>
  <c r="B537" i="54"/>
  <c r="A537" i="54"/>
  <c r="E536" i="54"/>
  <c r="B536" i="54"/>
  <c r="A536" i="54"/>
  <c r="E535" i="54"/>
  <c r="B535" i="54"/>
  <c r="A535" i="54"/>
  <c r="E534" i="54"/>
  <c r="B534" i="54"/>
  <c r="A534" i="54"/>
  <c r="E533" i="54"/>
  <c r="B533" i="54"/>
  <c r="A533" i="54"/>
  <c r="E532" i="54"/>
  <c r="B532" i="54"/>
  <c r="A532" i="54"/>
  <c r="E531" i="54"/>
  <c r="B531" i="54"/>
  <c r="A531" i="54"/>
  <c r="E530" i="54"/>
  <c r="B530" i="54"/>
  <c r="A530" i="54"/>
  <c r="E529" i="54"/>
  <c r="B529" i="54"/>
  <c r="A529" i="54"/>
  <c r="E528" i="54"/>
  <c r="B528" i="54"/>
  <c r="A528" i="54"/>
  <c r="E527" i="54"/>
  <c r="B527" i="54"/>
  <c r="A527" i="54"/>
  <c r="E526" i="54"/>
  <c r="B526" i="54"/>
  <c r="A526" i="54"/>
  <c r="E525" i="54"/>
  <c r="B525" i="54"/>
  <c r="A525" i="54"/>
  <c r="E524" i="54"/>
  <c r="B524" i="54"/>
  <c r="A524" i="54"/>
  <c r="E523" i="54"/>
  <c r="B523" i="54"/>
  <c r="A523" i="54"/>
  <c r="E522" i="54"/>
  <c r="B522" i="54"/>
  <c r="A522" i="54"/>
  <c r="E521" i="54"/>
  <c r="B521" i="54"/>
  <c r="A521" i="54"/>
  <c r="E520" i="54"/>
  <c r="B520" i="54"/>
  <c r="A520" i="54"/>
  <c r="E519" i="54"/>
  <c r="B519" i="54"/>
  <c r="A519" i="54"/>
  <c r="E518" i="54"/>
  <c r="B518" i="54"/>
  <c r="A518" i="54"/>
  <c r="E517" i="54"/>
  <c r="B517" i="54"/>
  <c r="A517" i="54"/>
  <c r="E516" i="54"/>
  <c r="B516" i="54"/>
  <c r="A516" i="54"/>
  <c r="E515" i="54"/>
  <c r="B515" i="54"/>
  <c r="A515" i="54"/>
  <c r="E514" i="54"/>
  <c r="B514" i="54"/>
  <c r="A514" i="54"/>
  <c r="E513" i="54"/>
  <c r="B513" i="54"/>
  <c r="A513" i="54"/>
  <c r="E512" i="54"/>
  <c r="B512" i="54"/>
  <c r="A512" i="54"/>
  <c r="E511" i="54"/>
  <c r="B511" i="54"/>
  <c r="A511" i="54"/>
  <c r="E510" i="54"/>
  <c r="B510" i="54"/>
  <c r="A510" i="54"/>
  <c r="E509" i="54"/>
  <c r="B509" i="54"/>
  <c r="A509" i="54"/>
  <c r="E508" i="54"/>
  <c r="B508" i="54"/>
  <c r="A508" i="54"/>
  <c r="E507" i="54"/>
  <c r="B507" i="54"/>
  <c r="A507" i="54"/>
  <c r="E506" i="54"/>
  <c r="B506" i="54"/>
  <c r="A506" i="54"/>
  <c r="E505" i="54"/>
  <c r="B505" i="54"/>
  <c r="A505" i="54"/>
  <c r="E504" i="54"/>
  <c r="B504" i="54"/>
  <c r="A504" i="54"/>
  <c r="E503" i="54"/>
  <c r="B503" i="54"/>
  <c r="A503" i="54"/>
  <c r="E502" i="54"/>
  <c r="B502" i="54"/>
  <c r="A502" i="54"/>
  <c r="E501" i="54"/>
  <c r="B501" i="54"/>
  <c r="A501" i="54"/>
  <c r="E500" i="54"/>
  <c r="B500" i="54"/>
  <c r="A500" i="54"/>
  <c r="E499" i="54"/>
  <c r="B499" i="54"/>
  <c r="A499" i="54"/>
  <c r="E498" i="54"/>
  <c r="B498" i="54"/>
  <c r="A498" i="54"/>
  <c r="E497" i="54"/>
  <c r="B497" i="54"/>
  <c r="A497" i="54"/>
  <c r="E496" i="54"/>
  <c r="B496" i="54"/>
  <c r="A496" i="54"/>
  <c r="E495" i="54"/>
  <c r="B495" i="54"/>
  <c r="A495" i="54"/>
  <c r="E494" i="54"/>
  <c r="B494" i="54"/>
  <c r="A494" i="54"/>
  <c r="E493" i="54"/>
  <c r="B493" i="54"/>
  <c r="A493" i="54"/>
  <c r="E492" i="54"/>
  <c r="B492" i="54"/>
  <c r="A492" i="54"/>
  <c r="E491" i="54"/>
  <c r="B491" i="54"/>
  <c r="A491" i="54"/>
  <c r="E490" i="54"/>
  <c r="B490" i="54"/>
  <c r="A490" i="54"/>
  <c r="E489" i="54"/>
  <c r="B489" i="54"/>
  <c r="A489" i="54"/>
  <c r="E488" i="54"/>
  <c r="B488" i="54"/>
  <c r="A488" i="54"/>
  <c r="E487" i="54"/>
  <c r="B487" i="54"/>
  <c r="A487" i="54"/>
  <c r="E486" i="54"/>
  <c r="B486" i="54"/>
  <c r="A486" i="54"/>
  <c r="E485" i="54"/>
  <c r="B485" i="54"/>
  <c r="A485" i="54"/>
  <c r="E484" i="54"/>
  <c r="B484" i="54"/>
  <c r="A484" i="54"/>
  <c r="E483" i="54"/>
  <c r="B483" i="54"/>
  <c r="A483" i="54"/>
  <c r="E482" i="54"/>
  <c r="B482" i="54"/>
  <c r="A482" i="54"/>
  <c r="E481" i="54"/>
  <c r="B481" i="54"/>
  <c r="A481" i="54"/>
  <c r="E480" i="54"/>
  <c r="B480" i="54"/>
  <c r="A480" i="54"/>
  <c r="E479" i="54"/>
  <c r="B479" i="54"/>
  <c r="A479" i="54"/>
  <c r="E478" i="54"/>
  <c r="B478" i="54"/>
  <c r="A478" i="54"/>
  <c r="E477" i="54"/>
  <c r="B477" i="54"/>
  <c r="A477" i="54"/>
  <c r="E476" i="54"/>
  <c r="B476" i="54"/>
  <c r="A476" i="54"/>
  <c r="E475" i="54"/>
  <c r="B475" i="54"/>
  <c r="A475" i="54"/>
  <c r="E474" i="54"/>
  <c r="B474" i="54"/>
  <c r="A474" i="54"/>
  <c r="E473" i="54"/>
  <c r="B473" i="54"/>
  <c r="A473" i="54"/>
  <c r="E472" i="54"/>
  <c r="B472" i="54"/>
  <c r="A472" i="54"/>
  <c r="E471" i="54"/>
  <c r="B471" i="54"/>
  <c r="A471" i="54"/>
  <c r="E470" i="54"/>
  <c r="B470" i="54"/>
  <c r="A470" i="54"/>
  <c r="E469" i="54"/>
  <c r="B469" i="54"/>
  <c r="A469" i="54"/>
  <c r="E468" i="54"/>
  <c r="B468" i="54"/>
  <c r="A468" i="54"/>
  <c r="E467" i="54"/>
  <c r="B467" i="54"/>
  <c r="A467" i="54"/>
  <c r="E466" i="54"/>
  <c r="B466" i="54"/>
  <c r="A466" i="54"/>
  <c r="E465" i="54"/>
  <c r="B465" i="54"/>
  <c r="A465" i="54"/>
  <c r="E464" i="54"/>
  <c r="B464" i="54"/>
  <c r="A464" i="54"/>
  <c r="E463" i="54"/>
  <c r="B463" i="54"/>
  <c r="A463" i="54"/>
  <c r="E462" i="54"/>
  <c r="B462" i="54"/>
  <c r="A462" i="54"/>
  <c r="E461" i="54"/>
  <c r="B461" i="54"/>
  <c r="A461" i="54"/>
  <c r="E460" i="54"/>
  <c r="B460" i="54"/>
  <c r="A460" i="54"/>
  <c r="E459" i="54"/>
  <c r="B459" i="54"/>
  <c r="A459" i="54"/>
  <c r="E458" i="54"/>
  <c r="B458" i="54"/>
  <c r="A458" i="54"/>
  <c r="E457" i="54"/>
  <c r="B457" i="54"/>
  <c r="A457" i="54"/>
  <c r="E456" i="54"/>
  <c r="B456" i="54"/>
  <c r="A456" i="54"/>
  <c r="E455" i="54"/>
  <c r="B455" i="54"/>
  <c r="A455" i="54"/>
  <c r="E454" i="54"/>
  <c r="B454" i="54"/>
  <c r="A454" i="54"/>
  <c r="E453" i="54"/>
  <c r="B453" i="54"/>
  <c r="A453" i="54"/>
  <c r="E452" i="54"/>
  <c r="B452" i="54"/>
  <c r="A452" i="54"/>
  <c r="E451" i="54"/>
  <c r="B451" i="54"/>
  <c r="A451" i="54"/>
  <c r="E450" i="54"/>
  <c r="B450" i="54"/>
  <c r="A450" i="54"/>
  <c r="E449" i="54"/>
  <c r="B449" i="54"/>
  <c r="A449" i="54"/>
  <c r="E448" i="54"/>
  <c r="B448" i="54"/>
  <c r="A448" i="54"/>
  <c r="E447" i="54"/>
  <c r="B447" i="54"/>
  <c r="A447" i="54"/>
  <c r="E446" i="54"/>
  <c r="B446" i="54"/>
  <c r="A446" i="54"/>
  <c r="E445" i="54"/>
  <c r="B445" i="54"/>
  <c r="A445" i="54"/>
  <c r="E444" i="54"/>
  <c r="B444" i="54"/>
  <c r="A444" i="54"/>
  <c r="E443" i="54"/>
  <c r="B443" i="54"/>
  <c r="A443" i="54"/>
  <c r="E442" i="54"/>
  <c r="B442" i="54"/>
  <c r="A442" i="54"/>
  <c r="E441" i="54"/>
  <c r="B441" i="54"/>
  <c r="A441" i="54"/>
  <c r="E440" i="54"/>
  <c r="B440" i="54"/>
  <c r="A440" i="54"/>
  <c r="E439" i="54"/>
  <c r="B439" i="54"/>
  <c r="A439" i="54"/>
  <c r="E438" i="54"/>
  <c r="B438" i="54"/>
  <c r="A438" i="54"/>
  <c r="E437" i="54"/>
  <c r="B437" i="54"/>
  <c r="A437" i="54"/>
  <c r="E436" i="54"/>
  <c r="B436" i="54"/>
  <c r="A436" i="54"/>
  <c r="E435" i="54"/>
  <c r="B435" i="54"/>
  <c r="A435" i="54"/>
  <c r="E434" i="54"/>
  <c r="B434" i="54"/>
  <c r="A434" i="54"/>
  <c r="E433" i="54"/>
  <c r="B433" i="54"/>
  <c r="A433" i="54"/>
  <c r="E432" i="54"/>
  <c r="B432" i="54"/>
  <c r="A432" i="54"/>
  <c r="E431" i="54"/>
  <c r="B431" i="54"/>
  <c r="A431" i="54"/>
  <c r="E430" i="54"/>
  <c r="B430" i="54"/>
  <c r="A430" i="54"/>
  <c r="E429" i="54"/>
  <c r="B429" i="54"/>
  <c r="A429" i="54"/>
  <c r="E428" i="54"/>
  <c r="B428" i="54"/>
  <c r="A428" i="54"/>
  <c r="E427" i="54"/>
  <c r="B427" i="54"/>
  <c r="A427" i="54"/>
  <c r="E426" i="54"/>
  <c r="B426" i="54"/>
  <c r="A426" i="54"/>
  <c r="E425" i="54"/>
  <c r="B425" i="54"/>
  <c r="A425" i="54"/>
  <c r="E424" i="54"/>
  <c r="B424" i="54"/>
  <c r="A424" i="54"/>
  <c r="E423" i="54"/>
  <c r="B423" i="54"/>
  <c r="A423" i="54"/>
  <c r="E422" i="54"/>
  <c r="B422" i="54"/>
  <c r="A422" i="54"/>
  <c r="E421" i="54"/>
  <c r="B421" i="54"/>
  <c r="A421" i="54"/>
  <c r="E420" i="54"/>
  <c r="B420" i="54"/>
  <c r="A420" i="54"/>
  <c r="E419" i="54"/>
  <c r="B419" i="54"/>
  <c r="A419" i="54"/>
  <c r="E418" i="54"/>
  <c r="B418" i="54"/>
  <c r="A418" i="54"/>
  <c r="E417" i="54"/>
  <c r="B417" i="54"/>
  <c r="A417" i="54"/>
  <c r="E416" i="54"/>
  <c r="B416" i="54"/>
  <c r="A416" i="54"/>
  <c r="E415" i="54"/>
  <c r="B415" i="54"/>
  <c r="A415" i="54"/>
  <c r="E414" i="54"/>
  <c r="B414" i="54"/>
  <c r="A414" i="54"/>
  <c r="E413" i="54"/>
  <c r="B413" i="54"/>
  <c r="A413" i="54"/>
  <c r="E412" i="54"/>
  <c r="B412" i="54"/>
  <c r="A412" i="54"/>
  <c r="E411" i="54"/>
  <c r="B411" i="54"/>
  <c r="A411" i="54"/>
  <c r="E410" i="54"/>
  <c r="B410" i="54"/>
  <c r="A410" i="54"/>
  <c r="E409" i="54"/>
  <c r="B409" i="54"/>
  <c r="A409" i="54"/>
  <c r="E408" i="54"/>
  <c r="B408" i="54"/>
  <c r="A408" i="54"/>
  <c r="E407" i="54"/>
  <c r="B407" i="54"/>
  <c r="A407" i="54"/>
  <c r="E406" i="54"/>
  <c r="B406" i="54"/>
  <c r="A406" i="54"/>
  <c r="E405" i="54"/>
  <c r="B405" i="54"/>
  <c r="A405" i="54"/>
  <c r="E404" i="54"/>
  <c r="B404" i="54"/>
  <c r="A404" i="54"/>
  <c r="E403" i="54"/>
  <c r="B403" i="54"/>
  <c r="A403" i="54"/>
  <c r="E402" i="54"/>
  <c r="B402" i="54"/>
  <c r="A402" i="54"/>
  <c r="E401" i="54"/>
  <c r="B401" i="54"/>
  <c r="A401" i="54"/>
  <c r="E400" i="54"/>
  <c r="B400" i="54"/>
  <c r="A400" i="54"/>
  <c r="E399" i="54"/>
  <c r="B399" i="54"/>
  <c r="A399" i="54"/>
  <c r="E398" i="54"/>
  <c r="B398" i="54"/>
  <c r="A398" i="54"/>
  <c r="E397" i="54"/>
  <c r="B397" i="54"/>
  <c r="A397" i="54"/>
  <c r="E396" i="54"/>
  <c r="B396" i="54"/>
  <c r="A396" i="54"/>
  <c r="E395" i="54"/>
  <c r="B395" i="54"/>
  <c r="A395" i="54"/>
  <c r="E394" i="54"/>
  <c r="B394" i="54"/>
  <c r="A394" i="54"/>
  <c r="E393" i="54"/>
  <c r="B393" i="54"/>
  <c r="A393" i="54"/>
  <c r="E392" i="54"/>
  <c r="B392" i="54"/>
  <c r="A392" i="54"/>
  <c r="E391" i="54"/>
  <c r="B391" i="54"/>
  <c r="A391" i="54"/>
  <c r="E390" i="54"/>
  <c r="B390" i="54"/>
  <c r="A390" i="54"/>
  <c r="E389" i="54"/>
  <c r="B389" i="54"/>
  <c r="A389" i="54"/>
  <c r="E388" i="54"/>
  <c r="B388" i="54"/>
  <c r="A388" i="54"/>
  <c r="E387" i="54"/>
  <c r="B387" i="54"/>
  <c r="A387" i="54"/>
  <c r="E386" i="54"/>
  <c r="B386" i="54"/>
  <c r="A386" i="54"/>
  <c r="E385" i="54"/>
  <c r="B385" i="54"/>
  <c r="A385" i="54"/>
  <c r="E384" i="54"/>
  <c r="B384" i="54"/>
  <c r="A384" i="54"/>
  <c r="E383" i="54"/>
  <c r="B383" i="54"/>
  <c r="A383" i="54"/>
  <c r="E382" i="54"/>
  <c r="B382" i="54"/>
  <c r="A382" i="54"/>
  <c r="E381" i="54"/>
  <c r="B381" i="54"/>
  <c r="A381" i="54"/>
  <c r="E380" i="54"/>
  <c r="B380" i="54"/>
  <c r="A380" i="54"/>
  <c r="E379" i="54"/>
  <c r="B379" i="54"/>
  <c r="A379" i="54"/>
  <c r="E378" i="54"/>
  <c r="B378" i="54"/>
  <c r="A378" i="54"/>
  <c r="E377" i="54"/>
  <c r="B377" i="54"/>
  <c r="A377" i="54"/>
  <c r="E376" i="54"/>
  <c r="B376" i="54"/>
  <c r="A376" i="54"/>
  <c r="E375" i="54"/>
  <c r="B375" i="54"/>
  <c r="A375" i="54"/>
  <c r="E374" i="54"/>
  <c r="B374" i="54"/>
  <c r="A374" i="54"/>
  <c r="E373" i="54"/>
  <c r="B373" i="54"/>
  <c r="A373" i="54"/>
  <c r="E372" i="54"/>
  <c r="B372" i="54"/>
  <c r="A372" i="54"/>
  <c r="E371" i="54"/>
  <c r="B371" i="54"/>
  <c r="A371" i="54"/>
  <c r="E370" i="54"/>
  <c r="B370" i="54"/>
  <c r="A370" i="54"/>
  <c r="E369" i="54"/>
  <c r="B369" i="54"/>
  <c r="A369" i="54"/>
  <c r="E368" i="54"/>
  <c r="B368" i="54"/>
  <c r="A368" i="54"/>
  <c r="E367" i="54"/>
  <c r="B367" i="54"/>
  <c r="A367" i="54"/>
  <c r="E366" i="54"/>
  <c r="B366" i="54"/>
  <c r="A366" i="54"/>
  <c r="E365" i="54"/>
  <c r="B365" i="54"/>
  <c r="A365" i="54"/>
  <c r="E364" i="54"/>
  <c r="B364" i="54"/>
  <c r="A364" i="54"/>
  <c r="E363" i="54"/>
  <c r="B363" i="54"/>
  <c r="A363" i="54"/>
  <c r="E362" i="54"/>
  <c r="B362" i="54"/>
  <c r="A362" i="54"/>
  <c r="E361" i="54"/>
  <c r="B361" i="54"/>
  <c r="A361" i="54"/>
  <c r="E360" i="54"/>
  <c r="B360" i="54"/>
  <c r="A360" i="54"/>
  <c r="E359" i="54"/>
  <c r="B359" i="54"/>
  <c r="A359" i="54"/>
  <c r="E358" i="54"/>
  <c r="B358" i="54"/>
  <c r="A358" i="54"/>
  <c r="E357" i="54"/>
  <c r="B357" i="54"/>
  <c r="A357" i="54"/>
  <c r="E356" i="54"/>
  <c r="B356" i="54"/>
  <c r="A356" i="54"/>
  <c r="E355" i="54"/>
  <c r="B355" i="54"/>
  <c r="A355" i="54"/>
  <c r="E354" i="54"/>
  <c r="B354" i="54"/>
  <c r="A354" i="54"/>
  <c r="E353" i="54"/>
  <c r="B353" i="54"/>
  <c r="A353" i="54"/>
  <c r="E352" i="54"/>
  <c r="B352" i="54"/>
  <c r="A352" i="54"/>
  <c r="E351" i="54"/>
  <c r="B351" i="54"/>
  <c r="A351" i="54"/>
  <c r="E350" i="54"/>
  <c r="B350" i="54"/>
  <c r="A350" i="54"/>
  <c r="E349" i="54"/>
  <c r="B349" i="54"/>
  <c r="A349" i="54"/>
  <c r="E348" i="54"/>
  <c r="B348" i="54"/>
  <c r="A348" i="54"/>
  <c r="E347" i="54"/>
  <c r="B347" i="54"/>
  <c r="A347" i="54"/>
  <c r="E346" i="54"/>
  <c r="B346" i="54"/>
  <c r="A346" i="54"/>
  <c r="E345" i="54"/>
  <c r="B345" i="54"/>
  <c r="A345" i="54"/>
  <c r="E344" i="54"/>
  <c r="B344" i="54"/>
  <c r="A344" i="54"/>
  <c r="E343" i="54"/>
  <c r="B343" i="54"/>
  <c r="A343" i="54"/>
  <c r="E342" i="54"/>
  <c r="B342" i="54"/>
  <c r="A342" i="54"/>
  <c r="E341" i="54"/>
  <c r="B341" i="54"/>
  <c r="A341" i="54"/>
  <c r="E340" i="54"/>
  <c r="B340" i="54"/>
  <c r="A340" i="54"/>
  <c r="E339" i="54"/>
  <c r="B339" i="54"/>
  <c r="A339" i="54"/>
  <c r="E338" i="54"/>
  <c r="B338" i="54"/>
  <c r="A338" i="54"/>
  <c r="E337" i="54"/>
  <c r="B337" i="54"/>
  <c r="A337" i="54"/>
  <c r="E336" i="54"/>
  <c r="B336" i="54"/>
  <c r="A336" i="54"/>
  <c r="E335" i="54"/>
  <c r="B335" i="54"/>
  <c r="A335" i="54"/>
  <c r="E334" i="54"/>
  <c r="B334" i="54"/>
  <c r="A334" i="54"/>
  <c r="E333" i="54"/>
  <c r="B333" i="54"/>
  <c r="A333" i="54"/>
  <c r="E332" i="54"/>
  <c r="B332" i="54"/>
  <c r="A332" i="54"/>
  <c r="E331" i="54"/>
  <c r="B331" i="54"/>
  <c r="A331" i="54"/>
  <c r="E330" i="54"/>
  <c r="B330" i="54"/>
  <c r="A330" i="54"/>
  <c r="E329" i="54"/>
  <c r="B329" i="54"/>
  <c r="A329" i="54"/>
  <c r="E328" i="54"/>
  <c r="B328" i="54"/>
  <c r="A328" i="54"/>
  <c r="E327" i="54"/>
  <c r="B327" i="54"/>
  <c r="A327" i="54"/>
  <c r="E326" i="54"/>
  <c r="B326" i="54"/>
  <c r="A326" i="54"/>
  <c r="E325" i="54"/>
  <c r="B325" i="54"/>
  <c r="A325" i="54"/>
  <c r="E324" i="54"/>
  <c r="B324" i="54"/>
  <c r="A324" i="54"/>
  <c r="E323" i="54"/>
  <c r="B323" i="54"/>
  <c r="A323" i="54"/>
  <c r="E322" i="54"/>
  <c r="B322" i="54"/>
  <c r="A322" i="54"/>
  <c r="E321" i="54"/>
  <c r="B321" i="54"/>
  <c r="A321" i="54"/>
  <c r="E320" i="54"/>
  <c r="B320" i="54"/>
  <c r="A320" i="54"/>
  <c r="E319" i="54"/>
  <c r="B319" i="54"/>
  <c r="A319" i="54"/>
  <c r="E318" i="54"/>
  <c r="B318" i="54"/>
  <c r="A318" i="54"/>
  <c r="E317" i="54"/>
  <c r="B317" i="54"/>
  <c r="A317" i="54"/>
  <c r="E316" i="54"/>
  <c r="B316" i="54"/>
  <c r="A316" i="54"/>
  <c r="E315" i="54"/>
  <c r="B315" i="54"/>
  <c r="A315" i="54"/>
  <c r="E314" i="54"/>
  <c r="B314" i="54"/>
  <c r="A314" i="54"/>
  <c r="E313" i="54"/>
  <c r="B313" i="54"/>
  <c r="A313" i="54"/>
  <c r="E312" i="54"/>
  <c r="B312" i="54"/>
  <c r="A312" i="54"/>
  <c r="E311" i="54"/>
  <c r="B311" i="54"/>
  <c r="A311" i="54"/>
  <c r="E310" i="54"/>
  <c r="B310" i="54"/>
  <c r="A310" i="54"/>
  <c r="E309" i="54"/>
  <c r="B309" i="54"/>
  <c r="A309" i="54"/>
  <c r="E308" i="54"/>
  <c r="B308" i="54"/>
  <c r="A308" i="54"/>
  <c r="E307" i="54"/>
  <c r="B307" i="54"/>
  <c r="A307" i="54"/>
  <c r="E306" i="54"/>
  <c r="B306" i="54"/>
  <c r="A306" i="54"/>
  <c r="E305" i="54"/>
  <c r="B305" i="54"/>
  <c r="A305" i="54"/>
  <c r="E304" i="54"/>
  <c r="B304" i="54"/>
  <c r="A304" i="54"/>
  <c r="E303" i="54"/>
  <c r="B303" i="54"/>
  <c r="A303" i="54"/>
  <c r="E302" i="54"/>
  <c r="B302" i="54"/>
  <c r="A302" i="54"/>
  <c r="E301" i="54"/>
  <c r="B301" i="54"/>
  <c r="A301" i="54"/>
  <c r="E300" i="54"/>
  <c r="B300" i="54"/>
  <c r="A300" i="54"/>
  <c r="E299" i="54"/>
  <c r="B299" i="54"/>
  <c r="A299" i="54"/>
  <c r="E298" i="54"/>
  <c r="B298" i="54"/>
  <c r="A298" i="54"/>
  <c r="E297" i="54"/>
  <c r="B297" i="54"/>
  <c r="A297" i="54"/>
  <c r="E296" i="54"/>
  <c r="B296" i="54"/>
  <c r="A296" i="54"/>
  <c r="E295" i="54"/>
  <c r="B295" i="54"/>
  <c r="A295" i="54"/>
  <c r="E294" i="54"/>
  <c r="B294" i="54"/>
  <c r="A294" i="54"/>
  <c r="E293" i="54"/>
  <c r="B293" i="54"/>
  <c r="A293" i="54"/>
  <c r="E292" i="54"/>
  <c r="B292" i="54"/>
  <c r="A292" i="54"/>
  <c r="E291" i="54"/>
  <c r="B291" i="54"/>
  <c r="A291" i="54"/>
  <c r="E290" i="54"/>
  <c r="B290" i="54"/>
  <c r="A290" i="54"/>
  <c r="E289" i="54"/>
  <c r="B289" i="54"/>
  <c r="A289" i="54"/>
  <c r="E288" i="54"/>
  <c r="B288" i="54"/>
  <c r="A288" i="54"/>
  <c r="E287" i="54"/>
  <c r="B287" i="54"/>
  <c r="A287" i="54"/>
  <c r="E286" i="54"/>
  <c r="B286" i="54"/>
  <c r="A286" i="54"/>
  <c r="E285" i="54"/>
  <c r="B285" i="54"/>
  <c r="A285" i="54"/>
  <c r="E284" i="54"/>
  <c r="B284" i="54"/>
  <c r="A284" i="54"/>
  <c r="E283" i="54"/>
  <c r="B283" i="54"/>
  <c r="A283" i="54"/>
  <c r="E282" i="54"/>
  <c r="B282" i="54"/>
  <c r="A282" i="54"/>
  <c r="E281" i="54"/>
  <c r="B281" i="54"/>
  <c r="A281" i="54"/>
  <c r="E280" i="54"/>
  <c r="B280" i="54"/>
  <c r="A280" i="54"/>
  <c r="E279" i="54"/>
  <c r="B279" i="54"/>
  <c r="A279" i="54"/>
  <c r="E278" i="54"/>
  <c r="B278" i="54"/>
  <c r="A278" i="54"/>
  <c r="E277" i="54"/>
  <c r="B277" i="54"/>
  <c r="A277" i="54"/>
  <c r="E276" i="54"/>
  <c r="B276" i="54"/>
  <c r="A276" i="54"/>
  <c r="E275" i="54"/>
  <c r="B275" i="54"/>
  <c r="A275" i="54"/>
  <c r="E274" i="54"/>
  <c r="B274" i="54"/>
  <c r="A274" i="54"/>
  <c r="E273" i="54"/>
  <c r="B273" i="54"/>
  <c r="A273" i="54"/>
  <c r="E272" i="54"/>
  <c r="B272" i="54"/>
  <c r="A272" i="54"/>
  <c r="E271" i="54"/>
  <c r="B271" i="54"/>
  <c r="A271" i="54"/>
  <c r="E270" i="54"/>
  <c r="B270" i="54"/>
  <c r="A270" i="54"/>
  <c r="E269" i="54"/>
  <c r="B269" i="54"/>
  <c r="A269" i="54"/>
  <c r="E268" i="54"/>
  <c r="B268" i="54"/>
  <c r="A268" i="54"/>
  <c r="E267" i="54"/>
  <c r="B267" i="54"/>
  <c r="A267" i="54"/>
  <c r="E266" i="54"/>
  <c r="B266" i="54"/>
  <c r="A266" i="54"/>
  <c r="E265" i="54"/>
  <c r="B265" i="54"/>
  <c r="A265" i="54"/>
  <c r="E264" i="54"/>
  <c r="B264" i="54"/>
  <c r="A264" i="54"/>
  <c r="E263" i="54"/>
  <c r="B263" i="54"/>
  <c r="A263" i="54"/>
  <c r="E262" i="54"/>
  <c r="B262" i="54"/>
  <c r="A262" i="54"/>
  <c r="E261" i="54"/>
  <c r="B261" i="54"/>
  <c r="A261" i="54"/>
  <c r="E260" i="54"/>
  <c r="B260" i="54"/>
  <c r="A260" i="54"/>
  <c r="E259" i="54"/>
  <c r="B259" i="54"/>
  <c r="A259" i="54"/>
  <c r="E258" i="54"/>
  <c r="B258" i="54"/>
  <c r="A258" i="54"/>
  <c r="E257" i="54"/>
  <c r="B257" i="54"/>
  <c r="A257" i="54"/>
  <c r="E256" i="54"/>
  <c r="B256" i="54"/>
  <c r="A256" i="54"/>
  <c r="E255" i="54"/>
  <c r="B255" i="54"/>
  <c r="A255" i="54"/>
  <c r="E254" i="54"/>
  <c r="B254" i="54"/>
  <c r="A254" i="54"/>
  <c r="E253" i="54"/>
  <c r="B253" i="54"/>
  <c r="A253" i="54"/>
  <c r="E252" i="54"/>
  <c r="B252" i="54"/>
  <c r="A252" i="54"/>
  <c r="E251" i="54"/>
  <c r="B251" i="54"/>
  <c r="A251" i="54"/>
  <c r="E250" i="54"/>
  <c r="B250" i="54"/>
  <c r="A250" i="54"/>
  <c r="E249" i="54"/>
  <c r="B249" i="54"/>
  <c r="A249" i="54"/>
  <c r="E248" i="54"/>
  <c r="B248" i="54"/>
  <c r="A248" i="54"/>
  <c r="E247" i="54"/>
  <c r="B247" i="54"/>
  <c r="A247" i="54"/>
  <c r="E246" i="54"/>
  <c r="B246" i="54"/>
  <c r="A246" i="54"/>
  <c r="E245" i="54"/>
  <c r="B245" i="54"/>
  <c r="A245" i="54"/>
  <c r="E244" i="54"/>
  <c r="B244" i="54"/>
  <c r="A244" i="54"/>
  <c r="E243" i="54"/>
  <c r="B243" i="54"/>
  <c r="A243" i="54"/>
  <c r="E242" i="54"/>
  <c r="B242" i="54"/>
  <c r="A242" i="54"/>
  <c r="E241" i="54"/>
  <c r="B241" i="54"/>
  <c r="A241" i="54"/>
  <c r="E240" i="54"/>
  <c r="B240" i="54"/>
  <c r="A240" i="54"/>
  <c r="E239" i="54"/>
  <c r="B239" i="54"/>
  <c r="A239" i="54"/>
  <c r="E238" i="54"/>
  <c r="B238" i="54"/>
  <c r="A238" i="54"/>
  <c r="E237" i="54"/>
  <c r="B237" i="54"/>
  <c r="A237" i="54"/>
  <c r="E236" i="54"/>
  <c r="B236" i="54"/>
  <c r="A236" i="54"/>
  <c r="E235" i="54"/>
  <c r="B235" i="54"/>
  <c r="A235" i="54"/>
  <c r="E234" i="54"/>
  <c r="B234" i="54"/>
  <c r="A234" i="54"/>
  <c r="E233" i="54"/>
  <c r="B233" i="54"/>
  <c r="A233" i="54"/>
  <c r="E232" i="54"/>
  <c r="B232" i="54"/>
  <c r="A232" i="54"/>
  <c r="E231" i="54"/>
  <c r="B231" i="54"/>
  <c r="A231" i="54"/>
  <c r="E230" i="54"/>
  <c r="B230" i="54"/>
  <c r="A230" i="54"/>
  <c r="E229" i="54"/>
  <c r="B229" i="54"/>
  <c r="A229" i="54"/>
  <c r="E228" i="54"/>
  <c r="B228" i="54"/>
  <c r="A228" i="54"/>
  <c r="E227" i="54"/>
  <c r="B227" i="54"/>
  <c r="A227" i="54"/>
  <c r="E226" i="54"/>
  <c r="B226" i="54"/>
  <c r="A226" i="54"/>
  <c r="E225" i="54"/>
  <c r="B225" i="54"/>
  <c r="A225" i="54"/>
  <c r="E224" i="54"/>
  <c r="B224" i="54"/>
  <c r="A224" i="54"/>
  <c r="E223" i="54"/>
  <c r="B223" i="54"/>
  <c r="A223" i="54"/>
  <c r="E222" i="54"/>
  <c r="B222" i="54"/>
  <c r="A222" i="54"/>
  <c r="E221" i="54"/>
  <c r="B221" i="54"/>
  <c r="A221" i="54"/>
  <c r="E220" i="54"/>
  <c r="B220" i="54"/>
  <c r="A220" i="54"/>
  <c r="E219" i="54"/>
  <c r="B219" i="54"/>
  <c r="A219" i="54"/>
  <c r="E218" i="54"/>
  <c r="B218" i="54"/>
  <c r="A218" i="54"/>
  <c r="E217" i="54"/>
  <c r="B217" i="54"/>
  <c r="A217" i="54"/>
  <c r="E216" i="54"/>
  <c r="B216" i="54"/>
  <c r="A216" i="54"/>
  <c r="E215" i="54"/>
  <c r="B215" i="54"/>
  <c r="A215" i="54"/>
  <c r="E214" i="54"/>
  <c r="B214" i="54"/>
  <c r="A214" i="54"/>
  <c r="E213" i="54"/>
  <c r="B213" i="54"/>
  <c r="A213" i="54"/>
  <c r="E212" i="54"/>
  <c r="B212" i="54"/>
  <c r="A212" i="54"/>
  <c r="E211" i="54"/>
  <c r="B211" i="54"/>
  <c r="A211" i="54"/>
  <c r="E210" i="54"/>
  <c r="B210" i="54"/>
  <c r="A210" i="54"/>
  <c r="E209" i="54"/>
  <c r="B209" i="54"/>
  <c r="A209" i="54"/>
  <c r="E208" i="54"/>
  <c r="B208" i="54"/>
  <c r="A208" i="54"/>
  <c r="E207" i="54"/>
  <c r="B207" i="54"/>
  <c r="A207" i="54"/>
  <c r="E206" i="54"/>
  <c r="B206" i="54"/>
  <c r="A206" i="54"/>
  <c r="E205" i="54"/>
  <c r="B205" i="54"/>
  <c r="A205" i="54"/>
  <c r="E204" i="54"/>
  <c r="B204" i="54"/>
  <c r="A204" i="54"/>
  <c r="E203" i="54"/>
  <c r="B203" i="54"/>
  <c r="A203" i="54"/>
  <c r="E202" i="54"/>
  <c r="B202" i="54"/>
  <c r="A202" i="54"/>
  <c r="E201" i="54"/>
  <c r="B201" i="54"/>
  <c r="A201" i="54"/>
  <c r="E200" i="54"/>
  <c r="B200" i="54"/>
  <c r="A200" i="54"/>
  <c r="E199" i="54"/>
  <c r="B199" i="54"/>
  <c r="A199" i="54"/>
  <c r="E198" i="54"/>
  <c r="B198" i="54"/>
  <c r="A198" i="54"/>
  <c r="E197" i="54"/>
  <c r="B197" i="54"/>
  <c r="A197" i="54"/>
  <c r="E196" i="54"/>
  <c r="B196" i="54"/>
  <c r="A196" i="54"/>
  <c r="E195" i="54"/>
  <c r="B195" i="54"/>
  <c r="A195" i="54"/>
  <c r="E194" i="54"/>
  <c r="B194" i="54"/>
  <c r="A194" i="54"/>
  <c r="E193" i="54"/>
  <c r="B193" i="54"/>
  <c r="A193" i="54"/>
  <c r="E192" i="54"/>
  <c r="B192" i="54"/>
  <c r="A192" i="54"/>
  <c r="E191" i="54"/>
  <c r="B191" i="54"/>
  <c r="A191" i="54"/>
  <c r="E190" i="54"/>
  <c r="B190" i="54"/>
  <c r="A190" i="54"/>
  <c r="E189" i="54"/>
  <c r="B189" i="54"/>
  <c r="A189" i="54"/>
  <c r="E188" i="54"/>
  <c r="B188" i="54"/>
  <c r="A188" i="54"/>
  <c r="E187" i="54"/>
  <c r="B187" i="54"/>
  <c r="A187" i="54"/>
  <c r="E186" i="54"/>
  <c r="B186" i="54"/>
  <c r="A186" i="54"/>
  <c r="E185" i="54"/>
  <c r="B185" i="54"/>
  <c r="A185" i="54"/>
  <c r="E184" i="54"/>
  <c r="B184" i="54"/>
  <c r="A184" i="54"/>
  <c r="E183" i="54"/>
  <c r="B183" i="54"/>
  <c r="A183" i="54"/>
  <c r="E182" i="54"/>
  <c r="B182" i="54"/>
  <c r="A182" i="54"/>
  <c r="E181" i="54"/>
  <c r="B181" i="54"/>
  <c r="A181" i="54"/>
  <c r="E180" i="54"/>
  <c r="B180" i="54"/>
  <c r="A180" i="54"/>
  <c r="E179" i="54"/>
  <c r="B179" i="54"/>
  <c r="A179" i="54"/>
  <c r="E178" i="54"/>
  <c r="B178" i="54"/>
  <c r="A178" i="54"/>
  <c r="E177" i="54"/>
  <c r="B177" i="54"/>
  <c r="A177" i="54"/>
  <c r="E176" i="54"/>
  <c r="B176" i="54"/>
  <c r="A176" i="54"/>
  <c r="E175" i="54"/>
  <c r="B175" i="54"/>
  <c r="A175" i="54"/>
  <c r="E174" i="54"/>
  <c r="B174" i="54"/>
  <c r="A174" i="54"/>
  <c r="E173" i="54"/>
  <c r="B173" i="54"/>
  <c r="A173" i="54"/>
  <c r="E172" i="54"/>
  <c r="B172" i="54"/>
  <c r="A172" i="54"/>
  <c r="E171" i="54"/>
  <c r="B171" i="54"/>
  <c r="A171" i="54"/>
  <c r="E170" i="54"/>
  <c r="B170" i="54"/>
  <c r="A170" i="54"/>
  <c r="E169" i="54"/>
  <c r="B169" i="54"/>
  <c r="A169" i="54"/>
  <c r="E168" i="54"/>
  <c r="B168" i="54"/>
  <c r="A168" i="54"/>
  <c r="E167" i="54"/>
  <c r="B167" i="54"/>
  <c r="A167" i="54"/>
  <c r="E166" i="54"/>
  <c r="B166" i="54"/>
  <c r="A166" i="54"/>
  <c r="E165" i="54"/>
  <c r="B165" i="54"/>
  <c r="A165" i="54"/>
  <c r="E164" i="54"/>
  <c r="B164" i="54"/>
  <c r="A164" i="54"/>
  <c r="E163" i="54"/>
  <c r="B163" i="54"/>
  <c r="A163" i="54"/>
  <c r="E162" i="54"/>
  <c r="B162" i="54"/>
  <c r="A162" i="54"/>
  <c r="E161" i="54"/>
  <c r="B161" i="54"/>
  <c r="A161" i="54"/>
  <c r="E160" i="54"/>
  <c r="B160" i="54"/>
  <c r="A160" i="54"/>
  <c r="E159" i="54"/>
  <c r="B159" i="54"/>
  <c r="A159" i="54"/>
  <c r="E158" i="54"/>
  <c r="B158" i="54"/>
  <c r="A158" i="54"/>
  <c r="E157" i="54"/>
  <c r="B157" i="54"/>
  <c r="A157" i="54"/>
  <c r="E156" i="54"/>
  <c r="B156" i="54"/>
  <c r="A156" i="54"/>
  <c r="E155" i="54"/>
  <c r="B155" i="54"/>
  <c r="A155" i="54"/>
  <c r="E154" i="54"/>
  <c r="B154" i="54"/>
  <c r="A154" i="54"/>
  <c r="E153" i="54"/>
  <c r="B153" i="54"/>
  <c r="A153" i="54"/>
  <c r="E152" i="54"/>
  <c r="B152" i="54"/>
  <c r="A152" i="54"/>
  <c r="E151" i="54"/>
  <c r="B151" i="54"/>
  <c r="A151" i="54"/>
  <c r="E150" i="54"/>
  <c r="B150" i="54"/>
  <c r="A150" i="54"/>
  <c r="E149" i="54"/>
  <c r="B149" i="54"/>
  <c r="A149" i="54"/>
  <c r="E148" i="54"/>
  <c r="B148" i="54"/>
  <c r="A148" i="54"/>
  <c r="E147" i="54"/>
  <c r="B147" i="54"/>
  <c r="A147" i="54"/>
  <c r="E146" i="54"/>
  <c r="B146" i="54"/>
  <c r="A146" i="54"/>
  <c r="E145" i="54"/>
  <c r="B145" i="54"/>
  <c r="A145" i="54"/>
  <c r="E144" i="54"/>
  <c r="B144" i="54"/>
  <c r="A144" i="54"/>
  <c r="E143" i="54"/>
  <c r="B143" i="54"/>
  <c r="A143" i="54"/>
  <c r="E142" i="54"/>
  <c r="B142" i="54"/>
  <c r="A142" i="54"/>
  <c r="E141" i="54"/>
  <c r="B141" i="54"/>
  <c r="A141" i="54"/>
  <c r="E140" i="54"/>
  <c r="B140" i="54"/>
  <c r="A140" i="54"/>
  <c r="E139" i="54"/>
  <c r="B139" i="54"/>
  <c r="A139" i="54"/>
  <c r="E138" i="54"/>
  <c r="B138" i="54"/>
  <c r="A138" i="54"/>
  <c r="E137" i="54"/>
  <c r="B137" i="54"/>
  <c r="A137" i="54"/>
  <c r="E136" i="54"/>
  <c r="B136" i="54"/>
  <c r="A136" i="54"/>
  <c r="E135" i="54"/>
  <c r="B135" i="54"/>
  <c r="A135" i="54"/>
  <c r="E134" i="54"/>
  <c r="B134" i="54"/>
  <c r="A134" i="54"/>
  <c r="E133" i="54"/>
  <c r="B133" i="54"/>
  <c r="A133" i="54"/>
  <c r="E132" i="54"/>
  <c r="B132" i="54"/>
  <c r="A132" i="54"/>
  <c r="E131" i="54"/>
  <c r="B131" i="54"/>
  <c r="A131" i="54"/>
  <c r="E130" i="54"/>
  <c r="B130" i="54"/>
  <c r="A130" i="54"/>
  <c r="E129" i="54"/>
  <c r="B129" i="54"/>
  <c r="A129" i="54"/>
  <c r="E128" i="54"/>
  <c r="B128" i="54"/>
  <c r="A128" i="54"/>
  <c r="E127" i="54"/>
  <c r="B127" i="54"/>
  <c r="A127" i="54"/>
  <c r="E126" i="54"/>
  <c r="B126" i="54"/>
  <c r="A126" i="54"/>
  <c r="E125" i="54"/>
  <c r="B125" i="54"/>
  <c r="A125" i="54"/>
  <c r="E124" i="54"/>
  <c r="B124" i="54"/>
  <c r="A124" i="54"/>
  <c r="E123" i="54"/>
  <c r="B123" i="54"/>
  <c r="A123" i="54"/>
  <c r="E122" i="54"/>
  <c r="B122" i="54"/>
  <c r="A122" i="54"/>
  <c r="E121" i="54"/>
  <c r="B121" i="54"/>
  <c r="A121" i="54"/>
  <c r="E120" i="54"/>
  <c r="B120" i="54"/>
  <c r="A120" i="54"/>
  <c r="E119" i="54"/>
  <c r="B119" i="54"/>
  <c r="A119" i="54"/>
  <c r="E118" i="54"/>
  <c r="B118" i="54"/>
  <c r="A118" i="54"/>
  <c r="E117" i="54"/>
  <c r="B117" i="54"/>
  <c r="A117" i="54"/>
  <c r="E116" i="54"/>
  <c r="B116" i="54"/>
  <c r="A116" i="54"/>
  <c r="E115" i="54"/>
  <c r="B115" i="54"/>
  <c r="A115" i="54"/>
  <c r="E114" i="54"/>
  <c r="B114" i="54"/>
  <c r="A114" i="54"/>
  <c r="E113" i="54"/>
  <c r="B113" i="54"/>
  <c r="A113" i="54"/>
  <c r="E112" i="54"/>
  <c r="B112" i="54"/>
  <c r="A112" i="54"/>
  <c r="E111" i="54"/>
  <c r="B111" i="54"/>
  <c r="A111" i="54"/>
  <c r="E110" i="54"/>
  <c r="B110" i="54"/>
  <c r="A110" i="54"/>
  <c r="E109" i="54"/>
  <c r="B109" i="54"/>
  <c r="A109" i="54"/>
  <c r="E108" i="54"/>
  <c r="B108" i="54"/>
  <c r="A108" i="54"/>
  <c r="E107" i="54"/>
  <c r="B107" i="54"/>
  <c r="A107" i="54"/>
  <c r="E106" i="54"/>
  <c r="B106" i="54"/>
  <c r="A106" i="54"/>
  <c r="E105" i="54"/>
  <c r="B105" i="54"/>
  <c r="A105" i="54"/>
  <c r="E104" i="54"/>
  <c r="B104" i="54"/>
  <c r="A104" i="54"/>
  <c r="E103" i="54"/>
  <c r="B103" i="54"/>
  <c r="A103" i="54"/>
  <c r="E102" i="54"/>
  <c r="B102" i="54"/>
  <c r="A102" i="54"/>
  <c r="E101" i="54"/>
  <c r="B101" i="54"/>
  <c r="A101" i="54"/>
  <c r="E100" i="54"/>
  <c r="B100" i="54"/>
  <c r="A100" i="54"/>
  <c r="E99" i="54"/>
  <c r="B99" i="54"/>
  <c r="A99" i="54"/>
  <c r="E98" i="54"/>
  <c r="B98" i="54"/>
  <c r="A98" i="54"/>
  <c r="E97" i="54"/>
  <c r="B97" i="54"/>
  <c r="A97" i="54"/>
  <c r="E96" i="54"/>
  <c r="B96" i="54"/>
  <c r="A96" i="54"/>
  <c r="E95" i="54"/>
  <c r="B95" i="54"/>
  <c r="A95" i="54"/>
  <c r="E94" i="54"/>
  <c r="B94" i="54"/>
  <c r="A94" i="54"/>
  <c r="E93" i="54"/>
  <c r="B93" i="54"/>
  <c r="A93" i="54"/>
  <c r="E92" i="54"/>
  <c r="B92" i="54"/>
  <c r="A92" i="54"/>
  <c r="E91" i="54"/>
  <c r="B91" i="54"/>
  <c r="A91" i="54"/>
  <c r="E90" i="54"/>
  <c r="B90" i="54"/>
  <c r="A90" i="54"/>
  <c r="E89" i="54"/>
  <c r="B89" i="54"/>
  <c r="A89" i="54"/>
  <c r="E88" i="54"/>
  <c r="B88" i="54"/>
  <c r="A88" i="54"/>
  <c r="E87" i="54"/>
  <c r="B87" i="54"/>
  <c r="A87" i="54"/>
  <c r="E86" i="54"/>
  <c r="B86" i="54"/>
  <c r="A86" i="54"/>
  <c r="E85" i="54"/>
  <c r="B85" i="54"/>
  <c r="A85" i="54"/>
  <c r="E84" i="54"/>
  <c r="B84" i="54"/>
  <c r="A84" i="54"/>
  <c r="E83" i="54"/>
  <c r="B83" i="54"/>
  <c r="A83" i="54"/>
  <c r="E82" i="54"/>
  <c r="B82" i="54"/>
  <c r="A82" i="54"/>
  <c r="E81" i="54"/>
  <c r="B81" i="54"/>
  <c r="A81" i="54"/>
  <c r="E80" i="54"/>
  <c r="B80" i="54"/>
  <c r="A80" i="54"/>
  <c r="E79" i="54"/>
  <c r="B79" i="54"/>
  <c r="A79" i="54"/>
  <c r="E78" i="54"/>
  <c r="B78" i="54"/>
  <c r="A78" i="54"/>
  <c r="E77" i="54"/>
  <c r="B77" i="54"/>
  <c r="A77" i="54"/>
  <c r="E76" i="54"/>
  <c r="B76" i="54"/>
  <c r="A76" i="54"/>
  <c r="E75" i="54"/>
  <c r="B75" i="54"/>
  <c r="A75" i="54"/>
  <c r="E74" i="54"/>
  <c r="B74" i="54"/>
  <c r="A74" i="54"/>
  <c r="E73" i="54"/>
  <c r="B73" i="54"/>
  <c r="A73" i="54"/>
  <c r="E72" i="54"/>
  <c r="B72" i="54"/>
  <c r="A72" i="54"/>
  <c r="E71" i="54"/>
  <c r="B71" i="54"/>
  <c r="A71" i="54"/>
  <c r="E70" i="54"/>
  <c r="B70" i="54"/>
  <c r="A70" i="54"/>
  <c r="E69" i="54"/>
  <c r="B69" i="54"/>
  <c r="A69" i="54"/>
  <c r="E68" i="54"/>
  <c r="B68" i="54"/>
  <c r="A68" i="54"/>
  <c r="E67" i="54"/>
  <c r="B67" i="54"/>
  <c r="A67" i="54"/>
  <c r="E66" i="54"/>
  <c r="B66" i="54"/>
  <c r="A66" i="54"/>
  <c r="E65" i="54"/>
  <c r="B65" i="54"/>
  <c r="A65" i="54"/>
  <c r="E64" i="54"/>
  <c r="B64" i="54"/>
  <c r="A64" i="54"/>
  <c r="E63" i="54"/>
  <c r="B63" i="54"/>
  <c r="A63" i="54"/>
  <c r="E62" i="54"/>
  <c r="B62" i="54"/>
  <c r="A62" i="54"/>
  <c r="E61" i="54"/>
  <c r="B61" i="54"/>
  <c r="A61" i="54"/>
  <c r="E60" i="54"/>
  <c r="B60" i="54"/>
  <c r="A60" i="54"/>
  <c r="E59" i="54"/>
  <c r="B59" i="54"/>
  <c r="A59" i="54"/>
  <c r="E58" i="54"/>
  <c r="B58" i="54"/>
  <c r="A58" i="54"/>
  <c r="E57" i="54"/>
  <c r="B57" i="54"/>
  <c r="A57" i="54"/>
  <c r="E56" i="54"/>
  <c r="B56" i="54"/>
  <c r="A56" i="54"/>
  <c r="E55" i="54"/>
  <c r="B55" i="54"/>
  <c r="A55" i="54"/>
  <c r="E54" i="54"/>
  <c r="B54" i="54"/>
  <c r="A54" i="54"/>
  <c r="E53" i="54"/>
  <c r="B53" i="54"/>
  <c r="A53" i="54"/>
  <c r="E52" i="54"/>
  <c r="B52" i="54"/>
  <c r="A52" i="54"/>
  <c r="E51" i="54"/>
  <c r="B51" i="54"/>
  <c r="A51" i="54"/>
  <c r="E50" i="54"/>
  <c r="B50" i="54"/>
  <c r="A50" i="54"/>
  <c r="E49" i="54"/>
  <c r="B49" i="54"/>
  <c r="A49" i="54"/>
  <c r="E48" i="54"/>
  <c r="B48" i="54"/>
  <c r="A48" i="54"/>
  <c r="E47" i="54"/>
  <c r="B47" i="54"/>
  <c r="A47" i="54"/>
  <c r="E46" i="54"/>
  <c r="B46" i="54"/>
  <c r="A46" i="54"/>
  <c r="E45" i="54"/>
  <c r="B45" i="54"/>
  <c r="A45" i="54"/>
  <c r="E44" i="54"/>
  <c r="B44" i="54"/>
  <c r="A44" i="54"/>
  <c r="E43" i="54"/>
  <c r="B43" i="54"/>
  <c r="A43" i="54"/>
  <c r="E42" i="54"/>
  <c r="B42" i="54"/>
  <c r="A42" i="54"/>
  <c r="E41" i="54"/>
  <c r="B41" i="54"/>
  <c r="A41" i="54"/>
  <c r="E40" i="54"/>
  <c r="B40" i="54"/>
  <c r="A40" i="54"/>
  <c r="E39" i="54"/>
  <c r="B39" i="54"/>
  <c r="A39" i="54"/>
  <c r="E38" i="54"/>
  <c r="B38" i="54"/>
  <c r="A38" i="54"/>
  <c r="E37" i="54"/>
  <c r="B37" i="54"/>
  <c r="A37" i="54"/>
  <c r="E36" i="54"/>
  <c r="B36" i="54"/>
  <c r="A36" i="54"/>
  <c r="E35" i="54"/>
  <c r="B35" i="54"/>
  <c r="A35" i="54"/>
  <c r="E34" i="54"/>
  <c r="B34" i="54"/>
  <c r="A34" i="54"/>
  <c r="E33" i="54"/>
  <c r="B33" i="54"/>
  <c r="A33" i="54"/>
  <c r="E32" i="54"/>
  <c r="B32" i="54"/>
  <c r="A32" i="54"/>
  <c r="E31" i="54"/>
  <c r="B31" i="54"/>
  <c r="A31" i="54"/>
  <c r="E30" i="54"/>
  <c r="B30" i="54"/>
  <c r="A30" i="54"/>
  <c r="E29" i="54"/>
  <c r="B29" i="54"/>
  <c r="A29" i="54"/>
  <c r="E28" i="54"/>
  <c r="B28" i="54"/>
  <c r="A28" i="54"/>
  <c r="E27" i="54"/>
  <c r="B27" i="54"/>
  <c r="A27" i="54"/>
  <c r="E26" i="54"/>
  <c r="B26" i="54"/>
  <c r="A26" i="54"/>
  <c r="E25" i="54"/>
  <c r="B25" i="54"/>
  <c r="A25" i="54"/>
  <c r="E24" i="54"/>
  <c r="B24" i="54"/>
  <c r="A24" i="54"/>
  <c r="E23" i="54"/>
  <c r="B23" i="54"/>
  <c r="A23" i="54"/>
  <c r="E22" i="54"/>
  <c r="B22" i="54"/>
  <c r="A22" i="54"/>
  <c r="E21" i="54"/>
  <c r="B21" i="54"/>
  <c r="A21" i="54"/>
  <c r="E20" i="54"/>
  <c r="B20" i="54"/>
  <c r="A20" i="54"/>
  <c r="E19" i="54"/>
  <c r="B19" i="54"/>
  <c r="A19" i="54"/>
  <c r="E18" i="54"/>
  <c r="B18" i="54"/>
  <c r="A18" i="54"/>
  <c r="E17" i="54"/>
  <c r="B17" i="54"/>
  <c r="A17" i="54"/>
  <c r="E16" i="54"/>
  <c r="B16" i="54"/>
  <c r="A16" i="54"/>
  <c r="E15" i="54"/>
  <c r="B15" i="54"/>
  <c r="A15" i="54"/>
  <c r="E14" i="54"/>
  <c r="B14" i="54"/>
  <c r="A14" i="54"/>
  <c r="E13" i="54"/>
  <c r="B13" i="54"/>
  <c r="A13" i="54"/>
  <c r="E12" i="54"/>
  <c r="B12" i="54"/>
  <c r="A12" i="54"/>
  <c r="E11" i="54"/>
  <c r="B11" i="54"/>
  <c r="A11" i="54"/>
  <c r="E10" i="54"/>
  <c r="B10" i="54"/>
  <c r="A10" i="54"/>
  <c r="E9" i="54"/>
  <c r="B9" i="54"/>
  <c r="A9" i="54"/>
  <c r="E8" i="54"/>
  <c r="B8" i="54"/>
  <c r="A8" i="54"/>
  <c r="E7" i="54"/>
  <c r="B7" i="54"/>
  <c r="A7" i="54"/>
  <c r="E6" i="54"/>
  <c r="B6" i="54"/>
  <c r="A6" i="54"/>
  <c r="E5" i="54"/>
  <c r="B5" i="54"/>
  <c r="A5" i="54"/>
  <c r="E4" i="54"/>
  <c r="B4" i="54"/>
  <c r="A4" i="54"/>
  <c r="E3" i="54"/>
  <c r="B3" i="54"/>
  <c r="A3" i="54"/>
  <c r="E2" i="54"/>
  <c r="B2" i="54"/>
  <c r="A2" i="54"/>
  <c r="I26" i="51"/>
  <c r="I22" i="51"/>
  <c r="G22" i="51"/>
  <c r="I18" i="51"/>
  <c r="G18" i="51"/>
  <c r="G26" i="51"/>
  <c r="O15" i="51"/>
  <c r="O19" i="51"/>
  <c r="O23" i="51"/>
  <c r="O27" i="51"/>
  <c r="O31" i="51"/>
  <c r="O35" i="51"/>
  <c r="O39" i="51"/>
  <c r="O43" i="51"/>
  <c r="M43" i="51"/>
  <c r="M47" i="51"/>
  <c r="O47" i="51"/>
  <c r="M39" i="51"/>
  <c r="M35" i="51"/>
  <c r="M31" i="51"/>
  <c r="M27" i="51"/>
  <c r="M23" i="51"/>
  <c r="M19" i="51"/>
  <c r="M15" i="51"/>
  <c r="A4" i="18"/>
  <c r="H6" i="52"/>
  <c r="F24" i="52"/>
  <c r="F21" i="52"/>
  <c r="F20" i="52"/>
  <c r="F13" i="52"/>
  <c r="F12" i="52"/>
  <c r="I50" i="51"/>
  <c r="G50" i="51"/>
  <c r="I46" i="51"/>
  <c r="G46" i="51"/>
  <c r="I42" i="51"/>
  <c r="G42" i="51"/>
  <c r="I38" i="51"/>
  <c r="G38" i="51"/>
  <c r="I34" i="51"/>
  <c r="G34" i="51"/>
  <c r="I30" i="51"/>
  <c r="G30" i="51"/>
  <c r="H25" i="50"/>
  <c r="H23" i="50"/>
  <c r="F49" i="52"/>
  <c r="F48" i="52"/>
  <c r="F45" i="52"/>
  <c r="F44" i="52"/>
  <c r="F41" i="52"/>
  <c r="F40" i="52"/>
  <c r="F37" i="52"/>
  <c r="F36" i="52"/>
  <c r="F33" i="52"/>
  <c r="F32" i="52"/>
  <c r="F29" i="52"/>
  <c r="F28" i="52"/>
  <c r="F25" i="52"/>
  <c r="H47" i="52"/>
  <c r="H43" i="52"/>
  <c r="H39" i="52"/>
  <c r="H35" i="52"/>
  <c r="H31" i="52"/>
  <c r="H27" i="52"/>
  <c r="H11" i="52"/>
  <c r="H15" i="52"/>
  <c r="H19" i="52"/>
  <c r="H23" i="52"/>
  <c r="J46" i="52" a="1"/>
  <c r="J46" i="52" s="1"/>
  <c r="I46" i="52" a="1"/>
  <c r="I46" i="52" s="1"/>
  <c r="G46" i="52" a="1"/>
  <c r="G46" i="52" s="1"/>
  <c r="F46" i="52" a="1"/>
  <c r="F46" i="52" s="1"/>
  <c r="J42" i="52" a="1"/>
  <c r="J42" i="52" s="1"/>
  <c r="I42" i="52" a="1"/>
  <c r="I42" i="52" s="1"/>
  <c r="I44" i="52" s="1"/>
  <c r="G42" i="52" a="1"/>
  <c r="G42" i="52" s="1"/>
  <c r="F42" i="52" a="1"/>
  <c r="F42" i="52" s="1"/>
  <c r="J38" i="52" a="1"/>
  <c r="J38" i="52" s="1"/>
  <c r="I38" i="52" a="1"/>
  <c r="I38" i="52" s="1"/>
  <c r="G38" i="52" a="1"/>
  <c r="G38" i="52" s="1"/>
  <c r="F38" i="52" a="1"/>
  <c r="F38" i="52" s="1"/>
  <c r="J34" i="52" a="1"/>
  <c r="J34" i="52" s="1"/>
  <c r="I34" i="52" a="1"/>
  <c r="I34" i="52" s="1"/>
  <c r="G34" i="52" a="1"/>
  <c r="G34" i="52" s="1"/>
  <c r="F34" i="52" a="1"/>
  <c r="F34" i="52" s="1"/>
  <c r="J30" i="52" a="1"/>
  <c r="J30" i="52" s="1"/>
  <c r="I30" i="52" a="1"/>
  <c r="I30" i="52" s="1"/>
  <c r="G30" i="52" a="1"/>
  <c r="G30" i="52" s="1"/>
  <c r="F30" i="52" a="1"/>
  <c r="F30" i="52" s="1"/>
  <c r="J26" i="52" a="1"/>
  <c r="J26" i="52" s="1"/>
  <c r="I26" i="52" a="1"/>
  <c r="I26" i="52" s="1"/>
  <c r="G26" i="52" a="1"/>
  <c r="G26" i="52" s="1"/>
  <c r="F26" i="52" a="1"/>
  <c r="F26" i="52" s="1"/>
  <c r="J22" i="52" a="1"/>
  <c r="J22" i="52" s="1"/>
  <c r="I22" i="52" a="1"/>
  <c r="I22" i="52" s="1"/>
  <c r="G22" i="52" a="1"/>
  <c r="G22" i="52" s="1"/>
  <c r="F22" i="52" a="1"/>
  <c r="F22" i="52" s="1"/>
  <c r="J18" i="52" a="1"/>
  <c r="J18" i="52" s="1"/>
  <c r="I18" i="52" a="1"/>
  <c r="I18" i="52" s="1"/>
  <c r="G18" i="52" a="1"/>
  <c r="G18" i="52" s="1"/>
  <c r="F18" i="52" a="1"/>
  <c r="F18" i="52" s="1"/>
  <c r="J14" i="52" a="1"/>
  <c r="J14" i="52" s="1"/>
  <c r="I14" i="52" a="1"/>
  <c r="I14" i="52" s="1"/>
  <c r="G14" i="52" a="1"/>
  <c r="G14" i="52" s="1"/>
  <c r="F14" i="52" a="1"/>
  <c r="F14" i="52" s="1"/>
  <c r="F16" i="52" s="1"/>
  <c r="F17" i="52" s="1"/>
  <c r="O43" i="50"/>
  <c r="N43" i="50"/>
  <c r="O39" i="50"/>
  <c r="N39" i="50"/>
  <c r="O35" i="50"/>
  <c r="N35" i="50"/>
  <c r="O31" i="50"/>
  <c r="N31" i="50"/>
  <c r="O27" i="50"/>
  <c r="N27" i="50"/>
  <c r="O23" i="50"/>
  <c r="N23" i="50"/>
  <c r="O19" i="50"/>
  <c r="N19" i="50"/>
  <c r="O15" i="50"/>
  <c r="N15" i="50"/>
  <c r="G1" i="54" l="1"/>
  <c r="I36" i="52"/>
  <c r="I37" i="52" s="1"/>
  <c r="I45" i="52"/>
  <c r="I20" i="52"/>
  <c r="I21" i="52" s="1"/>
  <c r="I32" i="52"/>
  <c r="I33" i="52" s="1"/>
  <c r="I40" i="52"/>
  <c r="I41" i="52" s="1"/>
  <c r="I28" i="52"/>
  <c r="I29" i="52" s="1"/>
  <c r="I48" i="52"/>
  <c r="I49" i="52" s="1"/>
  <c r="I16" i="52"/>
  <c r="I17" i="52" s="1"/>
  <c r="I24" i="52"/>
  <c r="I25" i="52" s="1"/>
  <c r="I41" i="50"/>
  <c r="I33" i="50"/>
  <c r="I29" i="50"/>
  <c r="I25" i="50"/>
  <c r="H21" i="50"/>
  <c r="I17" i="50"/>
  <c r="E56" i="4" l="1" a="1"/>
  <c r="E56" i="4" s="1"/>
  <c r="J15" i="18"/>
  <c r="I35" i="50"/>
  <c r="H35" i="50"/>
  <c r="I43" i="50"/>
  <c r="H43" i="50"/>
  <c r="H45" i="50"/>
  <c r="I45" i="50"/>
  <c r="H41" i="50"/>
  <c r="H37" i="50"/>
  <c r="I37" i="50"/>
  <c r="H33" i="50"/>
  <c r="H29" i="50"/>
  <c r="I23" i="50"/>
  <c r="H17" i="50"/>
  <c r="H11" i="50" l="1"/>
  <c r="I11" i="50"/>
  <c r="H15" i="50"/>
  <c r="I15" i="50"/>
  <c r="I19" i="50"/>
  <c r="H19" i="50"/>
  <c r="I27" i="50"/>
  <c r="H27" i="50"/>
  <c r="H31" i="50"/>
  <c r="I31" i="50"/>
  <c r="I39" i="50"/>
  <c r="H39" i="50"/>
  <c r="J10" i="52" a="1"/>
  <c r="J10" i="52" s="1"/>
  <c r="I10" i="52" a="1"/>
  <c r="I10" i="52" s="1"/>
  <c r="G10" i="52" a="1"/>
  <c r="G10" i="52" s="1"/>
  <c r="F10" i="52" a="1"/>
  <c r="F10" i="52" s="1"/>
  <c r="H4" i="52"/>
  <c r="E2" i="52"/>
  <c r="J8" i="50"/>
  <c r="I14" i="51"/>
  <c r="G14" i="51"/>
  <c r="O11" i="51"/>
  <c r="M9" i="51"/>
  <c r="M6" i="51"/>
  <c r="I13" i="50"/>
  <c r="H13" i="50"/>
  <c r="M6" i="50"/>
  <c r="J4" i="50"/>
  <c r="M11" i="51"/>
  <c r="M54" i="51"/>
  <c r="M4" i="51"/>
  <c r="O11" i="50"/>
  <c r="N11" i="50"/>
  <c r="M4" i="50"/>
  <c r="I12" i="52" l="1"/>
  <c r="I13" i="52" s="1"/>
  <c r="L4" i="18" l="1"/>
  <c r="C5" i="43"/>
  <c r="F17" i="5"/>
  <c r="F15" i="5"/>
  <c r="C8" i="18" l="1"/>
  <c r="F13" i="5"/>
  <c r="M5" i="18" l="1"/>
  <c r="O5" i="18" s="1"/>
  <c r="K5" i="18"/>
  <c r="E4" i="18" l="1"/>
  <c r="G4" i="18"/>
  <c r="B10" i="18"/>
  <c r="J10" i="18"/>
  <c r="C4" i="43"/>
  <c r="J8" i="20"/>
  <c r="F7" i="18"/>
  <c r="H2" i="4"/>
  <c r="H3" i="4"/>
  <c r="D27" i="5"/>
  <c r="D26" i="5"/>
  <c r="I4" i="18"/>
  <c r="K9" i="18"/>
  <c r="J8" i="18"/>
  <c r="E62" i="4"/>
  <c r="K10" i="18"/>
  <c r="B7" i="18" l="1"/>
  <c r="H2" i="43"/>
  <c r="C6" i="43" l="1"/>
  <c r="J12" i="4" l="1"/>
  <c r="J13" i="4"/>
  <c r="B24" i="18"/>
  <c r="A24" i="18"/>
  <c r="K4" i="18"/>
  <c r="K28" i="18"/>
  <c r="K13" i="18" l="1"/>
  <c r="N5" i="18"/>
  <c r="H14" i="20" l="1"/>
  <c r="J4" i="20" l="1"/>
  <c r="J10" i="20"/>
  <c r="J6" i="20"/>
  <c r="E43" i="18" l="1"/>
  <c r="K40" i="18"/>
  <c r="K37" i="18"/>
  <c r="J37" i="18"/>
  <c r="C37" i="18"/>
  <c r="K36" i="18"/>
  <c r="J36" i="18"/>
  <c r="C36" i="18"/>
  <c r="J35" i="18"/>
  <c r="D35" i="18"/>
  <c r="F34" i="18"/>
  <c r="F33" i="18"/>
  <c r="K15" i="18" l="1"/>
  <c r="C1" i="5" l="1"/>
  <c r="A27" i="5"/>
  <c r="H8" i="52" l="1"/>
  <c r="M8" i="51"/>
  <c r="M8" i="50"/>
  <c r="J9" i="18"/>
  <c r="B9" i="18"/>
  <c r="D12" i="18" l="1"/>
  <c r="G9" i="18"/>
  <c r="D11" i="18"/>
  <c r="C15" i="7"/>
  <c r="J57" i="4"/>
  <c r="J58" i="4"/>
  <c r="J59" i="4"/>
  <c r="J60" i="4"/>
  <c r="J61" i="4"/>
  <c r="J62" i="4"/>
  <c r="J63" i="4"/>
  <c r="J64" i="4"/>
  <c r="J65" i="4"/>
  <c r="J66" i="4"/>
  <c r="J56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H6" i="4"/>
  <c r="E61" i="4" l="1"/>
  <c r="E4" i="4"/>
  <c r="E58" i="4" l="1"/>
  <c r="H4" i="4"/>
  <c r="D21" i="7"/>
  <c r="E21" i="7" s="1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D7" i="7" s="1"/>
  <c r="AJ32" i="7"/>
  <c r="AJ31" i="7"/>
  <c r="AJ30" i="7"/>
  <c r="AJ29" i="7"/>
  <c r="AJ28" i="7"/>
  <c r="AJ27" i="7"/>
  <c r="AJ26" i="7"/>
  <c r="AJ25" i="7"/>
  <c r="AJ24" i="7"/>
  <c r="AJ23" i="7"/>
  <c r="M15" i="7"/>
  <c r="I15" i="7"/>
  <c r="E15" i="7"/>
  <c r="O15" i="7"/>
  <c r="E10" i="7"/>
  <c r="B7" i="7"/>
  <c r="D6" i="7"/>
  <c r="B6" i="7"/>
  <c r="D5" i="7"/>
  <c r="B5" i="7"/>
  <c r="D4" i="7"/>
  <c r="B4" i="7"/>
  <c r="E16" i="7" l="1"/>
  <c r="E17" i="7" s="1"/>
  <c r="E18" i="7" s="1"/>
  <c r="E19" i="7" s="1"/>
  <c r="M16" i="7"/>
  <c r="I16" i="7"/>
  <c r="I17" i="7" s="1"/>
  <c r="I18" i="7" s="1"/>
  <c r="I19" i="7" s="1"/>
  <c r="F15" i="7"/>
  <c r="J15" i="7"/>
  <c r="N15" i="7"/>
  <c r="O16" i="7"/>
  <c r="D22" i="7"/>
  <c r="E22" i="7" s="1"/>
  <c r="H15" i="7"/>
  <c r="H16" i="7" s="1"/>
  <c r="L15" i="7"/>
  <c r="L16" i="7" s="1"/>
  <c r="L17" i="7" s="1"/>
  <c r="L18" i="7" s="1"/>
  <c r="G15" i="7"/>
  <c r="K15" i="7"/>
  <c r="M17" i="7" l="1"/>
  <c r="M18" i="7" s="1"/>
  <c r="M19" i="7" s="1"/>
  <c r="B20" i="18"/>
  <c r="D20" i="18" s="1"/>
  <c r="O17" i="7"/>
  <c r="O18" i="7" s="1"/>
  <c r="B22" i="18"/>
  <c r="D22" i="18" s="1"/>
  <c r="H17" i="7"/>
  <c r="H18" i="7" s="1"/>
  <c r="H19" i="7" s="1"/>
  <c r="B17" i="18"/>
  <c r="D17" i="18" s="1"/>
  <c r="G14" i="7"/>
  <c r="L19" i="7"/>
  <c r="J16" i="7"/>
  <c r="J14" i="7"/>
  <c r="E23" i="7"/>
  <c r="D23" i="7"/>
  <c r="D24" i="7" s="1"/>
  <c r="N16" i="7"/>
  <c r="N14" i="7"/>
  <c r="F14" i="7"/>
  <c r="F16" i="7"/>
  <c r="B15" i="18" s="1"/>
  <c r="D15" i="18" s="1"/>
  <c r="M14" i="7"/>
  <c r="O14" i="7"/>
  <c r="K14" i="7"/>
  <c r="H14" i="7"/>
  <c r="G16" i="7"/>
  <c r="E14" i="7"/>
  <c r="L14" i="7"/>
  <c r="K16" i="7"/>
  <c r="F17" i="7" l="1"/>
  <c r="F18" i="7" s="1"/>
  <c r="F19" i="7" s="1"/>
  <c r="N17" i="7"/>
  <c r="N18" i="7" s="1"/>
  <c r="N19" i="7" s="1"/>
  <c r="B21" i="18"/>
  <c r="D21" i="18" s="1"/>
  <c r="O19" i="7"/>
  <c r="J17" i="7"/>
  <c r="J18" i="7" s="1"/>
  <c r="J19" i="7" s="1"/>
  <c r="B19" i="18"/>
  <c r="K17" i="7"/>
  <c r="K18" i="7" s="1"/>
  <c r="K19" i="7" s="1"/>
  <c r="B18" i="18"/>
  <c r="D18" i="18" s="1"/>
  <c r="G17" i="7"/>
  <c r="G18" i="7" s="1"/>
  <c r="B16" i="18"/>
  <c r="D16" i="18" s="1"/>
  <c r="D19" i="18" l="1"/>
  <c r="G19" i="7"/>
  <c r="E66" i="4"/>
  <c r="J67" i="4" l="1"/>
  <c r="E59" i="4" s="1"/>
  <c r="E65" i="4" l="1"/>
  <c r="H5" i="4" s="1"/>
  <c r="H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Rick Willingham</author>
  </authors>
  <commentList>
    <comment ref="B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Enter the date of the installation with a month/day format.  For example February 6th is entered as 2/6.
Excel will assume the current year and determine the day of the week.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Select from the pull-down list.  You can modify the list on the 'Work Required Grid' worksheet.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Enter the Client number of the job.</t>
        </r>
      </text>
    </comment>
    <comment ref="B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Enter the Client's name.  Using the 'Shift' key is not necessary - the print-out will automatically capitalize the entry.</t>
        </r>
      </text>
    </comment>
    <comment ref="B9" authorId="0" shapeId="0" xr:uid="{4EC33A70-5A6E-4C25-805B-F52261C61997}">
      <text>
        <r>
          <rPr>
            <b/>
            <sz val="8"/>
            <color indexed="81"/>
            <rFont val="Tahoma"/>
            <family val="2"/>
          </rPr>
          <t>Enter the Room name.  Using the 'Shift' key is not necessary - the print-out will automatically capitalize the entry.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6" authorId="0" shapeId="0" xr:uid="{00000000-0006-0000-0600-000001000000}">
      <text>
        <r>
          <rPr>
            <sz val="10"/>
            <color indexed="81"/>
            <rFont val="Arial"/>
            <family val="2"/>
          </rPr>
          <t xml:space="preserve">Use this purchase order template just as you would a manual form. You can enter
a multi-line description (double-space between items for readability) or you can 
enter many single line entries. Use the Example data as a guide to the content of 
any given field. Note that this template uses a sales tax. Enter the tax rate in the 
cell below.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6" authorId="0" shapeId="0" xr:uid="{4ED55F3F-1B66-4F7C-B44E-A924D8FB32AF}">
      <text>
        <r>
          <rPr>
            <sz val="10"/>
            <color indexed="81"/>
            <rFont val="Arial"/>
            <family val="2"/>
          </rPr>
          <t xml:space="preserve">Use this purchase order template just as you would a manual form. You can enter
a multi-line description (double-space between items for readability) or you can 
enter many single line entries. Use the Example data as a guide to the content of 
any given field. Note that this template uses a sales tax. Enter the tax rate in the 
cell below.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<sst xmlns="http://schemas.openxmlformats.org/spreadsheetml/2006/main" count="1771" uniqueCount="914">
  <si>
    <t>Installation Date:</t>
  </si>
  <si>
    <t>Designer:</t>
  </si>
  <si>
    <t>White</t>
  </si>
  <si>
    <t>Closet Factory</t>
  </si>
  <si>
    <t>Melamine</t>
  </si>
  <si>
    <t>NO</t>
  </si>
  <si>
    <t>AIG</t>
  </si>
  <si>
    <t>Melamine W/Applied Mldg</t>
  </si>
  <si>
    <t>Day Type Job:</t>
  </si>
  <si>
    <t>Cutlist Prepared by:</t>
  </si>
  <si>
    <t>Thermo Foil</t>
  </si>
  <si>
    <t>Combination</t>
  </si>
  <si>
    <t>WoodWOP</t>
  </si>
  <si>
    <t>Wood</t>
  </si>
  <si>
    <t>Client Number:</t>
  </si>
  <si>
    <t>Unit Material:</t>
  </si>
  <si>
    <t>CF5</t>
  </si>
  <si>
    <t>Black</t>
  </si>
  <si>
    <t>Egger</t>
  </si>
  <si>
    <t>Unit Banding Type</t>
  </si>
  <si>
    <t>Almond</t>
  </si>
  <si>
    <t>Costco - Yes/No?</t>
  </si>
  <si>
    <t>Unit Banding Color</t>
  </si>
  <si>
    <t>Bisque</t>
  </si>
  <si>
    <t>Fog Grey</t>
  </si>
  <si>
    <t>Customized Jewelry Tray?</t>
  </si>
  <si>
    <t>Face Type</t>
  </si>
  <si>
    <t>Hinge Type?</t>
  </si>
  <si>
    <t>Faces Material:</t>
  </si>
  <si>
    <t>Faces Banding Type</t>
  </si>
  <si>
    <t>Other Special Orders?</t>
  </si>
  <si>
    <t>Faces Banding Color</t>
  </si>
  <si>
    <t>Finishing Required?</t>
  </si>
  <si>
    <t>Construction Type</t>
  </si>
  <si>
    <t>Specialty Work?</t>
  </si>
  <si>
    <t>Molding:</t>
  </si>
  <si>
    <t>Main Closet  - Yes/No?</t>
  </si>
  <si>
    <t>Molding Location</t>
  </si>
  <si>
    <t>Notch For Baseboard/Fillers To Walls</t>
  </si>
  <si>
    <t>Price</t>
  </si>
  <si>
    <t>Unit #</t>
  </si>
  <si>
    <t>Part Name</t>
  </si>
  <si>
    <t>Width</t>
  </si>
  <si>
    <t xml:space="preserve"> </t>
  </si>
  <si>
    <t>Length</t>
  </si>
  <si>
    <t>Job Pricing Page</t>
  </si>
  <si>
    <t>Client Information</t>
  </si>
  <si>
    <t>Client Name:</t>
  </si>
  <si>
    <t>Client #:</t>
  </si>
  <si>
    <t>Initial Pricing By:</t>
  </si>
  <si>
    <t>Special Order Pricing By:</t>
  </si>
  <si>
    <t>Standard Price:</t>
  </si>
  <si>
    <t>Final Pricing By:</t>
  </si>
  <si>
    <t>Sold at Price:</t>
  </si>
  <si>
    <t>Percentage of Standard:</t>
  </si>
  <si>
    <t>Basic Components</t>
  </si>
  <si>
    <t>Accessories</t>
  </si>
  <si>
    <t>Common Accessories</t>
  </si>
  <si>
    <t>Quantity or Units</t>
  </si>
  <si>
    <t>Price per Unit</t>
  </si>
  <si>
    <t>Extended Price</t>
  </si>
  <si>
    <t>Additional Closets</t>
  </si>
  <si>
    <t>Room Name</t>
  </si>
  <si>
    <t>Standard Price</t>
  </si>
  <si>
    <t>Pricing Totals</t>
  </si>
  <si>
    <t>Items That Need Pricing (Special Order Hardware &amp; Misc Items)</t>
  </si>
  <si>
    <t>Subtotal</t>
  </si>
  <si>
    <t>Multiplier</t>
  </si>
  <si>
    <t>Basic Components:</t>
  </si>
  <si>
    <t>Accessories:</t>
  </si>
  <si>
    <t>Processing Fee:</t>
  </si>
  <si>
    <t>Sold At Price:</t>
  </si>
  <si>
    <t>Subtotal of Accessories:</t>
  </si>
  <si>
    <t>SPECIALTY DEPARTMENT</t>
  </si>
  <si>
    <t>DRAWER DEPARTMENT</t>
  </si>
  <si>
    <t>CNC Cover Sheet</t>
  </si>
  <si>
    <t>Install Date:</t>
  </si>
  <si>
    <t>Core Material:</t>
  </si>
  <si>
    <t>Unit Banding:</t>
  </si>
  <si>
    <t>Faces:</t>
  </si>
  <si>
    <t>Face Banding:</t>
  </si>
  <si>
    <t>BOARD COUNT</t>
  </si>
  <si>
    <t xml:space="preserve">QTY: </t>
  </si>
  <si>
    <t>Drawers</t>
  </si>
  <si>
    <t>STD Rebore</t>
  </si>
  <si>
    <t>Designer</t>
  </si>
  <si>
    <t>WW Rebore</t>
  </si>
  <si>
    <t>Board Count</t>
  </si>
  <si>
    <t>Purchasing:</t>
  </si>
  <si>
    <t>SEE ENGINEER</t>
  </si>
  <si>
    <t>CNC</t>
  </si>
  <si>
    <t>DRAWER DEPT.</t>
  </si>
  <si>
    <t>Cutlist:</t>
  </si>
  <si>
    <t>INSTALLER</t>
  </si>
  <si>
    <t>SPECIALTY DEPT.</t>
  </si>
  <si>
    <t>Saw Work:</t>
  </si>
  <si>
    <t>ADDITIONAL PIECES &amp; ACCESSORIES</t>
  </si>
  <si>
    <t>Edgebanding:</t>
  </si>
  <si>
    <t>Drawers:</t>
  </si>
  <si>
    <t>Specialty Work:</t>
  </si>
  <si>
    <t>Finishing Work:</t>
  </si>
  <si>
    <t>Job Cart Check:</t>
  </si>
  <si>
    <t>HINGE INFORMATION</t>
  </si>
  <si>
    <t>SPECIALTY HINGES</t>
  </si>
  <si>
    <t>Please Read Thorougly</t>
  </si>
  <si>
    <t>Bean Saw Cover Sheet</t>
  </si>
  <si>
    <t>Material:</t>
  </si>
  <si>
    <t>Nested</t>
  </si>
  <si>
    <t>Beam Saw</t>
  </si>
  <si>
    <t>Rebore</t>
  </si>
  <si>
    <t>Done By</t>
  </si>
  <si>
    <t>Sent By</t>
  </si>
  <si>
    <t>Programmed By</t>
  </si>
  <si>
    <t># Of Panels</t>
  </si>
  <si>
    <t>Date</t>
  </si>
  <si>
    <t>Rebored By</t>
  </si>
  <si>
    <t>Due Dates</t>
  </si>
  <si>
    <t>PURCHASE ORDER</t>
  </si>
  <si>
    <t xml:space="preserve">P.O. DATE  </t>
  </si>
  <si>
    <t>CUSTOMER #</t>
  </si>
  <si>
    <t>The following number must appear on all invoices, bills</t>
  </si>
  <si>
    <t>of lading, and acknowledgements relating to this PO:</t>
  </si>
  <si>
    <t>CUSTOMER NAME</t>
  </si>
  <si>
    <t>PURCHASE ORDER:</t>
  </si>
  <si>
    <t>INSTALL DATE</t>
  </si>
  <si>
    <t>TO:</t>
  </si>
  <si>
    <t>BILL TO/SHIP TO:</t>
  </si>
  <si>
    <t xml:space="preserve">CARRIE </t>
  </si>
  <si>
    <t>ENGINEER</t>
  </si>
  <si>
    <t>1650 S. Powerline Road</t>
  </si>
  <si>
    <t>Suite E</t>
  </si>
  <si>
    <t>Deerfield Beach, FL 33442</t>
  </si>
  <si>
    <t>954-979-5150</t>
  </si>
  <si>
    <t>954-979-5165</t>
  </si>
  <si>
    <t>QTY</t>
  </si>
  <si>
    <t>ITEM</t>
  </si>
  <si>
    <t>ROOM</t>
  </si>
  <si>
    <t>VENDOR</t>
  </si>
  <si>
    <t>CLOSET FACTORY 5 PIECE / INSERT FORM</t>
  </si>
  <si>
    <t>1MM</t>
  </si>
  <si>
    <t>PO NUMBER</t>
  </si>
  <si>
    <t>WIDTH</t>
  </si>
  <si>
    <t>HEIGHT</t>
  </si>
  <si>
    <t>SPECS</t>
  </si>
  <si>
    <t>COLOR</t>
  </si>
  <si>
    <t>ROOM:</t>
  </si>
  <si>
    <t>Work Required Due Date Grid</t>
  </si>
  <si>
    <t>Day Type Job</t>
  </si>
  <si>
    <t>Paperwork
Processing</t>
  </si>
  <si>
    <t>Purchasing</t>
  </si>
  <si>
    <t>Cutlist</t>
  </si>
  <si>
    <t>Saw Work</t>
  </si>
  <si>
    <t>Wood Edges</t>
  </si>
  <si>
    <t>Edgebanding</t>
  </si>
  <si>
    <t>Boring</t>
  </si>
  <si>
    <t>Specialty Work</t>
  </si>
  <si>
    <t>Stain / Paint</t>
  </si>
  <si>
    <t>Job Ready Target Date</t>
  </si>
  <si>
    <t>01</t>
  </si>
  <si>
    <t>One</t>
  </si>
  <si>
    <t>Twenty</t>
  </si>
  <si>
    <t>02</t>
  </si>
  <si>
    <t>Two</t>
  </si>
  <si>
    <t>Thirty</t>
  </si>
  <si>
    <t>03</t>
  </si>
  <si>
    <t>Three</t>
  </si>
  <si>
    <t>Forty</t>
  </si>
  <si>
    <t>04</t>
  </si>
  <si>
    <t>Four</t>
  </si>
  <si>
    <t>Fifty</t>
  </si>
  <si>
    <t>05</t>
  </si>
  <si>
    <t>Five</t>
  </si>
  <si>
    <t>Sixty</t>
  </si>
  <si>
    <t>06</t>
  </si>
  <si>
    <t>Six</t>
  </si>
  <si>
    <t>Seventy</t>
  </si>
  <si>
    <t>07</t>
  </si>
  <si>
    <t>Seven</t>
  </si>
  <si>
    <t>Eighty</t>
  </si>
  <si>
    <t>08</t>
  </si>
  <si>
    <t>Eight</t>
  </si>
  <si>
    <t>Ninety</t>
  </si>
  <si>
    <t>09</t>
  </si>
  <si>
    <t>Nine</t>
  </si>
  <si>
    <t>One-Hundred</t>
  </si>
  <si>
    <t>10</t>
  </si>
  <si>
    <t>Ten</t>
  </si>
  <si>
    <t>11</t>
  </si>
  <si>
    <t>Eleven</t>
  </si>
  <si>
    <t>12</t>
  </si>
  <si>
    <t>Twelve</t>
  </si>
  <si>
    <t>13</t>
  </si>
  <si>
    <t>Thirteen</t>
  </si>
  <si>
    <t>14</t>
  </si>
  <si>
    <t>Fourteen</t>
  </si>
  <si>
    <t>15</t>
  </si>
  <si>
    <t>Fifteen</t>
  </si>
  <si>
    <t>16</t>
  </si>
  <si>
    <t>Sixteen</t>
  </si>
  <si>
    <t>17</t>
  </si>
  <si>
    <t>Seventeen</t>
  </si>
  <si>
    <t>Install Date</t>
  </si>
  <si>
    <t>18</t>
  </si>
  <si>
    <t>Eighteen</t>
  </si>
  <si>
    <t>Work Due Date</t>
  </si>
  <si>
    <t>19</t>
  </si>
  <si>
    <t>Nineteen</t>
  </si>
  <si>
    <t>Adjusted wdd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</si>
  <si>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</si>
  <si>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</si>
  <si>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</si>
  <si>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</si>
  <si>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</si>
  <si>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</si>
  <si>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</si>
  <si>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</si>
  <si>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</si>
  <si>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</si>
  <si>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</si>
  <si>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</si>
  <si>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</si>
  <si>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</si>
  <si>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</si>
  <si>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</si>
  <si>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</si>
  <si>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</si>
  <si>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</si>
  <si>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</si>
  <si>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</si>
  <si>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</si>
  <si>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</si>
  <si>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</si>
  <si>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</si>
  <si>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</si>
  <si>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</si>
  <si>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</si>
  <si>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</si>
  <si>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</si>
  <si>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</si>
  <si>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</si>
  <si>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</si>
  <si>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</si>
  <si>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</si>
  <si>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</si>
  <si>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</si>
  <si>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</si>
  <si>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</si>
  <si>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</si>
  <si>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</si>
  <si>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</si>
  <si>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</si>
  <si>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</si>
  <si>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</si>
  <si>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</si>
  <si>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</si>
  <si>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</si>
  <si>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</si>
  <si>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</si>
  <si>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</si>
  <si>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</si>
  <si>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</si>
  <si>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</si>
  <si>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</si>
  <si>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</si>
  <si>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</si>
  <si>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</si>
  <si>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</si>
  <si>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</si>
  <si>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CLOSET FACTORY VJT INSERT FORM</t>
  </si>
  <si>
    <t>DRAWER DEPTH</t>
  </si>
  <si>
    <t>Formula</t>
  </si>
  <si>
    <t>To get the depth of a VJT subtract 1 5/8" from the drawer box depth</t>
  </si>
  <si>
    <t>*PLEASE SEE ATTACHED PLANS FOR VJT SPECS*</t>
  </si>
  <si>
    <t>SHELF WIDTH</t>
  </si>
  <si>
    <t>VJT PURCHASE ORDER</t>
  </si>
  <si>
    <t>INSERT</t>
  </si>
  <si>
    <t>INSERT, COLOR (TOP)</t>
  </si>
  <si>
    <t>DOUBLE (TOP)</t>
  </si>
  <si>
    <t>SINGLE (BOT)</t>
  </si>
  <si>
    <t>INSERT, COLOR (BOT)</t>
  </si>
  <si>
    <t>15"</t>
  </si>
  <si>
    <t>12"</t>
  </si>
  <si>
    <t>18"</t>
  </si>
  <si>
    <t>21"</t>
  </si>
  <si>
    <t>Drawer Box Depths</t>
  </si>
  <si>
    <t>To get the width of a VJT            -2" from the ES width. If it’s a DBL VJT  the  top tray -3 1/16" from ES width</t>
  </si>
  <si>
    <t>LAYOUT</t>
  </si>
  <si>
    <t>LAYOUT STYLES</t>
  </si>
  <si>
    <t>2 = DBL VJT</t>
  </si>
  <si>
    <t>3 = TOP TRAY ONLY</t>
  </si>
  <si>
    <t>1 = BOT TRAY ONLY</t>
  </si>
  <si>
    <t>Drawer Count</t>
  </si>
  <si>
    <t/>
  </si>
  <si>
    <t>ADDITIONAL NOTES:</t>
  </si>
  <si>
    <t>DESIGNER:</t>
  </si>
  <si>
    <t>INSTALL DATE:</t>
  </si>
  <si>
    <t>ENGINEER:</t>
  </si>
  <si>
    <t>THICKNESS:</t>
  </si>
  <si>
    <t>EDGE:</t>
  </si>
  <si>
    <t>SELECTION:</t>
  </si>
  <si>
    <t>ROOM NAME:</t>
  </si>
  <si>
    <t>CLIENT NAME:</t>
  </si>
  <si>
    <t xml:space="preserve">JOB NUMBER: </t>
  </si>
  <si>
    <t>CF STONE</t>
  </si>
  <si>
    <t xml:space="preserve">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</si>
  <si>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</t>
  </si>
  <si>
    <t>PASTE PRICING FROM KCD</t>
  </si>
  <si>
    <t>DATA INPUT</t>
  </si>
  <si>
    <t>COLOR:</t>
  </si>
  <si>
    <t>1 mm</t>
  </si>
  <si>
    <t>Apple Cocoa Grain</t>
  </si>
  <si>
    <t>Blanca Elme Grain</t>
  </si>
  <si>
    <t>Campania Elme Grain</t>
  </si>
  <si>
    <t>Espresso Grain</t>
  </si>
  <si>
    <t>Folkstone Grey</t>
  </si>
  <si>
    <t>Fusion Maple Grain</t>
  </si>
  <si>
    <t>Hudson Cherry Grain</t>
  </si>
  <si>
    <t>Lewis Grain</t>
  </si>
  <si>
    <t>Marsielle Grain</t>
  </si>
  <si>
    <t>Monaco Grain</t>
  </si>
  <si>
    <t>Moscotto Grain</t>
  </si>
  <si>
    <t>Nina Maple Grain</t>
  </si>
  <si>
    <t>Tenino Grey Grain</t>
  </si>
  <si>
    <t>Wild Apple Grain</t>
  </si>
  <si>
    <t>Atlantis</t>
  </si>
  <si>
    <t>Avondale Ash Grain</t>
  </si>
  <si>
    <t>Belair Grain</t>
  </si>
  <si>
    <t>Blackwood Grain</t>
  </si>
  <si>
    <t>Bohemian Blanco Grain</t>
  </si>
  <si>
    <t>Cemento</t>
  </si>
  <si>
    <t>Daintree Grain</t>
  </si>
  <si>
    <t>Dering Forest Grain</t>
  </si>
  <si>
    <t>Designer White Grain</t>
  </si>
  <si>
    <t>Espiga Pimienta Grain</t>
  </si>
  <si>
    <t>Espiga Sal Grain</t>
  </si>
  <si>
    <t>Fairchild Grain</t>
  </si>
  <si>
    <t>Fawn Cypress</t>
  </si>
  <si>
    <t xml:space="preserve">Fossil Shale </t>
  </si>
  <si>
    <t>Fresno Glacial Grain</t>
  </si>
  <si>
    <t>Friston Ash Grain</t>
  </si>
  <si>
    <t>Gris Coco</t>
  </si>
  <si>
    <t>High Line Grain</t>
  </si>
  <si>
    <t>Holly Berry</t>
  </si>
  <si>
    <t>Lapis Blue</t>
  </si>
  <si>
    <t>Lino Cancun Grain</t>
  </si>
  <si>
    <t>Low Line Grain</t>
  </si>
  <si>
    <t>Mineral Grey</t>
  </si>
  <si>
    <t>Monteverdi Grain</t>
  </si>
  <si>
    <t>Neo Walnut Grain</t>
  </si>
  <si>
    <t>Nogal Slow Grain</t>
  </si>
  <si>
    <t>Pepper Dust</t>
  </si>
  <si>
    <t>Phantom Ecru Grain</t>
  </si>
  <si>
    <t>Phantom Charcoal Grain</t>
  </si>
  <si>
    <t>Portico Teak Grain</t>
  </si>
  <si>
    <t>Randolph Forest Grain</t>
  </si>
  <si>
    <t>Roble Azabache Grain</t>
  </si>
  <si>
    <t>Roble Colorado Grain</t>
  </si>
  <si>
    <t>Roble Joplin Grain</t>
  </si>
  <si>
    <t>Roble Stella Grain</t>
  </si>
  <si>
    <t>Stainless Grain</t>
  </si>
  <si>
    <t>Tessuto Grain</t>
  </si>
  <si>
    <t>Valley Forge Elm Grain</t>
  </si>
  <si>
    <t>Veranda Teak Grain</t>
  </si>
  <si>
    <t>White Cypress Grain</t>
  </si>
  <si>
    <t>White River For Grain</t>
  </si>
  <si>
    <t>Amalfi Noce Grain GL</t>
  </si>
  <si>
    <t>Black Ultra GL</t>
  </si>
  <si>
    <t>Outer Space GL</t>
  </si>
  <si>
    <t>Red Ultra GL</t>
  </si>
  <si>
    <t>Silver Met Grain GL</t>
  </si>
  <si>
    <t>Solar White GL</t>
  </si>
  <si>
    <t>Twlight Pearl GL</t>
  </si>
  <si>
    <t>INSERT HEIGHT                          (H-5 1/2")</t>
  </si>
  <si>
    <t>.5 mm</t>
  </si>
  <si>
    <t>4 = DOVETAIL (NO TOP)</t>
  </si>
  <si>
    <t>Room Name:</t>
  </si>
  <si>
    <t>CF5 PURCHASE ORDER</t>
  </si>
  <si>
    <t>RIPS:</t>
  </si>
  <si>
    <t>CF-THERMOFOIL</t>
  </si>
  <si>
    <t>narrow shaker</t>
  </si>
  <si>
    <t>contemporary shaker</t>
  </si>
  <si>
    <t>wide shaker</t>
  </si>
  <si>
    <t>Narrow Shaker</t>
  </si>
  <si>
    <t>Design</t>
  </si>
  <si>
    <t>*PLEASE SEE ATTACHED PLANS*</t>
  </si>
  <si>
    <t>*PLEASE SEE ATTACHED PLANS FOR SPECS*</t>
  </si>
  <si>
    <t>DESCTRIPTION</t>
  </si>
  <si>
    <t>MOULDINGS</t>
  </si>
  <si>
    <t>CLOSET FACTORY THERMOFOIL / INSERT FORM</t>
  </si>
  <si>
    <t>ADDITIONAL NOTES</t>
  </si>
  <si>
    <t>Height</t>
  </si>
  <si>
    <t>Insert</t>
  </si>
  <si>
    <t>Insert Height</t>
  </si>
  <si>
    <t>Insert Width</t>
  </si>
  <si>
    <t>Qty.</t>
  </si>
  <si>
    <t>Style</t>
  </si>
  <si>
    <t>Wide Shaker</t>
  </si>
  <si>
    <t>Contemporary Shaker</t>
  </si>
  <si>
    <t>Type</t>
  </si>
  <si>
    <t>Color</t>
  </si>
  <si>
    <t>Wood Prefinish Grain</t>
  </si>
  <si>
    <t>Wood Stained Grain</t>
  </si>
  <si>
    <t>Wood Painted Grain</t>
  </si>
  <si>
    <t>Wood Glazed Grain</t>
  </si>
  <si>
    <t>Wood Custom ST Grain</t>
  </si>
  <si>
    <t>Wood Custom PT Grain</t>
  </si>
  <si>
    <t xml:space="preserve">   1 1/2"   </t>
  </si>
  <si>
    <t xml:space="preserve">  3/4" AND 1 1/4"  </t>
  </si>
  <si>
    <t>When you need to reset the Circles, you need to set them all to black first then you can hit clear to reset them</t>
  </si>
  <si>
    <r>
      <t xml:space="preserve">When you have a Double Drawer Bank do not adjust the </t>
    </r>
    <r>
      <rPr>
        <u/>
        <sz val="12"/>
        <color theme="1"/>
        <rFont val="Calibri"/>
        <family val="2"/>
        <scheme val="minor"/>
      </rPr>
      <t>Width</t>
    </r>
    <r>
      <rPr>
        <sz val="12"/>
        <color theme="1"/>
        <rFont val="Calibri"/>
        <family val="2"/>
        <scheme val="minor"/>
      </rPr>
      <t xml:space="preserve"> of CTOP. You must still remove 1/8" from the </t>
    </r>
    <r>
      <rPr>
        <u/>
        <sz val="12"/>
        <color theme="1"/>
        <rFont val="Calibri"/>
        <family val="2"/>
        <scheme val="minor"/>
      </rPr>
      <t>Depth.</t>
    </r>
    <r>
      <rPr>
        <sz val="12"/>
        <color theme="1"/>
        <rFont val="Calibri"/>
        <family val="2"/>
        <scheme val="minor"/>
      </rPr>
      <t xml:space="preserve"> </t>
    </r>
  </si>
  <si>
    <r>
      <t xml:space="preserve">When filling out the sizes for the stone remove 1/8" from the </t>
    </r>
    <r>
      <rPr>
        <u/>
        <sz val="12"/>
        <color theme="1"/>
        <rFont val="Calibri"/>
        <family val="2"/>
        <scheme val="minor"/>
      </rPr>
      <t>Width</t>
    </r>
    <r>
      <rPr>
        <sz val="12"/>
        <color theme="1"/>
        <rFont val="Calibri"/>
        <family val="2"/>
        <scheme val="minor"/>
      </rPr>
      <t xml:space="preserve"> of the ES &amp; 1/8" from the </t>
    </r>
    <r>
      <rPr>
        <u/>
        <sz val="12"/>
        <color theme="1"/>
        <rFont val="Calibri"/>
        <family val="2"/>
        <scheme val="minor"/>
      </rPr>
      <t>Depth.</t>
    </r>
  </si>
  <si>
    <t>SIZE</t>
  </si>
  <si>
    <t>DESCRIPTION</t>
  </si>
  <si>
    <t xml:space="preserve">TOTAL RIPS: </t>
  </si>
  <si>
    <t>Input Size according to KCD</t>
  </si>
  <si>
    <t>1/4" Sheets</t>
  </si>
  <si>
    <t>RIPS &amp; 1/4" Sheets</t>
  </si>
  <si>
    <t>Miter</t>
  </si>
  <si>
    <t>Crown #4766</t>
  </si>
  <si>
    <t>Base #4873</t>
  </si>
  <si>
    <t>D354-28 Designer White</t>
  </si>
  <si>
    <t>8212-28 Phantom Ecru</t>
  </si>
  <si>
    <t>8214-28 Phantom Charcoal</t>
  </si>
  <si>
    <t>8231-79 Valley Forge Elm</t>
  </si>
  <si>
    <t>7970-28 High Line</t>
  </si>
  <si>
    <t>7976-12 White Cypress</t>
  </si>
  <si>
    <t>7991-28 Neo Walnut</t>
  </si>
  <si>
    <t>8208-16 Fawn Cypress</t>
  </si>
  <si>
    <t>8209-28 Veranda Teak</t>
  </si>
  <si>
    <t>8210-28 Portico Teak</t>
  </si>
  <si>
    <t>8225-79 Randolph Forest</t>
  </si>
  <si>
    <t>8226-79 Dering Forest</t>
  </si>
  <si>
    <t>8227-79 White River Forest</t>
  </si>
  <si>
    <t>8228-79 Avondale Ash</t>
  </si>
  <si>
    <t>8229-79 Friston Ash</t>
  </si>
  <si>
    <t>8234-5 Belair</t>
  </si>
  <si>
    <t>8235-5 Daintree</t>
  </si>
  <si>
    <t>8236-5 Monteverde</t>
  </si>
  <si>
    <t>8238-5 Fairchild</t>
  </si>
  <si>
    <t>D25-60 Atlantis</t>
  </si>
  <si>
    <t>D327-60 Pepperdust</t>
  </si>
  <si>
    <t>65-Day</t>
  </si>
  <si>
    <t>21-Day</t>
  </si>
  <si>
    <t>30-Day</t>
  </si>
  <si>
    <t>YES</t>
  </si>
  <si>
    <t>Woodtape</t>
  </si>
  <si>
    <t>Upgraded</t>
  </si>
  <si>
    <t>2mm</t>
  </si>
  <si>
    <t>1mm</t>
  </si>
  <si>
    <t>.5mm</t>
  </si>
  <si>
    <t>QTY.</t>
  </si>
  <si>
    <t>None</t>
  </si>
  <si>
    <t>Minimum Door Width is 9 1/2"           Minimum Drawer Height is 7 1/2"</t>
  </si>
  <si>
    <t>INSERT WIDTH                                      (W-5 1/2")</t>
  </si>
  <si>
    <t>Special Order</t>
  </si>
  <si>
    <t>Cut From Stock</t>
  </si>
  <si>
    <t>CF Thermo Foil</t>
  </si>
  <si>
    <t>Mica</t>
  </si>
  <si>
    <t>Base Only</t>
  </si>
  <si>
    <t>Crown Only</t>
  </si>
  <si>
    <t>Base &amp; Crown</t>
  </si>
  <si>
    <t>Recessed Base</t>
  </si>
  <si>
    <t>CAM Color</t>
  </si>
  <si>
    <t>Custom Cam</t>
  </si>
  <si>
    <t>Beige</t>
  </si>
  <si>
    <t>Brown</t>
  </si>
  <si>
    <t>Self Closing</t>
  </si>
  <si>
    <t>Free Swing</t>
  </si>
  <si>
    <t>Folkstone</t>
  </si>
  <si>
    <t>Clear Glass</t>
  </si>
  <si>
    <t>1/4" Material</t>
  </si>
  <si>
    <t>Frosted Glass</t>
  </si>
  <si>
    <t>Mirror /w White Back</t>
  </si>
  <si>
    <t>Mirror /w Black Back</t>
  </si>
  <si>
    <t>Mirror /w Folkstone Back</t>
  </si>
  <si>
    <t>B111</t>
  </si>
  <si>
    <t>B115</t>
  </si>
  <si>
    <t>B119</t>
  </si>
  <si>
    <t>B123</t>
  </si>
  <si>
    <t>B127</t>
  </si>
  <si>
    <t>B131</t>
  </si>
  <si>
    <t>B135</t>
  </si>
  <si>
    <t>B139</t>
  </si>
  <si>
    <t>B143</t>
  </si>
  <si>
    <t>B147</t>
  </si>
  <si>
    <t>Thermo</t>
  </si>
  <si>
    <t>M123</t>
  </si>
  <si>
    <t>M115</t>
  </si>
  <si>
    <t>M111</t>
  </si>
  <si>
    <t>M119</t>
  </si>
  <si>
    <t>M127</t>
  </si>
  <si>
    <t>M131</t>
  </si>
  <si>
    <t>M135</t>
  </si>
  <si>
    <t>M139</t>
  </si>
  <si>
    <t>M143</t>
  </si>
  <si>
    <t>M147</t>
  </si>
  <si>
    <t>White Back</t>
  </si>
  <si>
    <t>Black Back</t>
  </si>
  <si>
    <t>Folkstone Back</t>
  </si>
  <si>
    <t>45-Day</t>
  </si>
  <si>
    <t>Smoked Glass</t>
  </si>
  <si>
    <t>ADRIENNE ARTEAGA</t>
  </si>
  <si>
    <t>ALAYNE GOLDMAN</t>
  </si>
  <si>
    <t>ALEX ELSON</t>
  </si>
  <si>
    <t>ALEXANDRIA VENEZIANO</t>
  </si>
  <si>
    <t>ALI PAGANO</t>
  </si>
  <si>
    <t>ALLISON SCOTT</t>
  </si>
  <si>
    <t>AMY MENDEZ</t>
  </si>
  <si>
    <t>ANDREA FLORES</t>
  </si>
  <si>
    <t>ANDREA TRONCOSO</t>
  </si>
  <si>
    <t>ANGELINA MILLER</t>
  </si>
  <si>
    <t>ANGIE GONZALEZ</t>
  </si>
  <si>
    <t>ANTONIO GALLO</t>
  </si>
  <si>
    <t>ASHLEY CATINO</t>
  </si>
  <si>
    <t>ASHLEY SHARP</t>
  </si>
  <si>
    <t>ATHYA IDNANI</t>
  </si>
  <si>
    <t>BARRY YURMAN</t>
  </si>
  <si>
    <t>CAROLINA RIFENBURY</t>
  </si>
  <si>
    <t>CAROLYN THOMPSON</t>
  </si>
  <si>
    <t>CHRIS STORIE</t>
  </si>
  <si>
    <t>CLAIRE FINLAYSON</t>
  </si>
  <si>
    <t>DEBORAH MAURER</t>
  </si>
  <si>
    <t>DINA VICIOSO</t>
  </si>
  <si>
    <t>EDDIE WITHERSPOON</t>
  </si>
  <si>
    <t>GREG DELZ</t>
  </si>
  <si>
    <t>HEATHER LA POINTE</t>
  </si>
  <si>
    <t>JACKLYN ROMANOLI</t>
  </si>
  <si>
    <t>JEANNE HESSEN</t>
  </si>
  <si>
    <t>JESSICA MERCURIO</t>
  </si>
  <si>
    <t>JESSICA PHILBROOK</t>
  </si>
  <si>
    <t>JESUS RODRIGUES</t>
  </si>
  <si>
    <t>JILLIAN FREDERICO</t>
  </si>
  <si>
    <t>JIM MARTIN</t>
  </si>
  <si>
    <t>JULIETTE GUSTAVO</t>
  </si>
  <si>
    <t>KATHERINE MARTIN</t>
  </si>
  <si>
    <t>LJ HANNAH</t>
  </si>
  <si>
    <t>LORI FELDMAN</t>
  </si>
  <si>
    <t>LORI KASTEN</t>
  </si>
  <si>
    <t>LYNDSAY TUBBS</t>
  </si>
  <si>
    <t>MADELINE NAVILIO</t>
  </si>
  <si>
    <t>MARCIA FERRANTE</t>
  </si>
  <si>
    <t>MARIA BISCHOFF</t>
  </si>
  <si>
    <t>MARK SIDELL</t>
  </si>
  <si>
    <t>MARY JANE VOTYPKA</t>
  </si>
  <si>
    <t>MEGAN DE RISIO</t>
  </si>
  <si>
    <t>MICHAEL JOHNSON</t>
  </si>
  <si>
    <t>MIKE REDNOUR</t>
  </si>
  <si>
    <t>MIRIAM RIVERA</t>
  </si>
  <si>
    <t>NATALIE ROSENTHAL</t>
  </si>
  <si>
    <t>NICOLE SELLAR</t>
  </si>
  <si>
    <t>NICOLE YABLIN</t>
  </si>
  <si>
    <t>PAMELA AMERSON</t>
  </si>
  <si>
    <t>RICK SMOTHERS</t>
  </si>
  <si>
    <t>RICK STALLER</t>
  </si>
  <si>
    <t>ROBYN BURNETT</t>
  </si>
  <si>
    <t>SARAH HALE</t>
  </si>
  <si>
    <t>SHANNON SCOTT</t>
  </si>
  <si>
    <t>SKYLAR SILVERSTEIN</t>
  </si>
  <si>
    <t>STEPHANIE MILEVSKI</t>
  </si>
  <si>
    <t>TAYLOR REEVES</t>
  </si>
  <si>
    <t>TRACY DRUDEK</t>
  </si>
  <si>
    <t>WALTER STEUNENBERG</t>
  </si>
  <si>
    <t>LORI NEWMAN</t>
  </si>
  <si>
    <t>LINDA TERRIZZI</t>
  </si>
  <si>
    <t>CF5 Order</t>
  </si>
  <si>
    <t>Mirror</t>
  </si>
  <si>
    <t>Silver</t>
  </si>
  <si>
    <t>Navy Blue</t>
  </si>
  <si>
    <t>Aquamarine</t>
  </si>
  <si>
    <t>Blush</t>
  </si>
  <si>
    <t>Champagne</t>
  </si>
  <si>
    <t>FRONT AND BACK</t>
  </si>
  <si>
    <t>BOTTOM</t>
  </si>
  <si>
    <t>SALLIE ADAMS</t>
  </si>
  <si>
    <t>CUT SIZE</t>
  </si>
  <si>
    <t>ALEX NEWMAN</t>
  </si>
  <si>
    <t>Mysterious</t>
  </si>
  <si>
    <t>Willow</t>
  </si>
  <si>
    <t>Wheat Tabby Grain</t>
  </si>
  <si>
    <t>Flat Polish</t>
  </si>
  <si>
    <t>WHITE</t>
  </si>
  <si>
    <t>End of Order</t>
  </si>
  <si>
    <t>Continued Next Page</t>
  </si>
  <si>
    <t>Order Form-Page 1</t>
  </si>
  <si>
    <t># Pcs</t>
  </si>
  <si>
    <r>
      <t xml:space="preserve">FOIL </t>
    </r>
    <r>
      <rPr>
        <sz val="11"/>
        <color theme="1"/>
        <rFont val="Calibri"/>
        <family val="2"/>
        <scheme val="minor"/>
      </rPr>
      <t>(Lineal Feet)</t>
    </r>
  </si>
  <si>
    <r>
      <t xml:space="preserve">FOILON PHENOLIC </t>
    </r>
    <r>
      <rPr>
        <sz val="11"/>
        <color theme="1"/>
        <rFont val="Calibri"/>
        <family val="2"/>
        <scheme val="minor"/>
      </rPr>
      <t>(4'x8' Sheets)</t>
    </r>
  </si>
  <si>
    <r>
      <rPr>
        <b/>
        <sz val="11"/>
        <color theme="1"/>
        <rFont val="Calibri"/>
        <family val="2"/>
        <scheme val="minor"/>
      </rPr>
      <t>MOLDING</t>
    </r>
    <r>
      <rPr>
        <sz val="11"/>
        <color theme="1"/>
        <rFont val="Calibri"/>
        <family val="2"/>
        <scheme val="minor"/>
      </rPr>
      <t xml:space="preserve"> (8' lengths only)</t>
    </r>
  </si>
  <si>
    <r>
      <t>LAMINATE</t>
    </r>
    <r>
      <rPr>
        <sz val="11"/>
        <color theme="1"/>
        <rFont val="Calibri"/>
        <family val="2"/>
        <scheme val="minor"/>
      </rPr>
      <t xml:space="preserve"> (4'x8' Sheets)</t>
    </r>
  </si>
  <si>
    <t>R</t>
  </si>
  <si>
    <t>L</t>
  </si>
  <si>
    <t>SIDE</t>
  </si>
  <si>
    <t>#LITES</t>
  </si>
  <si>
    <t>HINGE</t>
  </si>
  <si>
    <t>Side Three</t>
  </si>
  <si>
    <t>Cathedral</t>
  </si>
  <si>
    <t>Arched</t>
  </si>
  <si>
    <t>Square</t>
  </si>
  <si>
    <t>Bottom of Door</t>
  </si>
  <si>
    <t>Side Two</t>
  </si>
  <si>
    <t>Quarter Circle R</t>
  </si>
  <si>
    <t>Quarter Circle L</t>
  </si>
  <si>
    <t>Finger Pulls</t>
  </si>
  <si>
    <t>Painted backs $15 ea.</t>
  </si>
  <si>
    <t>Side Four</t>
  </si>
  <si>
    <t>Side One</t>
  </si>
  <si>
    <t>All Profiled</t>
  </si>
  <si>
    <t>EDGE ON</t>
  </si>
  <si>
    <t xml:space="preserve"> H E I G H T</t>
  </si>
  <si>
    <t>SLAB FILLERS</t>
  </si>
  <si>
    <t>All Edges Square</t>
  </si>
  <si>
    <t>SQUARE</t>
  </si>
  <si>
    <t>MULLION DOORS</t>
  </si>
  <si>
    <t>Finger Pull</t>
  </si>
  <si>
    <t>Vgrain</t>
  </si>
  <si>
    <t>Hgrain</t>
  </si>
  <si>
    <t>Biscayne</t>
  </si>
  <si>
    <t>RR</t>
  </si>
  <si>
    <t>Slab</t>
  </si>
  <si>
    <t>K</t>
  </si>
  <si>
    <t>W</t>
  </si>
  <si>
    <t>Bisc.Only</t>
  </si>
  <si>
    <t>STYLE</t>
  </si>
  <si>
    <t>DRAWER</t>
  </si>
  <si>
    <t>of Door</t>
  </si>
  <si>
    <t>Bottom</t>
  </si>
  <si>
    <t>Top of Door</t>
  </si>
  <si>
    <t>DOOR STYLE</t>
  </si>
  <si>
    <r>
      <t xml:space="preserve">DR3 </t>
    </r>
    <r>
      <rPr>
        <sz val="11"/>
        <color theme="1"/>
        <rFont val="Calibri"/>
        <family val="2"/>
        <scheme val="minor"/>
      </rPr>
      <t>(1-35mm and 2-8mm holes)</t>
    </r>
  </si>
  <si>
    <r>
      <t xml:space="preserve">DR1 </t>
    </r>
    <r>
      <rPr>
        <sz val="11"/>
        <color theme="1"/>
        <rFont val="Calibri"/>
        <family val="2"/>
        <scheme val="minor"/>
      </rPr>
      <t>(1-35mm hole)</t>
    </r>
  </si>
  <si>
    <t>HINGE BORING</t>
  </si>
  <si>
    <t>Umber Brown</t>
  </si>
  <si>
    <t>Egg Shell</t>
  </si>
  <si>
    <t>Dark Walnut</t>
  </si>
  <si>
    <t>GLAZING OPTIONS</t>
  </si>
  <si>
    <t>Match Back</t>
  </si>
  <si>
    <t>DOOR DESIGN</t>
  </si>
  <si>
    <t>to a $20 Charge</t>
  </si>
  <si>
    <t>Phone</t>
  </si>
  <si>
    <t>COMPANY</t>
  </si>
  <si>
    <t>(954) 959-5150</t>
  </si>
  <si>
    <t>9 pcs or less subject</t>
  </si>
  <si>
    <t>NUMBER</t>
  </si>
  <si>
    <t>ID CODE</t>
  </si>
  <si>
    <t>CUSTOMER</t>
  </si>
  <si>
    <t>PO # or JOB NAME</t>
  </si>
  <si>
    <t>7 4 7 4</t>
  </si>
  <si>
    <t>C F J</t>
  </si>
  <si>
    <t>430 Goolsby Blvd. • Deerfield Beach, Florida 33442</t>
  </si>
  <si>
    <t>Fax: (888) 969-9915</t>
  </si>
  <si>
    <t>(888) 969-0124</t>
  </si>
  <si>
    <t>Fax: (954) 418-4703</t>
  </si>
  <si>
    <t>Doormark Inc.</t>
  </si>
  <si>
    <t>(954) 418-4700</t>
  </si>
  <si>
    <t>KCD V9 OR V23</t>
  </si>
  <si>
    <t>X</t>
  </si>
  <si>
    <t>Celadon</t>
  </si>
  <si>
    <t>V23</t>
  </si>
  <si>
    <t>Depth</t>
  </si>
  <si>
    <t>DOOR COLOR</t>
  </si>
  <si>
    <t>DOORMARK</t>
  </si>
  <si>
    <t>DOOR DESIGNS</t>
  </si>
  <si>
    <t>CODE</t>
  </si>
  <si>
    <t>ABACOA SHAKER</t>
  </si>
  <si>
    <t>SHA</t>
  </si>
  <si>
    <t>BAHAMA SHAKER</t>
  </si>
  <si>
    <t>SHB</t>
  </si>
  <si>
    <t>BAL HARBOR</t>
  </si>
  <si>
    <t>BAL</t>
  </si>
  <si>
    <t>Mirror / w Match back</t>
  </si>
  <si>
    <t>BIMINI</t>
  </si>
  <si>
    <t>BIM</t>
  </si>
  <si>
    <t>BISCAYNE</t>
  </si>
  <si>
    <t>BIS</t>
  </si>
  <si>
    <t>CAPTIVA</t>
  </si>
  <si>
    <t>CAP</t>
  </si>
  <si>
    <t>DAYTONA</t>
  </si>
  <si>
    <t>DAY</t>
  </si>
  <si>
    <t>DORAL</t>
  </si>
  <si>
    <t>DOR</t>
  </si>
  <si>
    <t>ENGLEWOOD</t>
  </si>
  <si>
    <t>ENG</t>
  </si>
  <si>
    <t>EURO SHAKER</t>
  </si>
  <si>
    <t>EUSH</t>
  </si>
  <si>
    <t>FREEPORT SHAKER</t>
  </si>
  <si>
    <t>SHF</t>
  </si>
  <si>
    <t>GULFSTREAM</t>
  </si>
  <si>
    <t>GUL</t>
  </si>
  <si>
    <t>HOLLYWOOD</t>
  </si>
  <si>
    <t>HOL</t>
  </si>
  <si>
    <t>ISLAMORADA</t>
  </si>
  <si>
    <t>ISL</t>
  </si>
  <si>
    <t>KEY LARGO</t>
  </si>
  <si>
    <t>KEY</t>
  </si>
  <si>
    <t>LAS OLAS</t>
  </si>
  <si>
    <t>LAS</t>
  </si>
  <si>
    <t>MARATHON SHAKER</t>
  </si>
  <si>
    <t>SHM</t>
  </si>
  <si>
    <t>MARTINIQUE</t>
  </si>
  <si>
    <t>MAR</t>
  </si>
  <si>
    <t>MONTEGO</t>
  </si>
  <si>
    <t>MON</t>
  </si>
  <si>
    <t>NAPLES SHAKER</t>
  </si>
  <si>
    <t>SHN</t>
  </si>
  <si>
    <t>NASSAU</t>
  </si>
  <si>
    <t>NAS</t>
  </si>
  <si>
    <t>ORLANDO</t>
  </si>
  <si>
    <t>ORL</t>
  </si>
  <si>
    <t>PALM BEACH</t>
  </si>
  <si>
    <t>PAL</t>
  </si>
  <si>
    <t>POMPANO</t>
  </si>
  <si>
    <t>POM</t>
  </si>
  <si>
    <t>PORT CHARLOTTE</t>
  </si>
  <si>
    <t>POR</t>
  </si>
  <si>
    <t>SAN MARCO</t>
  </si>
  <si>
    <t>SAN</t>
  </si>
  <si>
    <t>SARASOTA SHAKER</t>
  </si>
  <si>
    <t>SHS</t>
  </si>
  <si>
    <t>SEBRING</t>
  </si>
  <si>
    <t>SEB</t>
  </si>
  <si>
    <t>SOUTH BEACH</t>
  </si>
  <si>
    <t>SOU</t>
  </si>
  <si>
    <t>SUNRISE</t>
  </si>
  <si>
    <t>SUN</t>
  </si>
  <si>
    <t>VENICE</t>
  </si>
  <si>
    <t>VEN</t>
  </si>
  <si>
    <t>VIZCAYA</t>
  </si>
  <si>
    <t>VIZ</t>
  </si>
  <si>
    <t>WELLINGTON</t>
  </si>
  <si>
    <t>WEL</t>
  </si>
  <si>
    <t>WESTON</t>
  </si>
  <si>
    <t>WES</t>
  </si>
  <si>
    <t>FWM</t>
  </si>
  <si>
    <t>ALMOND</t>
  </si>
  <si>
    <t>AM</t>
  </si>
  <si>
    <t>APPLE COCOA</t>
  </si>
  <si>
    <t>CHPE</t>
  </si>
  <si>
    <t>BISQUE</t>
  </si>
  <si>
    <t>OWM</t>
  </si>
  <si>
    <t>BLACK</t>
  </si>
  <si>
    <t>BLMA</t>
  </si>
  <si>
    <t>BLANCA ELME</t>
  </si>
  <si>
    <t>BLEL</t>
  </si>
  <si>
    <t>CAMPANIA ELME</t>
  </si>
  <si>
    <t>CAEL</t>
  </si>
  <si>
    <t>ESPRESSO</t>
  </si>
  <si>
    <t>EXPR</t>
  </si>
  <si>
    <t>FOG</t>
  </si>
  <si>
    <t>FOLKSTONE GREY</t>
  </si>
  <si>
    <t>FOST</t>
  </si>
  <si>
    <t>FUSION MAPLE</t>
  </si>
  <si>
    <t>FM</t>
  </si>
  <si>
    <t>HUDSON CHERRY</t>
  </si>
  <si>
    <t>LEWIS</t>
  </si>
  <si>
    <t>LEWI</t>
  </si>
  <si>
    <t>MARSEILLE</t>
  </si>
  <si>
    <t>MARS</t>
  </si>
  <si>
    <t>MONACO</t>
  </si>
  <si>
    <t>MONA</t>
  </si>
  <si>
    <t>MOSCATTO</t>
  </si>
  <si>
    <t>MOEL</t>
  </si>
  <si>
    <t>TENINO GREY</t>
  </si>
  <si>
    <t>TEGR</t>
  </si>
  <si>
    <t>QUARTZ</t>
  </si>
  <si>
    <t>GRANITE</t>
  </si>
  <si>
    <t>MARBLE</t>
  </si>
  <si>
    <t>ARCTIC WHITE</t>
  </si>
  <si>
    <t>CALACATTA GOLD</t>
  </si>
  <si>
    <t>CALACATTA VICENZA</t>
  </si>
  <si>
    <t>CALACATTA WHISPER</t>
  </si>
  <si>
    <t>CALACATTA ZEUS</t>
  </si>
  <si>
    <t>CALICO WHITE</t>
  </si>
  <si>
    <t>CREMA MARFIL</t>
  </si>
  <si>
    <t>DARK GREY</t>
  </si>
  <si>
    <t>PANDA</t>
  </si>
  <si>
    <t>SPARKLING WHITE</t>
  </si>
  <si>
    <t>VENA CARBONA</t>
  </si>
  <si>
    <t>IN</t>
  </si>
  <si>
    <t>MM</t>
  </si>
  <si>
    <t>1 1/2"</t>
  </si>
  <si>
    <t>PANEL HEIGHT</t>
  </si>
  <si>
    <t>INCHES</t>
  </si>
  <si>
    <t>13/16</t>
  </si>
  <si>
    <t>HOLE HEIGHT</t>
  </si>
  <si>
    <t>AMANDA TOMAZIN</t>
  </si>
  <si>
    <t>AMARIS DEL POZO</t>
  </si>
  <si>
    <t>ANDREA ARANA</t>
  </si>
  <si>
    <t>LISA KIRSH</t>
  </si>
  <si>
    <t>HOLES</t>
  </si>
  <si>
    <t>APPLIANCE PANELS</t>
  </si>
  <si>
    <t>A</t>
  </si>
  <si>
    <t>B1</t>
  </si>
  <si>
    <t>B2</t>
  </si>
  <si>
    <t>C</t>
  </si>
  <si>
    <t>PANEL OVER PANEL</t>
  </si>
  <si>
    <t>S</t>
  </si>
  <si>
    <t xml:space="preserve"> 2/3 over 1/3</t>
  </si>
  <si>
    <t>15 x 21</t>
  </si>
  <si>
    <t>15 x 27</t>
  </si>
  <si>
    <t>15 x 33</t>
  </si>
  <si>
    <t>WINE RACKS</t>
  </si>
  <si>
    <t>21 x 21</t>
  </si>
  <si>
    <t>21 x 27</t>
  </si>
  <si>
    <t>21 x 33</t>
  </si>
  <si>
    <t>Match Door Edge Detail     or</t>
  </si>
  <si>
    <t>Square Edge Detail</t>
  </si>
  <si>
    <t>VALANCES</t>
  </si>
  <si>
    <t>6 x 32</t>
  </si>
  <si>
    <t>6 x 38</t>
  </si>
  <si>
    <t>6 x 50</t>
  </si>
  <si>
    <t>Sculptured</t>
  </si>
  <si>
    <t>L     R</t>
  </si>
  <si>
    <t>EDGE DOORS</t>
  </si>
  <si>
    <t>L  R</t>
  </si>
  <si>
    <t>Door Style</t>
  </si>
  <si>
    <t>Order Form Accessories-Page2</t>
  </si>
  <si>
    <t>FLUTED PILASTERS</t>
  </si>
  <si>
    <t>4'x8' SHEETS</t>
  </si>
  <si>
    <t>LAMINATE</t>
  </si>
  <si>
    <t>FOIL ON PHENOLIC</t>
  </si>
  <si>
    <t>FOIL</t>
  </si>
  <si>
    <t>LINEAL FEET</t>
  </si>
  <si>
    <t>ROSETTES</t>
  </si>
  <si>
    <t>What wood species would you like?</t>
  </si>
  <si>
    <t>What height ladder do you want?</t>
  </si>
  <si>
    <t>What hardware finish would you like?</t>
  </si>
  <si>
    <t>What length are your runs of track?</t>
  </si>
  <si>
    <t>Are there any curves?</t>
  </si>
  <si>
    <t>Would you like handrails?</t>
  </si>
  <si>
    <t>Would you like nonslip step treads?</t>
  </si>
  <si>
    <t>8'</t>
  </si>
  <si>
    <t>What type of ladder attachment?</t>
  </si>
  <si>
    <t>What finish are your runs of track?</t>
  </si>
  <si>
    <t>LADDER PURCHASE ORDER</t>
  </si>
  <si>
    <t>What width would you like the ladder to be?</t>
  </si>
  <si>
    <t>What type of brackets?</t>
  </si>
  <si>
    <t>Oil-Rubbed Bronze</t>
  </si>
  <si>
    <t>Hammered Antique Brass</t>
  </si>
  <si>
    <t>Chrome</t>
  </si>
  <si>
    <t>Satin Nickel</t>
  </si>
  <si>
    <t>Satin Brass</t>
  </si>
  <si>
    <t>3'</t>
  </si>
  <si>
    <t>4'</t>
  </si>
  <si>
    <t>6'</t>
  </si>
  <si>
    <t>STANDARD</t>
  </si>
  <si>
    <t>STANDARD W/ EARRINGS</t>
  </si>
  <si>
    <t>EARRINGS</t>
  </si>
  <si>
    <t>VALET</t>
  </si>
  <si>
    <t>SUNGLASS</t>
  </si>
  <si>
    <t>NECKLACE</t>
  </si>
  <si>
    <t>WATCH &amp; BRACELET</t>
  </si>
  <si>
    <t xml:space="preserve">TIE &amp; BELT </t>
  </si>
  <si>
    <t xml:space="preserve">PLAIN TRAY </t>
  </si>
  <si>
    <t>FLAT LINER</t>
  </si>
  <si>
    <t>Drift Ash</t>
  </si>
  <si>
    <t>Pure Black</t>
  </si>
  <si>
    <t>Seaside Blue</t>
  </si>
  <si>
    <t>Seashell White</t>
  </si>
  <si>
    <t>Sand Gray</t>
  </si>
  <si>
    <t>Timber</t>
  </si>
  <si>
    <t>ODK - Melbourne</t>
  </si>
  <si>
    <t>ODK - Sanford</t>
  </si>
  <si>
    <t>CONCERTO</t>
  </si>
  <si>
    <t>BLACK ABSOLUTE</t>
  </si>
  <si>
    <t>BLACK GALAXY</t>
  </si>
  <si>
    <t>CARRERA WHITE</t>
  </si>
  <si>
    <t>DIANO REALE</t>
  </si>
  <si>
    <t>(864) 877-9119</t>
  </si>
  <si>
    <t>Fax# (864) 877 9194</t>
  </si>
  <si>
    <t>Web - www.bccdoors.com</t>
  </si>
  <si>
    <t>unless marked as quote!</t>
  </si>
  <si>
    <t>considered an order</t>
  </si>
  <si>
    <t>NOTE: This will be</t>
  </si>
  <si>
    <t>Rush Order</t>
  </si>
  <si>
    <t>Quote Only</t>
  </si>
  <si>
    <t>Company Name</t>
  </si>
  <si>
    <t>Closet Factory - Deerfield Beach, FL</t>
  </si>
  <si>
    <t>ID#</t>
  </si>
  <si>
    <t>Ordered By</t>
  </si>
  <si>
    <t>(954) 979-5150</t>
  </si>
  <si>
    <t>P.O#</t>
  </si>
  <si>
    <t>Page</t>
  </si>
  <si>
    <t>of</t>
  </si>
  <si>
    <t>SPARKLING DIAMOND</t>
  </si>
  <si>
    <t>SANTA CECILIA WHITE - ODK</t>
  </si>
  <si>
    <t>BLUE PEARL - ODK</t>
  </si>
  <si>
    <t>SAN GABRIEL BLACK - ODK</t>
  </si>
  <si>
    <t>EXTREME WHITE - ODK</t>
  </si>
  <si>
    <t>NEW CALEDONIA - ODK</t>
  </si>
  <si>
    <t>Panel Profile</t>
  </si>
  <si>
    <t>Outside Edge</t>
  </si>
  <si>
    <t>St. Augustine</t>
  </si>
  <si>
    <t>Augusta</t>
  </si>
  <si>
    <t>1/4 Round Over</t>
  </si>
  <si>
    <t>Drawer Front Style</t>
  </si>
  <si>
    <t>Match Door Style</t>
  </si>
  <si>
    <t>MDF</t>
  </si>
  <si>
    <r>
      <t>MDF w/Melamine Back</t>
    </r>
    <r>
      <rPr>
        <sz val="11"/>
        <color theme="1"/>
        <rFont val="Calibri"/>
        <family val="2"/>
        <scheme val="minor"/>
      </rPr>
      <t xml:space="preserve"> (White unless specified)</t>
    </r>
  </si>
  <si>
    <t>Melamine Color</t>
  </si>
  <si>
    <t>3D Laminate Color</t>
  </si>
  <si>
    <t>-</t>
  </si>
  <si>
    <t>Arch</t>
  </si>
  <si>
    <t>New York</t>
  </si>
  <si>
    <t>Slim Mission</t>
  </si>
  <si>
    <t>Wide Ogee</t>
  </si>
  <si>
    <t>Bevel</t>
  </si>
  <si>
    <t>Step Round</t>
  </si>
  <si>
    <t>SECTION NOT USED</t>
  </si>
  <si>
    <t>To order frames, specify in changes column (frame only 4, 6, 8 lite)</t>
  </si>
  <si>
    <t>DO</t>
  </si>
  <si>
    <t>rout backs of frames for glass</t>
  </si>
  <si>
    <t>BLACK GLOSS</t>
  </si>
  <si>
    <t>BLGL</t>
  </si>
  <si>
    <t>SCOTT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</si>
</sst>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(&quot;$&quot;* #,##0.00_);_(&quot;$&quot;* \(#,##0.00\);_(&quot;$&quot;* &quot;-&quot;??_);_(@_)"/>
    <numFmt numFmtId="164" formatCode="&quot;$&quot;#,##0.00"/>
    <numFmt numFmtId="165" formatCode="m/d;@"/>
    <numFmt numFmtId="166" formatCode="mm/dd/yy"/>
    <numFmt numFmtId="167" formatCode="[$-F800]dddd\,\ mmmm\ dd\,\ yyyy"/>
    <numFmt numFmtId="168" formatCode="mmmm\ d\,\ yyyy"/>
    <numFmt numFmtId="169" formatCode="0_);[Red]\(0\)"/>
    <numFmt numFmtId="170" formatCode="0.0000"/>
    <numFmt numFmtId="171" formatCode="#\ ??/16"/>
    <numFmt numFmtId="172" formatCode="#\ ?/8"/>
    <numFmt numFmtId="173" formatCode="0.0"/>
    <numFmt numFmtId="174" formatCode="#\ ?/4"/>
    <numFmt numFmtId="175" formatCode="#\ ?/2"/>
  </numFmts>
  <fonts count="1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Monotype Corsiva"/>
      <family val="4"/>
    </font>
    <font>
      <sz val="9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6"/>
      <color theme="1"/>
      <name val="Calibri"/>
      <family val="2"/>
      <scheme val="minor"/>
    </font>
    <font>
      <sz val="8"/>
      <name val="Arial"/>
      <family val="2"/>
    </font>
    <font>
      <b/>
      <i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48"/>
      <name val="Arial"/>
      <family val="2"/>
    </font>
    <font>
      <sz val="22"/>
      <name val="Impact"/>
      <family val="2"/>
    </font>
    <font>
      <b/>
      <sz val="26"/>
      <color indexed="42"/>
      <name val="Arial"/>
      <family val="2"/>
    </font>
    <font>
      <b/>
      <sz val="7"/>
      <name val="Arial"/>
      <family val="2"/>
    </font>
    <font>
      <b/>
      <sz val="7"/>
      <color indexed="42"/>
      <name val="Arial"/>
      <family val="2"/>
    </font>
    <font>
      <b/>
      <sz val="8"/>
      <color indexed="42"/>
      <name val="Arial"/>
      <family val="2"/>
    </font>
    <font>
      <b/>
      <sz val="8"/>
      <color indexed="11"/>
      <name val="Arial"/>
      <family val="2"/>
    </font>
    <font>
      <b/>
      <sz val="7"/>
      <color indexed="63"/>
      <name val="Arial"/>
      <family val="2"/>
    </font>
    <font>
      <b/>
      <sz val="7"/>
      <color indexed="41"/>
      <name val="Arial"/>
      <family val="2"/>
    </font>
    <font>
      <sz val="8"/>
      <color indexed="63"/>
      <name val="Arial"/>
      <family val="2"/>
    </font>
    <font>
      <sz val="12"/>
      <color indexed="11"/>
      <name val="Arial"/>
      <family val="2"/>
    </font>
    <font>
      <sz val="8"/>
      <color indexed="41"/>
      <name val="Arial"/>
      <family val="2"/>
    </font>
    <font>
      <sz val="8"/>
      <color indexed="42"/>
      <name val="Arial"/>
      <family val="2"/>
    </font>
    <font>
      <sz val="8"/>
      <color indexed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4"/>
      <color theme="1"/>
      <name val="Calibri"/>
      <family val="2"/>
      <scheme val="minor"/>
    </font>
    <font>
      <b/>
      <i/>
      <sz val="20"/>
      <name val="Arial"/>
      <family val="2"/>
    </font>
    <font>
      <b/>
      <sz val="13"/>
      <name val="Arial"/>
      <family val="2"/>
    </font>
    <font>
      <b/>
      <i/>
      <sz val="13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"/>
      <color indexed="81"/>
      <name val="Arial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Arial"/>
      <family val="2"/>
    </font>
    <font>
      <sz val="48"/>
      <name val="Arial"/>
      <family val="2"/>
    </font>
    <font>
      <sz val="14"/>
      <color theme="1"/>
      <name val="Calibri"/>
      <family val="2"/>
      <scheme val="minor"/>
    </font>
    <font>
      <i/>
      <sz val="18"/>
      <name val="Arial"/>
      <family val="2"/>
    </font>
    <font>
      <i/>
      <sz val="18"/>
      <color theme="1"/>
      <name val="Calibri"/>
      <family val="2"/>
      <scheme val="minor"/>
    </font>
    <font>
      <sz val="8"/>
      <name val="Calibri"/>
      <family val="2"/>
    </font>
    <font>
      <b/>
      <sz val="24"/>
      <color theme="1"/>
      <name val="Arial"/>
      <family val="2"/>
    </font>
    <font>
      <b/>
      <sz val="14"/>
      <color theme="1"/>
      <name val="Arial"/>
      <family val="2"/>
    </font>
    <font>
      <b/>
      <sz val="13"/>
      <color theme="1"/>
      <name val="Calibri"/>
      <family val="2"/>
      <scheme val="minor"/>
    </font>
    <font>
      <b/>
      <i/>
      <sz val="28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sz val="20"/>
      <color theme="1"/>
      <name val="Calibri"/>
      <family val="2"/>
      <scheme val="minor"/>
    </font>
    <font>
      <b/>
      <sz val="15"/>
      <name val="Calibri"/>
      <family val="2"/>
    </font>
    <font>
      <sz val="15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4"/>
      <name val="Calibri"/>
      <family val="2"/>
    </font>
    <font>
      <sz val="16"/>
      <name val="Calibri"/>
      <family val="2"/>
      <scheme val="minor"/>
    </font>
    <font>
      <sz val="12"/>
      <color indexed="9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theme="1"/>
      <name val="Imprint MT Shadow"/>
      <family val="5"/>
    </font>
    <font>
      <b/>
      <sz val="12"/>
      <color indexed="9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12"/>
      <color indexed="9"/>
      <name val="Arial"/>
      <family val="2"/>
    </font>
    <font>
      <b/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5"/>
      <name val="Arial"/>
      <family val="2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indexed="9"/>
      <name val="Arial"/>
      <family val="2"/>
    </font>
    <font>
      <sz val="13"/>
      <color indexed="9"/>
      <name val="Arial"/>
      <family val="2"/>
    </font>
    <font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1"/>
      <color theme="1"/>
      <name val="Aptos"/>
      <family val="2"/>
    </font>
    <font>
      <sz val="12"/>
      <color theme="1"/>
      <name val="Aptos"/>
      <family val="2"/>
    </font>
    <font>
      <b/>
      <sz val="14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b/>
      <sz val="227"/>
      <name val="Aptos"/>
      <family val="2"/>
    </font>
    <font>
      <b/>
      <i/>
      <sz val="11"/>
      <color theme="1"/>
      <name val="Calibri"/>
      <family val="2"/>
      <scheme val="minor"/>
    </font>
    <font>
      <sz val="16"/>
      <name val="Arial"/>
      <family val="2"/>
    </font>
    <font>
      <b/>
      <sz val="16"/>
      <color theme="1"/>
      <name val="Arial"/>
      <family val="2"/>
    </font>
    <font>
      <sz val="16"/>
      <color indexed="9"/>
      <name val="Calibri"/>
      <family val="2"/>
      <scheme val="minor"/>
    </font>
    <font>
      <b/>
      <sz val="16"/>
      <color indexed="9"/>
      <name val="Arial"/>
      <family val="2"/>
    </font>
    <font>
      <sz val="20"/>
      <name val="Calibri"/>
      <family val="2"/>
      <scheme val="minor"/>
    </font>
    <font>
      <b/>
      <sz val="18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8"/>
      <name val="Calibri"/>
      <family val="2"/>
    </font>
    <font>
      <b/>
      <i/>
      <sz val="24"/>
      <color rgb="FFFF0000"/>
      <name val="Calibri"/>
      <family val="2"/>
      <scheme val="minor"/>
    </font>
    <font>
      <b/>
      <sz val="2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9"/>
      </patternFill>
    </fill>
    <fill>
      <patternFill patternType="solid">
        <fgColor indexed="9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26"/>
      </patternFill>
    </fill>
    <fill>
      <patternFill patternType="solid">
        <fgColor theme="1"/>
        <bgColor indexed="64"/>
      </patternFill>
    </fill>
    <fill>
      <patternFill patternType="solid">
        <fgColor theme="1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9"/>
      </patternFill>
    </fill>
  </fills>
  <borders count="1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8"/>
      </left>
      <right style="medium">
        <color auto="1"/>
      </right>
      <top/>
      <bottom style="thick">
        <color indexed="8"/>
      </bottom>
      <diagonal/>
    </border>
    <border>
      <left style="thin">
        <color indexed="8"/>
      </left>
      <right style="thin">
        <color indexed="8"/>
      </right>
      <top/>
      <bottom style="thick">
        <color indexed="8"/>
      </bottom>
      <diagonal/>
    </border>
    <border>
      <left style="thin">
        <color indexed="8"/>
      </left>
      <right/>
      <top/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 style="thin">
        <color indexed="64"/>
      </left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theme="1"/>
      </right>
      <top/>
      <bottom/>
      <diagonal/>
    </border>
    <border>
      <left style="hair">
        <color auto="1"/>
      </left>
      <right style="medium">
        <color indexed="64"/>
      </right>
      <top/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8"/>
      </top>
      <bottom/>
      <diagonal/>
    </border>
    <border>
      <left style="medium">
        <color auto="1"/>
      </left>
      <right/>
      <top/>
      <bottom style="thin">
        <color indexed="8"/>
      </bottom>
      <diagonal/>
    </border>
    <border>
      <left style="medium">
        <color auto="1"/>
      </left>
      <right style="thin">
        <color indexed="8"/>
      </right>
      <top/>
      <bottom/>
      <diagonal/>
    </border>
    <border>
      <left style="medium">
        <color auto="1"/>
      </left>
      <right style="thin">
        <color indexed="8"/>
      </right>
      <top/>
      <bottom style="thick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/>
      <bottom style="thick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auto="1"/>
      </right>
      <top style="thin">
        <color indexed="8"/>
      </top>
      <bottom/>
      <diagonal/>
    </border>
    <border>
      <left style="medium">
        <color auto="1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thin">
        <color indexed="64"/>
      </right>
      <top style="dotted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tted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0" fontId="10" fillId="0" borderId="0"/>
    <xf numFmtId="0" fontId="5" fillId="0" borderId="0"/>
    <xf numFmtId="0" fontId="38" fillId="0" borderId="0"/>
    <xf numFmtId="0" fontId="1" fillId="0" borderId="0"/>
    <xf numFmtId="0" fontId="2" fillId="0" borderId="0"/>
    <xf numFmtId="0" fontId="2" fillId="0" borderId="0"/>
    <xf numFmtId="0" fontId="64" fillId="0" borderId="0" applyNumberFormat="0" applyFill="0" applyBorder="0" applyAlignment="0" applyProtection="0"/>
    <xf numFmtId="0" fontId="110" fillId="0" borderId="0"/>
  </cellStyleXfs>
  <cellXfs count="1226">
    <xf numFmtId="0" fontId="0" fillId="0" borderId="0" xfId="0"/>
    <xf numFmtId="13" fontId="0" fillId="0" borderId="0" xfId="0" applyNumberFormat="1"/>
    <xf numFmtId="0" fontId="0" fillId="0" borderId="0" xfId="0" applyAlignment="1">
      <alignment horizontal="center"/>
    </xf>
    <xf numFmtId="0" fontId="10" fillId="0" borderId="0" xfId="2"/>
    <xf numFmtId="0" fontId="10" fillId="2" borderId="0" xfId="2" applyFill="1"/>
    <xf numFmtId="0" fontId="20" fillId="2" borderId="0" xfId="2" applyFont="1" applyFill="1" applyAlignment="1">
      <alignment horizontal="center" vertical="center" wrapText="1"/>
    </xf>
    <xf numFmtId="0" fontId="21" fillId="6" borderId="5" xfId="2" applyFont="1" applyFill="1" applyBorder="1" applyAlignment="1">
      <alignment horizontal="center" vertical="center" wrapText="1"/>
    </xf>
    <xf numFmtId="0" fontId="22" fillId="6" borderId="0" xfId="2" applyFont="1" applyFill="1" applyAlignment="1">
      <alignment horizontal="center" vertical="center" wrapText="1"/>
    </xf>
    <xf numFmtId="0" fontId="23" fillId="6" borderId="0" xfId="2" applyFont="1" applyFill="1" applyAlignment="1">
      <alignment horizontal="center" vertical="center" wrapText="1"/>
    </xf>
    <xf numFmtId="0" fontId="24" fillId="6" borderId="8" xfId="2" applyFont="1" applyFill="1" applyBorder="1" applyAlignment="1">
      <alignment horizontal="center" vertical="center" wrapText="1"/>
    </xf>
    <xf numFmtId="0" fontId="25" fillId="2" borderId="0" xfId="2" applyFont="1" applyFill="1" applyAlignment="1">
      <alignment horizontal="center" vertical="center" wrapText="1"/>
    </xf>
    <xf numFmtId="0" fontId="20" fillId="0" borderId="0" xfId="2" applyFont="1" applyAlignment="1">
      <alignment horizontal="center" vertical="center" wrapText="1"/>
    </xf>
    <xf numFmtId="0" fontId="26" fillId="6" borderId="5" xfId="2" applyFont="1" applyFill="1" applyBorder="1"/>
    <xf numFmtId="0" fontId="24" fillId="6" borderId="0" xfId="2" applyFont="1" applyFill="1" applyAlignment="1">
      <alignment horizontal="center" vertical="center" wrapText="1"/>
    </xf>
    <xf numFmtId="0" fontId="26" fillId="6" borderId="8" xfId="2" applyFont="1" applyFill="1" applyBorder="1" applyAlignment="1">
      <alignment horizontal="center"/>
    </xf>
    <xf numFmtId="0" fontId="28" fillId="2" borderId="0" xfId="2" applyFont="1" applyFill="1"/>
    <xf numFmtId="49" fontId="10" fillId="0" borderId="0" xfId="2" applyNumberFormat="1"/>
    <xf numFmtId="0" fontId="5" fillId="6" borderId="5" xfId="2" applyFont="1" applyFill="1" applyBorder="1"/>
    <xf numFmtId="0" fontId="10" fillId="6" borderId="0" xfId="2" applyFill="1"/>
    <xf numFmtId="0" fontId="29" fillId="6" borderId="8" xfId="2" applyFont="1" applyFill="1" applyBorder="1"/>
    <xf numFmtId="0" fontId="29" fillId="6" borderId="5" xfId="2" applyFont="1" applyFill="1" applyBorder="1"/>
    <xf numFmtId="0" fontId="5" fillId="6" borderId="0" xfId="2" applyFont="1" applyFill="1"/>
    <xf numFmtId="0" fontId="10" fillId="6" borderId="8" xfId="2" applyFill="1" applyBorder="1"/>
    <xf numFmtId="0" fontId="26" fillId="6" borderId="0" xfId="2" applyFont="1" applyFill="1" applyProtection="1">
      <protection locked="0" hidden="1"/>
    </xf>
    <xf numFmtId="0" fontId="29" fillId="6" borderId="0" xfId="2" applyFont="1" applyFill="1"/>
    <xf numFmtId="0" fontId="10" fillId="6" borderId="12" xfId="2" applyFill="1" applyBorder="1"/>
    <xf numFmtId="0" fontId="10" fillId="6" borderId="13" xfId="2" applyFill="1" applyBorder="1"/>
    <xf numFmtId="0" fontId="10" fillId="6" borderId="14" xfId="2" applyFill="1" applyBorder="1"/>
    <xf numFmtId="0" fontId="5" fillId="2" borderId="0" xfId="2" applyFont="1" applyFill="1"/>
    <xf numFmtId="0" fontId="30" fillId="2" borderId="0" xfId="2" applyFont="1" applyFill="1"/>
    <xf numFmtId="166" fontId="30" fillId="2" borderId="0" xfId="2" applyNumberFormat="1" applyFont="1" applyFill="1"/>
    <xf numFmtId="0" fontId="30" fillId="2" borderId="0" xfId="2" applyFont="1" applyFill="1" applyAlignment="1">
      <alignment horizontal="right"/>
    </xf>
    <xf numFmtId="0" fontId="5" fillId="0" borderId="0" xfId="3"/>
    <xf numFmtId="0" fontId="16" fillId="0" borderId="0" xfId="3" applyFont="1" applyAlignment="1">
      <alignment shrinkToFit="1"/>
    </xf>
    <xf numFmtId="0" fontId="11" fillId="0" borderId="0" xfId="3" applyFont="1" applyAlignment="1">
      <alignment horizontal="right" vertical="center"/>
    </xf>
    <xf numFmtId="0" fontId="14" fillId="0" borderId="0" xfId="3" applyFont="1" applyAlignment="1">
      <alignment shrinkToFit="1"/>
    </xf>
    <xf numFmtId="0" fontId="5" fillId="0" borderId="0" xfId="3" applyAlignment="1">
      <alignment horizontal="center"/>
    </xf>
    <xf numFmtId="0" fontId="6" fillId="0" borderId="0" xfId="3" applyFont="1" applyAlignment="1">
      <alignment horizontal="center" vertical="center"/>
    </xf>
    <xf numFmtId="0" fontId="11" fillId="0" borderId="15" xfId="3" applyFont="1" applyBorder="1" applyAlignment="1">
      <alignment vertical="center"/>
    </xf>
    <xf numFmtId="0" fontId="11" fillId="0" borderId="19" xfId="3" applyFont="1" applyBorder="1" applyAlignment="1">
      <alignment vertical="center"/>
    </xf>
    <xf numFmtId="0" fontId="11" fillId="0" borderId="15" xfId="3" applyFont="1" applyBorder="1"/>
    <xf numFmtId="0" fontId="5" fillId="0" borderId="19" xfId="3" applyBorder="1"/>
    <xf numFmtId="0" fontId="11" fillId="0" borderId="0" xfId="3" applyFont="1"/>
    <xf numFmtId="0" fontId="11" fillId="0" borderId="0" xfId="3" applyFont="1" applyAlignment="1">
      <alignment horizontal="center" vertical="center"/>
    </xf>
    <xf numFmtId="0" fontId="36" fillId="0" borderId="0" xfId="3" applyFont="1" applyAlignment="1">
      <alignment horizontal="right" vertical="center"/>
    </xf>
    <xf numFmtId="0" fontId="7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2" fontId="0" fillId="0" borderId="0" xfId="0" applyNumberFormat="1" applyAlignment="1">
      <alignment vertical="center"/>
    </xf>
    <xf numFmtId="0" fontId="2" fillId="0" borderId="0" xfId="7"/>
    <xf numFmtId="0" fontId="2" fillId="0" borderId="1" xfId="7" applyBorder="1"/>
    <xf numFmtId="0" fontId="47" fillId="0" borderId="0" xfId="3" applyFont="1"/>
    <xf numFmtId="0" fontId="49" fillId="0" borderId="0" xfId="3" applyFont="1" applyAlignment="1">
      <alignment horizontal="right" vertical="center"/>
    </xf>
    <xf numFmtId="0" fontId="6" fillId="0" borderId="5" xfId="3" applyFont="1" applyBorder="1" applyAlignment="1">
      <alignment horizontal="right" vertical="center"/>
    </xf>
    <xf numFmtId="0" fontId="51" fillId="0" borderId="0" xfId="3" applyFont="1"/>
    <xf numFmtId="0" fontId="11" fillId="0" borderId="53" xfId="3" applyFont="1" applyBorder="1"/>
    <xf numFmtId="0" fontId="5" fillId="0" borderId="54" xfId="3" applyBorder="1"/>
    <xf numFmtId="0" fontId="11" fillId="0" borderId="58" xfId="3" applyFont="1" applyBorder="1"/>
    <xf numFmtId="0" fontId="11" fillId="0" borderId="53" xfId="3" applyFont="1" applyBorder="1" applyAlignment="1">
      <alignment vertical="center"/>
    </xf>
    <xf numFmtId="0" fontId="5" fillId="0" borderId="59" xfId="3" applyBorder="1"/>
    <xf numFmtId="0" fontId="27" fillId="7" borderId="49" xfId="2" applyFont="1" applyFill="1" applyBorder="1" applyAlignment="1" applyProtection="1">
      <alignment horizontal="center"/>
      <protection locked="0"/>
    </xf>
    <xf numFmtId="0" fontId="27" fillId="7" borderId="49" xfId="2" applyFont="1" applyFill="1" applyBorder="1" applyAlignment="1" applyProtection="1">
      <alignment horizontal="center" vertical="center"/>
      <protection locked="0"/>
    </xf>
    <xf numFmtId="0" fontId="14" fillId="0" borderId="24" xfId="3" applyFont="1" applyBorder="1" applyAlignment="1">
      <alignment horizontal="center" vertical="center"/>
    </xf>
    <xf numFmtId="0" fontId="55" fillId="0" borderId="0" xfId="3" applyFont="1" applyAlignment="1">
      <alignment horizontal="center" vertical="center"/>
    </xf>
    <xf numFmtId="0" fontId="48" fillId="0" borderId="2" xfId="0" applyFont="1" applyBorder="1" applyAlignment="1">
      <alignment horizontal="right"/>
    </xf>
    <xf numFmtId="0" fontId="48" fillId="0" borderId="13" xfId="0" applyFont="1" applyBorder="1" applyAlignment="1">
      <alignment horizontal="right"/>
    </xf>
    <xf numFmtId="14" fontId="2" fillId="0" borderId="0" xfId="7" applyNumberFormat="1"/>
    <xf numFmtId="12" fontId="2" fillId="0" borderId="0" xfId="7" applyNumberFormat="1"/>
    <xf numFmtId="0" fontId="7" fillId="0" borderId="2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14" xfId="0" applyBorder="1"/>
    <xf numFmtId="0" fontId="0" fillId="0" borderId="115" xfId="0" applyBorder="1"/>
    <xf numFmtId="0" fontId="11" fillId="0" borderId="113" xfId="3" applyFont="1" applyBorder="1"/>
    <xf numFmtId="0" fontId="11" fillId="0" borderId="98" xfId="3" applyFont="1" applyBorder="1"/>
    <xf numFmtId="0" fontId="11" fillId="0" borderId="3" xfId="3" applyFont="1" applyBorder="1" applyAlignment="1">
      <alignment vertical="center"/>
    </xf>
    <xf numFmtId="0" fontId="14" fillId="0" borderId="57" xfId="3" applyFont="1" applyBorder="1" applyAlignment="1">
      <alignment horizontal="center" vertical="center"/>
    </xf>
    <xf numFmtId="0" fontId="15" fillId="0" borderId="0" xfId="3" applyFont="1" applyAlignment="1">
      <alignment horizontal="center" shrinkToFit="1"/>
    </xf>
    <xf numFmtId="0" fontId="11" fillId="0" borderId="60" xfId="3" applyFont="1" applyBorder="1"/>
    <xf numFmtId="0" fontId="11" fillId="0" borderId="49" xfId="3" applyFont="1" applyBorder="1"/>
    <xf numFmtId="0" fontId="11" fillId="0" borderId="16" xfId="3" applyFont="1" applyBorder="1"/>
    <xf numFmtId="0" fontId="11" fillId="0" borderId="26" xfId="3" applyFont="1" applyBorder="1"/>
    <xf numFmtId="0" fontId="44" fillId="0" borderId="49" xfId="3" applyFont="1" applyBorder="1" applyAlignment="1">
      <alignment horizontal="center" vertical="center"/>
    </xf>
    <xf numFmtId="0" fontId="44" fillId="0" borderId="16" xfId="3" applyFont="1" applyBorder="1" applyAlignment="1">
      <alignment horizontal="center" vertical="center"/>
    </xf>
    <xf numFmtId="0" fontId="45" fillId="0" borderId="47" xfId="3" applyFont="1" applyBorder="1" applyAlignment="1">
      <alignment horizontal="left" vertical="center"/>
    </xf>
    <xf numFmtId="0" fontId="45" fillId="0" borderId="61" xfId="3" applyFont="1" applyBorder="1" applyAlignment="1">
      <alignment horizontal="left" vertical="center"/>
    </xf>
    <xf numFmtId="0" fontId="45" fillId="0" borderId="62" xfId="3" applyFont="1" applyBorder="1" applyAlignment="1">
      <alignment horizontal="left" vertical="center"/>
    </xf>
    <xf numFmtId="0" fontId="0" fillId="0" borderId="49" xfId="0" applyBorder="1"/>
    <xf numFmtId="0" fontId="0" fillId="0" borderId="130" xfId="0" applyBorder="1"/>
    <xf numFmtId="0" fontId="0" fillId="0" borderId="131" xfId="0" applyBorder="1"/>
    <xf numFmtId="0" fontId="0" fillId="0" borderId="49" xfId="0" applyBorder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132" xfId="0" applyBorder="1"/>
    <xf numFmtId="0" fontId="0" fillId="0" borderId="133" xfId="0" applyBorder="1"/>
    <xf numFmtId="0" fontId="72" fillId="0" borderId="55" xfId="3" applyFont="1" applyBorder="1" applyAlignment="1">
      <alignment horizontal="center" vertical="center"/>
    </xf>
    <xf numFmtId="0" fontId="1" fillId="0" borderId="0" xfId="0" applyFont="1"/>
    <xf numFmtId="0" fontId="7" fillId="0" borderId="0" xfId="0" applyFont="1"/>
    <xf numFmtId="0" fontId="40" fillId="0" borderId="0" xfId="7" applyFont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23" xfId="0" applyFont="1" applyBorder="1" applyAlignment="1">
      <alignment horizontal="center" vertical="center"/>
    </xf>
    <xf numFmtId="0" fontId="40" fillId="0" borderId="0" xfId="7" applyFont="1"/>
    <xf numFmtId="0" fontId="42" fillId="0" borderId="0" xfId="7" applyFont="1"/>
    <xf numFmtId="0" fontId="76" fillId="0" borderId="0" xfId="7" applyFont="1"/>
    <xf numFmtId="0" fontId="76" fillId="0" borderId="0" xfId="7" applyFont="1" applyAlignment="1">
      <alignment horizontal="center"/>
    </xf>
    <xf numFmtId="12" fontId="40" fillId="0" borderId="0" xfId="7" applyNumberFormat="1" applyFont="1"/>
    <xf numFmtId="0" fontId="7" fillId="0" borderId="5" xfId="0" applyFont="1" applyBorder="1"/>
    <xf numFmtId="0" fontId="40" fillId="10" borderId="0" xfId="7" applyFont="1" applyFill="1"/>
    <xf numFmtId="0" fontId="42" fillId="10" borderId="0" xfId="7" applyFont="1" applyFill="1" applyAlignment="1">
      <alignment horizontal="center" vertical="center"/>
    </xf>
    <xf numFmtId="0" fontId="40" fillId="10" borderId="8" xfId="7" applyFont="1" applyFill="1" applyBorder="1" applyAlignment="1">
      <alignment horizontal="right" vertical="center"/>
    </xf>
    <xf numFmtId="0" fontId="42" fillId="10" borderId="0" xfId="7" applyFont="1" applyFill="1" applyAlignment="1">
      <alignment horizontal="right"/>
    </xf>
    <xf numFmtId="0" fontId="42" fillId="9" borderId="0" xfId="7" applyFont="1" applyFill="1" applyAlignment="1">
      <alignment horizontal="right"/>
    </xf>
    <xf numFmtId="0" fontId="40" fillId="9" borderId="8" xfId="7" applyFont="1" applyFill="1" applyBorder="1"/>
    <xf numFmtId="0" fontId="7" fillId="0" borderId="12" xfId="0" applyFont="1" applyBorder="1"/>
    <xf numFmtId="13" fontId="40" fillId="11" borderId="88" xfId="7" applyNumberFormat="1" applyFont="1" applyFill="1" applyBorder="1" applyAlignment="1" applyProtection="1">
      <alignment horizontal="center" vertical="center"/>
      <protection locked="0"/>
    </xf>
    <xf numFmtId="3" fontId="40" fillId="11" borderId="75" xfId="7" applyNumberFormat="1" applyFont="1" applyFill="1" applyBorder="1" applyAlignment="1" applyProtection="1">
      <alignment horizontal="center" vertical="center"/>
      <protection locked="0"/>
    </xf>
    <xf numFmtId="0" fontId="40" fillId="11" borderId="76" xfId="7" applyFont="1" applyFill="1" applyBorder="1" applyAlignment="1" applyProtection="1">
      <alignment horizontal="center" vertical="center"/>
      <protection locked="0"/>
    </xf>
    <xf numFmtId="0" fontId="42" fillId="11" borderId="99" xfId="7" applyFont="1" applyFill="1" applyBorder="1" applyAlignment="1" applyProtection="1">
      <alignment horizontal="center"/>
      <protection locked="0"/>
    </xf>
    <xf numFmtId="0" fontId="42" fillId="10" borderId="39" xfId="7" applyFont="1" applyFill="1" applyBorder="1" applyAlignment="1">
      <alignment horizontal="center" vertical="center"/>
    </xf>
    <xf numFmtId="0" fontId="42" fillId="10" borderId="0" xfId="7" applyFont="1" applyFill="1"/>
    <xf numFmtId="0" fontId="42" fillId="11" borderId="0" xfId="7" applyFont="1" applyFill="1" applyAlignment="1" applyProtection="1">
      <alignment horizontal="center"/>
      <protection locked="0"/>
    </xf>
    <xf numFmtId="0" fontId="7" fillId="0" borderId="90" xfId="0" applyFont="1" applyBorder="1" applyAlignment="1">
      <alignment horizontal="center" vertical="center" wrapText="1"/>
    </xf>
    <xf numFmtId="0" fontId="40" fillId="10" borderId="42" xfId="7" applyFont="1" applyFill="1" applyBorder="1" applyAlignment="1">
      <alignment horizontal="center" vertical="center"/>
    </xf>
    <xf numFmtId="0" fontId="7" fillId="0" borderId="91" xfId="0" applyFont="1" applyBorder="1" applyAlignment="1">
      <alignment horizontal="center" vertical="center" wrapText="1"/>
    </xf>
    <xf numFmtId="0" fontId="40" fillId="3" borderId="0" xfId="7" applyFont="1" applyFill="1"/>
    <xf numFmtId="0" fontId="40" fillId="3" borderId="8" xfId="7" applyFont="1" applyFill="1" applyBorder="1"/>
    <xf numFmtId="0" fontId="74" fillId="9" borderId="2" xfId="4" applyFont="1" applyFill="1" applyBorder="1"/>
    <xf numFmtId="0" fontId="40" fillId="10" borderId="2" xfId="4" applyFont="1" applyFill="1" applyBorder="1"/>
    <xf numFmtId="0" fontId="40" fillId="0" borderId="0" xfId="4" applyFont="1" applyAlignment="1">
      <alignment horizontal="center" vertical="center"/>
    </xf>
    <xf numFmtId="0" fontId="40" fillId="0" borderId="5" xfId="4" applyFont="1" applyBorder="1"/>
    <xf numFmtId="0" fontId="40" fillId="0" borderId="0" xfId="4" applyFont="1"/>
    <xf numFmtId="0" fontId="40" fillId="0" borderId="1" xfId="4" applyFont="1" applyBorder="1"/>
    <xf numFmtId="0" fontId="80" fillId="8" borderId="1" xfId="4" applyFont="1" applyFill="1" applyBorder="1" applyAlignment="1" applyProtection="1">
      <alignment vertical="center"/>
      <protection locked="0"/>
    </xf>
    <xf numFmtId="0" fontId="40" fillId="10" borderId="4" xfId="4" applyFont="1" applyFill="1" applyBorder="1" applyAlignment="1">
      <alignment horizontal="right" vertical="center"/>
    </xf>
    <xf numFmtId="0" fontId="40" fillId="11" borderId="5" xfId="4" applyFont="1" applyFill="1" applyBorder="1" applyProtection="1">
      <protection locked="0"/>
    </xf>
    <xf numFmtId="0" fontId="40" fillId="10" borderId="0" xfId="4" applyFont="1" applyFill="1"/>
    <xf numFmtId="0" fontId="40" fillId="10" borderId="8" xfId="4" applyFont="1" applyFill="1" applyBorder="1" applyAlignment="1">
      <alignment horizontal="right" vertical="center"/>
    </xf>
    <xf numFmtId="0" fontId="40" fillId="11" borderId="0" xfId="4" applyFont="1" applyFill="1" applyProtection="1">
      <protection locked="0"/>
    </xf>
    <xf numFmtId="0" fontId="42" fillId="10" borderId="0" xfId="4" applyFont="1" applyFill="1" applyAlignment="1">
      <alignment horizontal="right"/>
    </xf>
    <xf numFmtId="0" fontId="40" fillId="10" borderId="5" xfId="4" applyFont="1" applyFill="1" applyBorder="1"/>
    <xf numFmtId="0" fontId="40" fillId="9" borderId="0" xfId="4" applyFont="1" applyFill="1"/>
    <xf numFmtId="0" fontId="42" fillId="9" borderId="0" xfId="4" applyFont="1" applyFill="1" applyAlignment="1">
      <alignment horizontal="right"/>
    </xf>
    <xf numFmtId="168" fontId="40" fillId="8" borderId="0" xfId="4" applyNumberFormat="1" applyFont="1" applyFill="1" applyAlignment="1" applyProtection="1">
      <alignment horizontal="left"/>
      <protection locked="0"/>
    </xf>
    <xf numFmtId="0" fontId="40" fillId="9" borderId="8" xfId="4" applyFont="1" applyFill="1" applyBorder="1"/>
    <xf numFmtId="0" fontId="40" fillId="3" borderId="0" xfId="4" applyFont="1" applyFill="1"/>
    <xf numFmtId="0" fontId="40" fillId="3" borderId="8" xfId="4" applyFont="1" applyFill="1" applyBorder="1"/>
    <xf numFmtId="169" fontId="42" fillId="11" borderId="0" xfId="4" applyNumberFormat="1" applyFont="1" applyFill="1" applyProtection="1">
      <protection locked="0"/>
    </xf>
    <xf numFmtId="0" fontId="42" fillId="10" borderId="106" xfId="4" applyFont="1" applyFill="1" applyBorder="1"/>
    <xf numFmtId="0" fontId="40" fillId="10" borderId="68" xfId="4" applyFont="1" applyFill="1" applyBorder="1"/>
    <xf numFmtId="0" fontId="40" fillId="10" borderId="69" xfId="4" applyFont="1" applyFill="1" applyBorder="1"/>
    <xf numFmtId="0" fontId="42" fillId="9" borderId="0" xfId="4" applyFont="1" applyFill="1"/>
    <xf numFmtId="0" fontId="40" fillId="10" borderId="30" xfId="4" applyFont="1" applyFill="1" applyBorder="1"/>
    <xf numFmtId="0" fontId="42" fillId="11" borderId="0" xfId="4" applyFont="1" applyFill="1" applyProtection="1">
      <protection locked="0"/>
    </xf>
    <xf numFmtId="0" fontId="42" fillId="10" borderId="8" xfId="4" applyFont="1" applyFill="1" applyBorder="1"/>
    <xf numFmtId="0" fontId="81" fillId="11" borderId="30" xfId="4" applyFont="1" applyFill="1" applyBorder="1" applyAlignment="1" applyProtection="1">
      <alignment vertical="center" wrapText="1"/>
      <protection locked="0"/>
    </xf>
    <xf numFmtId="0" fontId="81" fillId="11" borderId="5" xfId="4" applyFont="1" applyFill="1" applyBorder="1" applyAlignment="1" applyProtection="1">
      <alignment vertical="center" wrapText="1"/>
      <protection locked="0"/>
    </xf>
    <xf numFmtId="0" fontId="40" fillId="11" borderId="107" xfId="4" applyFont="1" applyFill="1" applyBorder="1" applyProtection="1">
      <protection locked="0"/>
    </xf>
    <xf numFmtId="0" fontId="40" fillId="10" borderId="31" xfId="4" applyFont="1" applyFill="1" applyBorder="1"/>
    <xf numFmtId="0" fontId="40" fillId="10" borderId="32" xfId="4" applyFont="1" applyFill="1" applyBorder="1"/>
    <xf numFmtId="0" fontId="6" fillId="0" borderId="0" xfId="0" applyFont="1"/>
    <xf numFmtId="0" fontId="68" fillId="0" borderId="0" xfId="0" applyFont="1"/>
    <xf numFmtId="0" fontId="82" fillId="0" borderId="35" xfId="0" applyFont="1" applyBorder="1"/>
    <xf numFmtId="164" fontId="6" fillId="0" borderId="6" xfId="0" applyNumberFormat="1" applyFont="1" applyBorder="1"/>
    <xf numFmtId="164" fontId="6" fillId="0" borderId="0" xfId="0" applyNumberFormat="1" applyFont="1"/>
    <xf numFmtId="164" fontId="6" fillId="0" borderId="7" xfId="0" applyNumberFormat="1" applyFont="1" applyBorder="1"/>
    <xf numFmtId="0" fontId="78" fillId="0" borderId="15" xfId="2" applyFont="1" applyBorder="1" applyAlignment="1" applyProtection="1">
      <alignment horizontal="center"/>
      <protection hidden="1"/>
    </xf>
    <xf numFmtId="165" fontId="83" fillId="0" borderId="47" xfId="2" applyNumberFormat="1" applyFont="1" applyBorder="1" applyAlignment="1" applyProtection="1">
      <alignment horizontal="center" vertical="center"/>
      <protection locked="0" hidden="1"/>
    </xf>
    <xf numFmtId="0" fontId="83" fillId="0" borderId="19" xfId="3" applyFont="1" applyBorder="1" applyAlignment="1" applyProtection="1">
      <alignment horizontal="center" vertical="center"/>
      <protection locked="0"/>
    </xf>
    <xf numFmtId="0" fontId="40" fillId="0" borderId="0" xfId="2" applyFont="1"/>
    <xf numFmtId="0" fontId="84" fillId="0" borderId="0" xfId="0" applyFont="1" applyAlignment="1">
      <alignment horizontal="center"/>
    </xf>
    <xf numFmtId="0" fontId="84" fillId="0" borderId="0" xfId="0" applyFont="1"/>
    <xf numFmtId="0" fontId="42" fillId="3" borderId="50" xfId="2" applyFont="1" applyFill="1" applyBorder="1"/>
    <xf numFmtId="0" fontId="42" fillId="3" borderId="52" xfId="2" applyFont="1" applyFill="1" applyBorder="1" applyAlignment="1">
      <alignment horizontal="center"/>
    </xf>
    <xf numFmtId="0" fontId="42" fillId="3" borderId="52" xfId="3" applyFont="1" applyFill="1" applyBorder="1"/>
    <xf numFmtId="0" fontId="42" fillId="3" borderId="51" xfId="3" applyFont="1" applyFill="1" applyBorder="1"/>
    <xf numFmtId="0" fontId="85" fillId="0" borderId="5" xfId="0" applyFont="1" applyBorder="1" applyAlignment="1">
      <alignment horizontal="center"/>
    </xf>
    <xf numFmtId="13" fontId="7" fillId="0" borderId="0" xfId="0" applyNumberFormat="1" applyFont="1" applyAlignment="1">
      <alignment horizontal="center"/>
    </xf>
    <xf numFmtId="13" fontId="7" fillId="0" borderId="0" xfId="0" applyNumberFormat="1" applyFont="1"/>
    <xf numFmtId="0" fontId="78" fillId="4" borderId="53" xfId="2" applyFont="1" applyFill="1" applyBorder="1" applyAlignment="1" applyProtection="1">
      <alignment horizontal="center" vertical="center" wrapText="1"/>
      <protection hidden="1"/>
    </xf>
    <xf numFmtId="0" fontId="83" fillId="4" borderId="61" xfId="2" applyFont="1" applyFill="1" applyBorder="1" applyAlignment="1" applyProtection="1">
      <alignment horizontal="center" vertical="center"/>
      <protection locked="0"/>
    </xf>
    <xf numFmtId="0" fontId="83" fillId="0" borderId="54" xfId="3" applyFont="1" applyBorder="1" applyAlignment="1" applyProtection="1">
      <alignment horizontal="center"/>
      <protection locked="0"/>
    </xf>
    <xf numFmtId="0" fontId="40" fillId="0" borderId="5" xfId="2" applyFont="1" applyBorder="1"/>
    <xf numFmtId="0" fontId="86" fillId="0" borderId="0" xfId="0" applyFont="1"/>
    <xf numFmtId="0" fontId="42" fillId="3" borderId="50" xfId="2" applyFont="1" applyFill="1" applyBorder="1" applyAlignment="1">
      <alignment horizontal="center"/>
    </xf>
    <xf numFmtId="0" fontId="42" fillId="3" borderId="52" xfId="3" applyFont="1" applyFill="1" applyBorder="1" applyAlignment="1">
      <alignment horizontal="center"/>
    </xf>
    <xf numFmtId="0" fontId="42" fillId="3" borderId="51" xfId="3" applyFont="1" applyFill="1" applyBorder="1" applyAlignment="1">
      <alignment horizontal="center"/>
    </xf>
    <xf numFmtId="0" fontId="78" fillId="0" borderId="53" xfId="2" applyFont="1" applyBorder="1" applyAlignment="1" applyProtection="1">
      <alignment horizontal="center"/>
      <protection hidden="1"/>
    </xf>
    <xf numFmtId="0" fontId="83" fillId="0" borderId="61" xfId="2" applyFont="1" applyBorder="1" applyAlignment="1" applyProtection="1">
      <alignment horizontal="center" vertical="center"/>
      <protection locked="0"/>
    </xf>
    <xf numFmtId="0" fontId="83" fillId="0" borderId="54" xfId="3" applyFont="1" applyBorder="1" applyAlignment="1">
      <alignment horizontal="center" vertical="center"/>
    </xf>
    <xf numFmtId="0" fontId="83" fillId="0" borderId="54" xfId="3" applyFont="1" applyBorder="1" applyAlignment="1" applyProtection="1">
      <alignment horizontal="center" vertical="center"/>
      <protection locked="0"/>
    </xf>
    <xf numFmtId="0" fontId="78" fillId="0" borderId="50" xfId="2" applyFont="1" applyBorder="1" applyAlignment="1" applyProtection="1">
      <alignment horizontal="center"/>
      <protection hidden="1"/>
    </xf>
    <xf numFmtId="0" fontId="78" fillId="0" borderId="53" xfId="2" applyFont="1" applyBorder="1" applyAlignment="1">
      <alignment horizontal="center"/>
    </xf>
    <xf numFmtId="0" fontId="83" fillId="0" borderId="61" xfId="2" applyFont="1" applyBorder="1" applyAlignment="1">
      <alignment horizontal="center"/>
    </xf>
    <xf numFmtId="0" fontId="83" fillId="3" borderId="51" xfId="3" applyFont="1" applyFill="1" applyBorder="1" applyAlignment="1" applyProtection="1">
      <alignment horizontal="center"/>
      <protection locked="0"/>
    </xf>
    <xf numFmtId="0" fontId="83" fillId="3" borderId="51" xfId="3" applyFont="1" applyFill="1" applyBorder="1" applyAlignment="1">
      <alignment horizontal="center"/>
    </xf>
    <xf numFmtId="0" fontId="83" fillId="0" borderId="54" xfId="8" applyFont="1" applyBorder="1" applyAlignment="1">
      <alignment horizontal="center" vertical="center"/>
    </xf>
    <xf numFmtId="0" fontId="83" fillId="3" borderId="54" xfId="3" applyFont="1" applyFill="1" applyBorder="1" applyAlignment="1">
      <alignment horizontal="center"/>
    </xf>
    <xf numFmtId="0" fontId="83" fillId="0" borderId="54" xfId="3" applyFont="1" applyBorder="1" applyAlignment="1">
      <alignment horizontal="center"/>
    </xf>
    <xf numFmtId="0" fontId="40" fillId="3" borderId="0" xfId="3" applyFont="1" applyFill="1"/>
    <xf numFmtId="0" fontId="40" fillId="3" borderId="8" xfId="3" applyFont="1" applyFill="1" applyBorder="1"/>
    <xf numFmtId="0" fontId="78" fillId="0" borderId="56" xfId="2" applyFont="1" applyBorder="1" applyAlignment="1">
      <alignment horizontal="center"/>
    </xf>
    <xf numFmtId="0" fontId="83" fillId="0" borderId="63" xfId="2" applyFont="1" applyBorder="1" applyAlignment="1">
      <alignment horizontal="center"/>
    </xf>
    <xf numFmtId="0" fontId="40" fillId="3" borderId="57" xfId="2" applyFont="1" applyFill="1" applyBorder="1"/>
    <xf numFmtId="0" fontId="40" fillId="3" borderId="66" xfId="2" applyFont="1" applyFill="1" applyBorder="1"/>
    <xf numFmtId="0" fontId="40" fillId="0" borderId="64" xfId="2" applyFont="1" applyBorder="1"/>
    <xf numFmtId="13" fontId="83" fillId="0" borderId="54" xfId="3" applyNumberFormat="1" applyFont="1" applyBorder="1" applyAlignment="1" applyProtection="1">
      <alignment horizontal="center"/>
      <protection locked="0"/>
    </xf>
    <xf numFmtId="0" fontId="40" fillId="3" borderId="5" xfId="2" applyFont="1" applyFill="1" applyBorder="1"/>
    <xf numFmtId="0" fontId="40" fillId="3" borderId="0" xfId="2" applyFont="1" applyFill="1"/>
    <xf numFmtId="13" fontId="83" fillId="3" borderId="51" xfId="3" applyNumberFormat="1" applyFont="1" applyFill="1" applyBorder="1" applyAlignment="1">
      <alignment horizontal="center"/>
    </xf>
    <xf numFmtId="0" fontId="78" fillId="0" borderId="58" xfId="2" applyFont="1" applyBorder="1" applyAlignment="1">
      <alignment horizontal="center"/>
    </xf>
    <xf numFmtId="164" fontId="83" fillId="0" borderId="62" xfId="2" applyNumberFormat="1" applyFont="1" applyBorder="1" applyAlignment="1">
      <alignment horizontal="center"/>
    </xf>
    <xf numFmtId="13" fontId="83" fillId="0" borderId="121" xfId="3" applyNumberFormat="1" applyFont="1" applyBorder="1" applyAlignment="1" applyProtection="1">
      <alignment horizontal="center"/>
      <protection locked="0"/>
    </xf>
    <xf numFmtId="0" fontId="83" fillId="0" borderId="2" xfId="2" applyFont="1" applyBorder="1" applyAlignment="1">
      <alignment horizontal="center" vertical="center"/>
    </xf>
    <xf numFmtId="0" fontId="83" fillId="0" borderId="0" xfId="2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2" fontId="83" fillId="0" borderId="0" xfId="2" applyNumberFormat="1" applyFont="1" applyAlignment="1">
      <alignment horizontal="center" vertical="center"/>
    </xf>
    <xf numFmtId="0" fontId="40" fillId="0" borderId="0" xfId="3" applyFont="1"/>
    <xf numFmtId="167" fontId="88" fillId="0" borderId="0" xfId="3" applyNumberFormat="1" applyFont="1" applyAlignment="1">
      <alignment horizontal="center" vertical="center" shrinkToFit="1"/>
    </xf>
    <xf numFmtId="0" fontId="6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2" fillId="0" borderId="0" xfId="3" applyFont="1" applyAlignment="1">
      <alignment horizontal="center" vertical="center"/>
    </xf>
    <xf numFmtId="0" fontId="91" fillId="0" borderId="6" xfId="0" applyFont="1" applyBorder="1"/>
    <xf numFmtId="0" fontId="35" fillId="0" borderId="0" xfId="0" applyFont="1" applyAlignment="1">
      <alignment horizontal="right"/>
    </xf>
    <xf numFmtId="0" fontId="89" fillId="0" borderId="8" xfId="0" applyFont="1" applyBorder="1"/>
    <xf numFmtId="0" fontId="89" fillId="0" borderId="35" xfId="0" applyFont="1" applyBorder="1"/>
    <xf numFmtId="0" fontId="91" fillId="0" borderId="0" xfId="0" applyFont="1"/>
    <xf numFmtId="0" fontId="92" fillId="0" borderId="0" xfId="0" applyFont="1"/>
    <xf numFmtId="0" fontId="92" fillId="0" borderId="7" xfId="0" applyFont="1" applyBorder="1"/>
    <xf numFmtId="0" fontId="89" fillId="0" borderId="11" xfId="0" applyFont="1" applyBorder="1"/>
    <xf numFmtId="0" fontId="90" fillId="0" borderId="52" xfId="0" applyFont="1" applyBorder="1" applyAlignment="1" applyProtection="1">
      <alignment horizontal="right"/>
      <protection locked="0"/>
    </xf>
    <xf numFmtId="0" fontId="90" fillId="0" borderId="55" xfId="0" applyFont="1" applyBorder="1" applyAlignment="1" applyProtection="1">
      <alignment horizontal="right"/>
      <protection locked="0"/>
    </xf>
    <xf numFmtId="0" fontId="89" fillId="0" borderId="13" xfId="0" applyFont="1" applyBorder="1"/>
    <xf numFmtId="0" fontId="89" fillId="0" borderId="14" xfId="0" applyFont="1" applyBorder="1"/>
    <xf numFmtId="164" fontId="90" fillId="0" borderId="9" xfId="0" applyNumberFormat="1" applyFont="1" applyBorder="1"/>
    <xf numFmtId="164" fontId="90" fillId="0" borderId="35" xfId="0" applyNumberFormat="1" applyFont="1" applyBorder="1"/>
    <xf numFmtId="164" fontId="90" fillId="0" borderId="10" xfId="0" applyNumberFormat="1" applyFont="1" applyBorder="1"/>
    <xf numFmtId="0" fontId="89" fillId="0" borderId="0" xfId="0" applyFont="1"/>
    <xf numFmtId="0" fontId="91" fillId="0" borderId="0" xfId="0" applyFont="1" applyAlignment="1">
      <alignment horizontal="left"/>
    </xf>
    <xf numFmtId="0" fontId="91" fillId="0" borderId="7" xfId="0" applyFont="1" applyBorder="1" applyAlignment="1">
      <alignment horizontal="left"/>
    </xf>
    <xf numFmtId="0" fontId="90" fillId="0" borderId="0" xfId="0" applyFont="1"/>
    <xf numFmtId="0" fontId="90" fillId="0" borderId="0" xfId="0" applyFont="1" applyAlignment="1">
      <alignment horizontal="right"/>
    </xf>
    <xf numFmtId="164" fontId="90" fillId="0" borderId="0" xfId="0" applyNumberFormat="1" applyFont="1"/>
    <xf numFmtId="164" fontId="90" fillId="0" borderId="7" xfId="0" applyNumberFormat="1" applyFont="1" applyBorder="1"/>
    <xf numFmtId="0" fontId="90" fillId="0" borderId="35" xfId="0" applyFont="1" applyBorder="1"/>
    <xf numFmtId="0" fontId="90" fillId="0" borderId="35" xfId="0" applyFont="1" applyBorder="1" applyAlignment="1">
      <alignment horizontal="right"/>
    </xf>
    <xf numFmtId="0" fontId="89" fillId="0" borderId="63" xfId="0" applyFont="1" applyBorder="1" applyProtection="1">
      <protection locked="0"/>
    </xf>
    <xf numFmtId="44" fontId="89" fillId="0" borderId="66" xfId="1" applyFont="1" applyFill="1" applyBorder="1" applyProtection="1">
      <protection locked="0"/>
    </xf>
    <xf numFmtId="44" fontId="89" fillId="0" borderId="66" xfId="0" applyNumberFormat="1" applyFont="1" applyBorder="1"/>
    <xf numFmtId="0" fontId="90" fillId="0" borderId="66" xfId="0" applyFont="1" applyBorder="1" applyAlignment="1" applyProtection="1">
      <alignment horizontal="right"/>
      <protection locked="0"/>
    </xf>
    <xf numFmtId="0" fontId="90" fillId="0" borderId="65" xfId="0" applyFont="1" applyBorder="1" applyAlignment="1" applyProtection="1">
      <alignment horizontal="right"/>
      <protection locked="0"/>
    </xf>
    <xf numFmtId="0" fontId="90" fillId="0" borderId="6" xfId="0" applyFont="1" applyBorder="1"/>
    <xf numFmtId="164" fontId="35" fillId="0" borderId="0" xfId="0" applyNumberFormat="1" applyFont="1"/>
    <xf numFmtId="164" fontId="35" fillId="0" borderId="7" xfId="0" applyNumberFormat="1" applyFont="1" applyBorder="1"/>
    <xf numFmtId="2" fontId="35" fillId="0" borderId="0" xfId="0" applyNumberFormat="1" applyFont="1"/>
    <xf numFmtId="2" fontId="35" fillId="0" borderId="7" xfId="0" applyNumberFormat="1" applyFont="1" applyBorder="1"/>
    <xf numFmtId="0" fontId="90" fillId="0" borderId="6" xfId="0" applyFont="1" applyBorder="1" applyAlignment="1">
      <alignment wrapText="1"/>
    </xf>
    <xf numFmtId="0" fontId="36" fillId="0" borderId="6" xfId="0" applyFont="1" applyBorder="1" applyAlignment="1">
      <alignment horizontal="right"/>
    </xf>
    <xf numFmtId="0" fontId="36" fillId="0" borderId="0" xfId="0" applyFont="1" applyAlignment="1">
      <alignment horizontal="right"/>
    </xf>
    <xf numFmtId="0" fontId="35" fillId="0" borderId="6" xfId="0" applyFont="1" applyBorder="1" applyAlignment="1">
      <alignment wrapText="1"/>
    </xf>
    <xf numFmtId="0" fontId="35" fillId="0" borderId="0" xfId="0" applyFont="1" applyAlignment="1">
      <alignment wrapText="1"/>
    </xf>
    <xf numFmtId="44" fontId="35" fillId="0" borderId="7" xfId="0" applyNumberFormat="1" applyFont="1" applyBorder="1" applyAlignment="1">
      <alignment horizontal="right"/>
    </xf>
    <xf numFmtId="0" fontId="89" fillId="0" borderId="6" xfId="0" applyFont="1" applyBorder="1"/>
    <xf numFmtId="0" fontId="89" fillId="0" borderId="0" xfId="0" applyFont="1" applyAlignment="1">
      <alignment horizontal="right"/>
    </xf>
    <xf numFmtId="0" fontId="89" fillId="0" borderId="9" xfId="0" applyFont="1" applyBorder="1"/>
    <xf numFmtId="0" fontId="89" fillId="0" borderId="35" xfId="0" applyFont="1" applyBorder="1" applyAlignment="1">
      <alignment horizontal="right"/>
    </xf>
    <xf numFmtId="9" fontId="35" fillId="0" borderId="10" xfId="0" applyNumberFormat="1" applyFont="1" applyBorder="1" applyAlignment="1">
      <alignment horizontal="right"/>
    </xf>
    <xf numFmtId="0" fontId="89" fillId="0" borderId="13" xfId="0" applyFont="1" applyBorder="1" applyAlignment="1">
      <alignment horizontal="right"/>
    </xf>
    <xf numFmtId="0" fontId="7" fillId="0" borderId="134" xfId="0" applyFont="1" applyBorder="1" applyAlignment="1">
      <alignment horizontal="center" vertical="center"/>
    </xf>
    <xf numFmtId="0" fontId="0" fillId="0" borderId="4" xfId="0" applyBorder="1"/>
    <xf numFmtId="0" fontId="0" fillId="0" borderId="128" xfId="0" applyBorder="1"/>
    <xf numFmtId="0" fontId="0" fillId="0" borderId="8" xfId="0" applyBorder="1"/>
    <xf numFmtId="0" fontId="0" fillId="0" borderId="12" xfId="0" applyBorder="1"/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0" fillId="0" borderId="1" xfId="0" applyBorder="1"/>
    <xf numFmtId="0" fontId="62" fillId="0" borderId="0" xfId="0" applyFont="1" applyAlignment="1">
      <alignment horizontal="center" vertical="center" wrapText="1"/>
    </xf>
    <xf numFmtId="0" fontId="62" fillId="0" borderId="0" xfId="0" applyFont="1" applyAlignment="1">
      <alignment horizont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40" fillId="0" borderId="0" xfId="7" applyFont="1" applyAlignment="1">
      <alignment horizontal="center" vertical="center" wrapText="1"/>
    </xf>
    <xf numFmtId="0" fontId="74" fillId="0" borderId="0" xfId="7" applyFont="1"/>
    <xf numFmtId="0" fontId="42" fillId="0" borderId="0" xfId="7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40" fillId="0" borderId="0" xfId="7" applyFont="1" applyProtection="1">
      <protection locked="0"/>
    </xf>
    <xf numFmtId="14" fontId="42" fillId="0" borderId="0" xfId="7" applyNumberFormat="1" applyFont="1" applyAlignment="1">
      <alignment horizontal="center" vertical="center"/>
    </xf>
    <xf numFmtId="0" fontId="42" fillId="0" borderId="0" xfId="7" applyFont="1" applyAlignment="1">
      <alignment horizontal="right"/>
    </xf>
    <xf numFmtId="0" fontId="42" fillId="0" borderId="0" xfId="7" applyFont="1" applyAlignment="1">
      <alignment horizontal="center"/>
    </xf>
    <xf numFmtId="0" fontId="78" fillId="0" borderId="0" xfId="7" applyFont="1" applyAlignment="1">
      <alignment horizontal="center" vertical="center"/>
    </xf>
    <xf numFmtId="0" fontId="40" fillId="0" borderId="134" xfId="7" applyFont="1" applyBorder="1" applyAlignment="1">
      <alignment horizontal="center" vertical="center"/>
    </xf>
    <xf numFmtId="0" fontId="42" fillId="0" borderId="134" xfId="7" applyFont="1" applyBorder="1" applyAlignment="1">
      <alignment horizontal="center" vertical="center"/>
    </xf>
    <xf numFmtId="0" fontId="40" fillId="0" borderId="134" xfId="7" applyFont="1" applyBorder="1" applyAlignment="1">
      <alignment horizontal="center" vertical="center" wrapText="1"/>
    </xf>
    <xf numFmtId="0" fontId="63" fillId="13" borderId="0" xfId="0" applyFont="1" applyFill="1" applyAlignment="1">
      <alignment horizontal="center" vertical="center"/>
    </xf>
    <xf numFmtId="0" fontId="1" fillId="13" borderId="0" xfId="0" applyFont="1" applyFill="1"/>
    <xf numFmtId="0" fontId="0" fillId="13" borderId="0" xfId="0" applyFill="1"/>
    <xf numFmtId="0" fontId="93" fillId="0" borderId="0" xfId="0" applyFont="1" applyAlignment="1">
      <alignment horizontal="center" vertical="center"/>
    </xf>
    <xf numFmtId="0" fontId="58" fillId="0" borderId="13" xfId="0" applyFont="1" applyBorder="1" applyAlignment="1">
      <alignment vertical="center"/>
    </xf>
    <xf numFmtId="0" fontId="91" fillId="0" borderId="147" xfId="0" applyFont="1" applyBorder="1"/>
    <xf numFmtId="0" fontId="35" fillId="0" borderId="147" xfId="0" applyFont="1" applyBorder="1" applyAlignment="1">
      <alignment horizontal="right"/>
    </xf>
    <xf numFmtId="0" fontId="35" fillId="0" borderId="147" xfId="0" applyFont="1" applyBorder="1" applyAlignment="1">
      <alignment horizontal="left"/>
    </xf>
    <xf numFmtId="0" fontId="74" fillId="9" borderId="2" xfId="7" applyFont="1" applyFill="1" applyBorder="1" applyProtection="1">
      <protection locked="0"/>
    </xf>
    <xf numFmtId="0" fontId="40" fillId="10" borderId="0" xfId="7" applyFont="1" applyFill="1" applyProtection="1">
      <protection locked="0"/>
    </xf>
    <xf numFmtId="0" fontId="40" fillId="10" borderId="8" xfId="7" applyFont="1" applyFill="1" applyBorder="1" applyAlignment="1" applyProtection="1">
      <alignment horizontal="right" vertical="center"/>
      <protection locked="0"/>
    </xf>
    <xf numFmtId="0" fontId="42" fillId="10" borderId="0" xfId="7" applyFont="1" applyFill="1" applyAlignment="1" applyProtection="1">
      <alignment horizontal="right"/>
      <protection locked="0"/>
    </xf>
    <xf numFmtId="0" fontId="42" fillId="9" borderId="0" xfId="7" applyFont="1" applyFill="1" applyAlignment="1" applyProtection="1">
      <alignment horizontal="right"/>
      <protection locked="0"/>
    </xf>
    <xf numFmtId="0" fontId="40" fillId="9" borderId="8" xfId="7" applyFont="1" applyFill="1" applyBorder="1" applyProtection="1">
      <protection locked="0"/>
    </xf>
    <xf numFmtId="0" fontId="42" fillId="9" borderId="8" xfId="7" applyFont="1" applyFill="1" applyBorder="1" applyAlignment="1" applyProtection="1">
      <alignment horizontal="right"/>
      <protection locked="0"/>
    </xf>
    <xf numFmtId="0" fontId="7" fillId="0" borderId="73" xfId="0" applyFont="1" applyBorder="1" applyAlignment="1" applyProtection="1">
      <alignment horizontal="center" vertical="center"/>
      <protection locked="0"/>
    </xf>
    <xf numFmtId="0" fontId="15" fillId="0" borderId="66" xfId="0" applyFont="1" applyBorder="1" applyAlignment="1">
      <alignment horizontal="right"/>
    </xf>
    <xf numFmtId="0" fontId="15" fillId="0" borderId="0" xfId="0" applyFont="1" applyAlignment="1">
      <alignment horizontal="right"/>
    </xf>
    <xf numFmtId="164" fontId="15" fillId="0" borderId="7" xfId="0" applyNumberFormat="1" applyFont="1" applyBorder="1" applyAlignment="1">
      <alignment horizontal="left"/>
    </xf>
    <xf numFmtId="0" fontId="15" fillId="0" borderId="35" xfId="0" applyFont="1" applyBorder="1" applyAlignment="1">
      <alignment horizontal="right"/>
    </xf>
    <xf numFmtId="164" fontId="15" fillId="0" borderId="10" xfId="0" applyNumberFormat="1" applyFont="1" applyBorder="1" applyAlignment="1">
      <alignment horizontal="left"/>
    </xf>
    <xf numFmtId="13" fontId="40" fillId="10" borderId="97" xfId="7" applyNumberFormat="1" applyFont="1" applyFill="1" applyBorder="1" applyAlignment="1">
      <alignment horizontal="center" vertical="center"/>
    </xf>
    <xf numFmtId="13" fontId="40" fillId="11" borderId="81" xfId="7" applyNumberFormat="1" applyFont="1" applyFill="1" applyBorder="1" applyAlignment="1">
      <alignment horizontal="center" vertical="center" wrapText="1"/>
    </xf>
    <xf numFmtId="13" fontId="40" fillId="10" borderId="83" xfId="7" applyNumberFormat="1" applyFont="1" applyFill="1" applyBorder="1" applyAlignment="1">
      <alignment horizontal="center" vertical="center" wrapText="1"/>
    </xf>
    <xf numFmtId="0" fontId="2" fillId="0" borderId="128" xfId="7" applyBorder="1"/>
    <xf numFmtId="0" fontId="2" fillId="0" borderId="0" xfId="7" applyAlignment="1">
      <alignment vertical="top"/>
    </xf>
    <xf numFmtId="0" fontId="6" fillId="0" borderId="128" xfId="7" applyFont="1" applyBorder="1"/>
    <xf numFmtId="0" fontId="6" fillId="0" borderId="0" xfId="7" applyFont="1"/>
    <xf numFmtId="4" fontId="78" fillId="10" borderId="151" xfId="7" applyNumberFormat="1" applyFont="1" applyFill="1" applyBorder="1" applyAlignment="1" applyProtection="1">
      <alignment horizontal="center" vertical="center"/>
      <protection locked="0"/>
    </xf>
    <xf numFmtId="0" fontId="95" fillId="0" borderId="128" xfId="7" applyFont="1" applyBorder="1"/>
    <xf numFmtId="0" fontId="95" fillId="0" borderId="0" xfId="7" applyFont="1"/>
    <xf numFmtId="0" fontId="96" fillId="12" borderId="89" xfId="7" applyFont="1" applyFill="1" applyBorder="1" applyAlignment="1">
      <alignment horizontal="center" vertical="center"/>
    </xf>
    <xf numFmtId="0" fontId="7" fillId="0" borderId="152" xfId="0" applyFont="1" applyBorder="1" applyAlignment="1">
      <alignment horizontal="center" vertical="center" wrapText="1"/>
    </xf>
    <xf numFmtId="0" fontId="96" fillId="12" borderId="156" xfId="7" applyFont="1" applyFill="1" applyBorder="1" applyAlignment="1">
      <alignment horizontal="center" vertical="center"/>
    </xf>
    <xf numFmtId="13" fontId="40" fillId="10" borderId="149" xfId="7" applyNumberFormat="1" applyFont="1" applyFill="1" applyBorder="1" applyAlignment="1">
      <alignment horizontal="center" vertical="center"/>
    </xf>
    <xf numFmtId="0" fontId="94" fillId="0" borderId="150" xfId="7" applyFont="1" applyBorder="1" applyAlignment="1">
      <alignment horizontal="center" vertical="center"/>
    </xf>
    <xf numFmtId="13" fontId="6" fillId="0" borderId="0" xfId="7" applyNumberFormat="1" applyFont="1"/>
    <xf numFmtId="0" fontId="42" fillId="12" borderId="158" xfId="7" applyFont="1" applyFill="1" applyBorder="1" applyAlignment="1" applyProtection="1">
      <alignment horizontal="center" vertical="center"/>
      <protection locked="0"/>
    </xf>
    <xf numFmtId="0" fontId="42" fillId="12" borderId="159" xfId="7" applyFont="1" applyFill="1" applyBorder="1" applyAlignment="1" applyProtection="1">
      <alignment horizontal="center" vertical="center"/>
      <protection locked="0"/>
    </xf>
    <xf numFmtId="0" fontId="42" fillId="12" borderId="162" xfId="7" applyFont="1" applyFill="1" applyBorder="1" applyAlignment="1" applyProtection="1">
      <alignment horizontal="center" vertical="center"/>
      <protection locked="0"/>
    </xf>
    <xf numFmtId="0" fontId="42" fillId="12" borderId="162" xfId="7" applyFont="1" applyFill="1" applyBorder="1" applyAlignment="1" applyProtection="1">
      <alignment horizontal="center" vertical="center" wrapText="1"/>
      <protection locked="0"/>
    </xf>
    <xf numFmtId="0" fontId="42" fillId="12" borderId="163" xfId="7" applyFont="1" applyFill="1" applyBorder="1" applyAlignment="1" applyProtection="1">
      <alignment horizontal="center" vertical="center" wrapText="1"/>
      <protection locked="0"/>
    </xf>
    <xf numFmtId="0" fontId="40" fillId="14" borderId="74" xfId="7" applyFont="1" applyFill="1" applyBorder="1" applyAlignment="1" applyProtection="1">
      <alignment horizontal="center" vertical="center"/>
      <protection locked="0"/>
    </xf>
    <xf numFmtId="13" fontId="40" fillId="14" borderId="37" xfId="7" applyNumberFormat="1" applyFont="1" applyFill="1" applyBorder="1" applyAlignment="1">
      <alignment horizontal="center" vertical="center"/>
    </xf>
    <xf numFmtId="0" fontId="97" fillId="11" borderId="74" xfId="7" applyFont="1" applyFill="1" applyBorder="1" applyAlignment="1" applyProtection="1">
      <alignment horizontal="center" vertical="center"/>
      <protection locked="0"/>
    </xf>
    <xf numFmtId="13" fontId="73" fillId="11" borderId="37" xfId="7" applyNumberFormat="1" applyFont="1" applyFill="1" applyBorder="1" applyAlignment="1">
      <alignment horizontal="center" vertical="center"/>
    </xf>
    <xf numFmtId="13" fontId="7" fillId="15" borderId="42" xfId="0" applyNumberFormat="1" applyFont="1" applyFill="1" applyBorder="1" applyAlignment="1">
      <alignment horizontal="center" vertical="center"/>
    </xf>
    <xf numFmtId="13" fontId="7" fillId="0" borderId="42" xfId="0" applyNumberFormat="1" applyFont="1" applyBorder="1" applyAlignment="1">
      <alignment horizontal="center" vertical="center"/>
    </xf>
    <xf numFmtId="13" fontId="9" fillId="0" borderId="92" xfId="0" applyNumberFormat="1" applyFont="1" applyBorder="1" applyAlignment="1">
      <alignment horizontal="center" vertical="center"/>
    </xf>
    <xf numFmtId="13" fontId="95" fillId="0" borderId="73" xfId="7" applyNumberFormat="1" applyFont="1" applyBorder="1" applyAlignment="1">
      <alignment horizontal="center" vertical="center"/>
    </xf>
    <xf numFmtId="0" fontId="7" fillId="3" borderId="77" xfId="0" applyFont="1" applyFill="1" applyBorder="1" applyAlignment="1" applyProtection="1">
      <alignment horizontal="center" vertical="center"/>
      <protection locked="0"/>
    </xf>
    <xf numFmtId="0" fontId="73" fillId="8" borderId="72" xfId="7" applyFont="1" applyFill="1" applyBorder="1" applyAlignment="1" applyProtection="1">
      <alignment horizontal="center" vertical="center"/>
      <protection locked="0"/>
    </xf>
    <xf numFmtId="13" fontId="7" fillId="3" borderId="36" xfId="0" applyNumberFormat="1" applyFont="1" applyFill="1" applyBorder="1" applyAlignment="1">
      <alignment horizontal="center" vertical="center"/>
    </xf>
    <xf numFmtId="4" fontId="78" fillId="9" borderId="154" xfId="7" applyNumberFormat="1" applyFont="1" applyFill="1" applyBorder="1" applyAlignment="1" applyProtection="1">
      <alignment horizontal="center" vertical="center"/>
      <protection locked="0"/>
    </xf>
    <xf numFmtId="4" fontId="78" fillId="9" borderId="148" xfId="7" applyNumberFormat="1" applyFont="1" applyFill="1" applyBorder="1" applyAlignment="1" applyProtection="1">
      <alignment horizontal="center" vertical="center"/>
      <protection locked="0"/>
    </xf>
    <xf numFmtId="4" fontId="78" fillId="9" borderId="155" xfId="7" applyNumberFormat="1" applyFont="1" applyFill="1" applyBorder="1" applyAlignment="1" applyProtection="1">
      <alignment horizontal="center" vertical="center"/>
      <protection locked="0"/>
    </xf>
    <xf numFmtId="0" fontId="94" fillId="3" borderId="150" xfId="7" applyFont="1" applyFill="1" applyBorder="1" applyAlignment="1">
      <alignment horizontal="center" vertical="center"/>
    </xf>
    <xf numFmtId="13" fontId="7" fillId="16" borderId="149" xfId="7" applyNumberFormat="1" applyFont="1" applyFill="1" applyBorder="1" applyAlignment="1">
      <alignment horizontal="center" vertical="center"/>
    </xf>
    <xf numFmtId="13" fontId="7" fillId="16" borderId="97" xfId="7" applyNumberFormat="1" applyFont="1" applyFill="1" applyBorder="1" applyAlignment="1">
      <alignment horizontal="center" vertical="center"/>
    </xf>
    <xf numFmtId="13" fontId="40" fillId="14" borderId="93" xfId="7" applyNumberFormat="1" applyFont="1" applyFill="1" applyBorder="1" applyAlignment="1">
      <alignment horizontal="center" vertical="center" wrapText="1"/>
    </xf>
    <xf numFmtId="13" fontId="40" fillId="16" borderId="11" xfId="7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0" xfId="0" applyAlignment="1">
      <alignment vertical="center"/>
    </xf>
    <xf numFmtId="0" fontId="98" fillId="0" borderId="0" xfId="0" applyFont="1"/>
    <xf numFmtId="0" fontId="65" fillId="0" borderId="0" xfId="0" applyFont="1" applyAlignment="1">
      <alignment horizontal="center" vertical="center"/>
    </xf>
    <xf numFmtId="0" fontId="98" fillId="0" borderId="0" xfId="0" applyFont="1" applyAlignment="1">
      <alignment vertical="center"/>
    </xf>
    <xf numFmtId="0" fontId="0" fillId="0" borderId="20" xfId="0" applyBorder="1"/>
    <xf numFmtId="0" fontId="65" fillId="0" borderId="0" xfId="0" applyFont="1" applyAlignment="1">
      <alignment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vertical="center"/>
    </xf>
    <xf numFmtId="0" fontId="0" fillId="0" borderId="147" xfId="0" applyBorder="1"/>
    <xf numFmtId="0" fontId="71" fillId="0" borderId="0" xfId="0" applyFont="1" applyAlignment="1">
      <alignment textRotation="90" readingOrder="2"/>
    </xf>
    <xf numFmtId="0" fontId="99" fillId="0" borderId="0" xfId="0" applyFont="1" applyAlignment="1">
      <alignment vertical="center"/>
    </xf>
    <xf numFmtId="0" fontId="0" fillId="0" borderId="149" xfId="0" applyBorder="1"/>
    <xf numFmtId="0" fontId="0" fillId="0" borderId="120" xfId="0" applyBorder="1"/>
    <xf numFmtId="0" fontId="58" fillId="0" borderId="0" xfId="0" applyFont="1"/>
    <xf numFmtId="0" fontId="107" fillId="0" borderId="0" xfId="0" applyFont="1" applyAlignment="1">
      <alignment vertical="center"/>
    </xf>
    <xf numFmtId="0" fontId="71" fillId="0" borderId="0" xfId="0" applyFont="1" applyAlignment="1">
      <alignment vertical="center" wrapText="1"/>
    </xf>
    <xf numFmtId="0" fontId="48" fillId="0" borderId="0" xfId="0" applyFont="1"/>
    <xf numFmtId="0" fontId="0" fillId="0" borderId="167" xfId="0" applyBorder="1"/>
    <xf numFmtId="0" fontId="0" fillId="0" borderId="167" xfId="0" applyBorder="1" applyAlignment="1">
      <alignment vertical="center"/>
    </xf>
    <xf numFmtId="0" fontId="0" fillId="0" borderId="129" xfId="0" applyBorder="1" applyAlignment="1">
      <alignment horizontal="center" vertical="center"/>
    </xf>
    <xf numFmtId="49" fontId="7" fillId="0" borderId="0" xfId="0" applyNumberFormat="1" applyFont="1"/>
    <xf numFmtId="49" fontId="40" fillId="0" borderId="0" xfId="2" applyNumberFormat="1" applyFont="1"/>
    <xf numFmtId="0" fontId="84" fillId="0" borderId="128" xfId="0" applyFont="1" applyBorder="1" applyAlignment="1">
      <alignment horizontal="center"/>
    </xf>
    <xf numFmtId="0" fontId="7" fillId="0" borderId="128" xfId="0" applyFont="1" applyBorder="1" applyAlignment="1">
      <alignment horizontal="center"/>
    </xf>
    <xf numFmtId="0" fontId="40" fillId="0" borderId="128" xfId="2" applyFont="1" applyBorder="1"/>
    <xf numFmtId="49" fontId="7" fillId="0" borderId="8" xfId="0" applyNumberFormat="1" applyFont="1" applyBorder="1" applyAlignment="1">
      <alignment horizontal="center"/>
    </xf>
    <xf numFmtId="49" fontId="40" fillId="0" borderId="8" xfId="2" applyNumberFormat="1" applyFont="1" applyBorder="1"/>
    <xf numFmtId="49" fontId="84" fillId="0" borderId="0" xfId="0" applyNumberFormat="1" applyFont="1" applyAlignment="1">
      <alignment horizontal="center"/>
    </xf>
    <xf numFmtId="0" fontId="81" fillId="0" borderId="128" xfId="0" applyFont="1" applyBorder="1" applyAlignment="1">
      <alignment horizontal="center"/>
    </xf>
    <xf numFmtId="49" fontId="84" fillId="0" borderId="8" xfId="0" applyNumberFormat="1" applyFont="1" applyBorder="1" applyAlignment="1">
      <alignment horizontal="center"/>
    </xf>
    <xf numFmtId="0" fontId="78" fillId="0" borderId="0" xfId="2" applyFont="1" applyAlignment="1">
      <alignment vertical="center"/>
    </xf>
    <xf numFmtId="0" fontId="87" fillId="0" borderId="0" xfId="0" applyFont="1" applyAlignment="1">
      <alignment vertical="center"/>
    </xf>
    <xf numFmtId="0" fontId="78" fillId="0" borderId="0" xfId="3" applyFont="1"/>
    <xf numFmtId="0" fontId="42" fillId="0" borderId="0" xfId="2" applyFont="1" applyAlignment="1">
      <alignment vertical="center"/>
    </xf>
    <xf numFmtId="0" fontId="41" fillId="0" borderId="0" xfId="0" applyFont="1" applyAlignment="1">
      <alignment vertical="center"/>
    </xf>
    <xf numFmtId="0" fontId="78" fillId="0" borderId="2" xfId="2" applyFont="1" applyBorder="1"/>
    <xf numFmtId="0" fontId="87" fillId="0" borderId="2" xfId="0" applyFont="1" applyBorder="1"/>
    <xf numFmtId="0" fontId="0" fillId="0" borderId="170" xfId="0" applyBorder="1"/>
    <xf numFmtId="0" fontId="70" fillId="0" borderId="0" xfId="3" applyFont="1"/>
    <xf numFmtId="0" fontId="65" fillId="0" borderId="60" xfId="0" applyFont="1" applyBorder="1"/>
    <xf numFmtId="0" fontId="0" fillId="0" borderId="172" xfId="0" applyBorder="1"/>
    <xf numFmtId="0" fontId="0" fillId="0" borderId="131" xfId="0" applyBorder="1" applyAlignment="1">
      <alignment horizontal="center" vertical="center"/>
    </xf>
    <xf numFmtId="0" fontId="70" fillId="0" borderId="0" xfId="0" applyFont="1" applyAlignment="1">
      <alignment vertical="top" wrapText="1"/>
    </xf>
    <xf numFmtId="0" fontId="70" fillId="0" borderId="172" xfId="9" applyFont="1" applyBorder="1" applyAlignment="1">
      <alignment vertical="top" wrapText="1"/>
    </xf>
    <xf numFmtId="0" fontId="70" fillId="0" borderId="49" xfId="9" applyFont="1" applyBorder="1" applyAlignment="1">
      <alignment vertical="top" wrapText="1"/>
    </xf>
    <xf numFmtId="0" fontId="1" fillId="0" borderId="49" xfId="0" applyFont="1" applyBorder="1"/>
    <xf numFmtId="0" fontId="70" fillId="0" borderId="49" xfId="0" applyFont="1" applyBorder="1" applyAlignment="1">
      <alignment vertical="top" wrapText="1"/>
    </xf>
    <xf numFmtId="0" fontId="0" fillId="0" borderId="60" xfId="0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172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13" fontId="65" fillId="0" borderId="49" xfId="0" applyNumberFormat="1" applyFont="1" applyBorder="1" applyAlignment="1">
      <alignment horizontal="center"/>
    </xf>
    <xf numFmtId="170" fontId="65" fillId="0" borderId="49" xfId="0" applyNumberFormat="1" applyFont="1" applyBorder="1" applyAlignment="1">
      <alignment horizontal="center"/>
    </xf>
    <xf numFmtId="0" fontId="65" fillId="0" borderId="49" xfId="0" applyFont="1" applyBorder="1" applyAlignment="1">
      <alignment horizontal="center"/>
    </xf>
    <xf numFmtId="17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3" fontId="0" fillId="0" borderId="49" xfId="0" applyNumberFormat="1" applyBorder="1" applyAlignment="1">
      <alignment horizontal="center"/>
    </xf>
    <xf numFmtId="170" fontId="0" fillId="0" borderId="49" xfId="0" applyNumberFormat="1" applyBorder="1" applyAlignment="1">
      <alignment horizontal="center"/>
    </xf>
    <xf numFmtId="173" fontId="0" fillId="0" borderId="49" xfId="0" applyNumberFormat="1" applyBorder="1" applyAlignment="1">
      <alignment horizontal="center"/>
    </xf>
    <xf numFmtId="164" fontId="35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5" fillId="0" borderId="49" xfId="0" applyFont="1" applyBorder="1" applyAlignment="1">
      <alignment horizontal="center" vertical="center"/>
    </xf>
    <xf numFmtId="0" fontId="65" fillId="17" borderId="49" xfId="0" applyFont="1" applyFill="1" applyBorder="1" applyAlignment="1">
      <alignment horizontal="center" vertical="center"/>
    </xf>
    <xf numFmtId="13" fontId="111" fillId="0" borderId="49" xfId="0" applyNumberFormat="1" applyFont="1" applyBorder="1" applyAlignment="1">
      <alignment horizontal="center" vertical="center"/>
    </xf>
    <xf numFmtId="171" fontId="111" fillId="0" borderId="49" xfId="0" applyNumberFormat="1" applyFont="1" applyBorder="1" applyAlignment="1">
      <alignment horizontal="center" vertical="center"/>
    </xf>
    <xf numFmtId="0" fontId="111" fillId="17" borderId="49" xfId="0" applyFont="1" applyFill="1" applyBorder="1" applyAlignment="1">
      <alignment horizontal="center" vertical="center"/>
    </xf>
    <xf numFmtId="13" fontId="111" fillId="17" borderId="49" xfId="0" applyNumberFormat="1" applyFont="1" applyFill="1" applyBorder="1" applyAlignment="1">
      <alignment horizontal="center" vertical="center"/>
    </xf>
    <xf numFmtId="0" fontId="111" fillId="0" borderId="49" xfId="0" applyFont="1" applyBorder="1" applyAlignment="1">
      <alignment horizontal="center" vertical="center"/>
    </xf>
    <xf numFmtId="13" fontId="111" fillId="0" borderId="0" xfId="0" applyNumberFormat="1" applyFont="1" applyAlignment="1">
      <alignment horizontal="center" vertical="center"/>
    </xf>
    <xf numFmtId="171" fontId="111" fillId="0" borderId="0" xfId="0" applyNumberFormat="1" applyFont="1" applyAlignment="1">
      <alignment horizontal="center" vertical="center"/>
    </xf>
    <xf numFmtId="0" fontId="62" fillId="0" borderId="0" xfId="0" applyFont="1"/>
    <xf numFmtId="0" fontId="2" fillId="0" borderId="0" xfId="0" applyFont="1"/>
    <xf numFmtId="0" fontId="70" fillId="0" borderId="0" xfId="0" applyFont="1"/>
    <xf numFmtId="13" fontId="112" fillId="0" borderId="49" xfId="0" applyNumberFormat="1" applyFont="1" applyBorder="1" applyAlignment="1">
      <alignment horizontal="center" vertical="center"/>
    </xf>
    <xf numFmtId="0" fontId="112" fillId="17" borderId="49" xfId="0" applyFont="1" applyFill="1" applyBorder="1" applyAlignment="1">
      <alignment horizontal="center" vertical="center"/>
    </xf>
    <xf numFmtId="0" fontId="112" fillId="0" borderId="49" xfId="0" applyFont="1" applyBorder="1" applyAlignment="1">
      <alignment horizontal="center" vertical="center"/>
    </xf>
    <xf numFmtId="0" fontId="101" fillId="0" borderId="0" xfId="0" applyFont="1" applyAlignment="1">
      <alignment textRotation="90" readingOrder="2"/>
    </xf>
    <xf numFmtId="0" fontId="0" fillId="0" borderId="168" xfId="0" applyBorder="1"/>
    <xf numFmtId="0" fontId="0" fillId="0" borderId="134" xfId="0" applyBorder="1"/>
    <xf numFmtId="0" fontId="0" fillId="0" borderId="169" xfId="0" applyBorder="1"/>
    <xf numFmtId="0" fontId="0" fillId="0" borderId="171" xfId="0" applyBorder="1"/>
    <xf numFmtId="0" fontId="0" fillId="0" borderId="115" xfId="0" applyBorder="1" applyAlignment="1">
      <alignment vertical="center"/>
    </xf>
    <xf numFmtId="0" fontId="102" fillId="0" borderId="134" xfId="0" applyFont="1" applyBorder="1" applyAlignment="1">
      <alignment vertical="center"/>
    </xf>
    <xf numFmtId="0" fontId="102" fillId="0" borderId="0" xfId="0" applyFont="1" applyAlignment="1">
      <alignment vertical="center"/>
    </xf>
    <xf numFmtId="2" fontId="0" fillId="0" borderId="0" xfId="0" applyNumberFormat="1"/>
    <xf numFmtId="0" fontId="40" fillId="10" borderId="0" xfId="4" applyFont="1" applyFill="1" applyAlignment="1">
      <alignment horizontal="center"/>
    </xf>
    <xf numFmtId="0" fontId="42" fillId="10" borderId="5" xfId="4" applyFont="1" applyFill="1" applyBorder="1" applyAlignment="1">
      <alignment horizontal="right"/>
    </xf>
    <xf numFmtId="0" fontId="115" fillId="0" borderId="0" xfId="0" applyFont="1" applyAlignment="1">
      <alignment horizontal="left" vertical="center" indent="1"/>
    </xf>
    <xf numFmtId="0" fontId="115" fillId="0" borderId="0" xfId="0" applyFont="1" applyAlignment="1">
      <alignment horizontal="left" vertical="center" indent="2"/>
    </xf>
    <xf numFmtId="0" fontId="64" fillId="0" borderId="0" xfId="8" applyAlignment="1">
      <alignment horizontal="left" vertical="center" indent="2"/>
    </xf>
    <xf numFmtId="0" fontId="40" fillId="10" borderId="13" xfId="4" applyFont="1" applyFill="1" applyBorder="1"/>
    <xf numFmtId="0" fontId="42" fillId="11" borderId="13" xfId="4" applyFont="1" applyFill="1" applyBorder="1" applyProtection="1">
      <protection locked="0"/>
    </xf>
    <xf numFmtId="0" fontId="42" fillId="10" borderId="14" xfId="4" applyFont="1" applyFill="1" applyBorder="1"/>
    <xf numFmtId="0" fontId="115" fillId="0" borderId="0" xfId="0" applyFont="1" applyAlignment="1">
      <alignment horizontal="right" vertical="center"/>
    </xf>
    <xf numFmtId="0" fontId="76" fillId="10" borderId="4" xfId="4" applyFont="1" applyFill="1" applyBorder="1" applyAlignment="1">
      <alignment horizontal="right" vertical="center"/>
    </xf>
    <xf numFmtId="0" fontId="80" fillId="8" borderId="2" xfId="4" applyFont="1" applyFill="1" applyBorder="1" applyAlignment="1" applyProtection="1">
      <alignment vertical="center"/>
      <protection locked="0"/>
    </xf>
    <xf numFmtId="0" fontId="42" fillId="10" borderId="142" xfId="4" applyFont="1" applyFill="1" applyBorder="1"/>
    <xf numFmtId="0" fontId="81" fillId="11" borderId="0" xfId="4" applyFont="1" applyFill="1" applyAlignment="1" applyProtection="1">
      <alignment vertical="center" wrapText="1"/>
      <protection locked="0"/>
    </xf>
    <xf numFmtId="0" fontId="40" fillId="11" borderId="138" xfId="4" applyFont="1" applyFill="1" applyBorder="1" applyProtection="1">
      <protection locked="0"/>
    </xf>
    <xf numFmtId="0" fontId="40" fillId="0" borderId="8" xfId="4" applyFont="1" applyBorder="1"/>
    <xf numFmtId="0" fontId="95" fillId="0" borderId="0" xfId="3" applyFont="1"/>
    <xf numFmtId="0" fontId="93" fillId="0" borderId="0" xfId="0" applyFont="1"/>
    <xf numFmtId="0" fontId="42" fillId="12" borderId="158" xfId="7" applyFont="1" applyFill="1" applyBorder="1" applyAlignment="1">
      <alignment horizontal="center" vertical="center"/>
    </xf>
    <xf numFmtId="0" fontId="42" fillId="12" borderId="159" xfId="7" applyFont="1" applyFill="1" applyBorder="1" applyAlignment="1">
      <alignment horizontal="center" vertical="center"/>
    </xf>
    <xf numFmtId="0" fontId="42" fillId="12" borderId="141" xfId="7" applyFont="1" applyFill="1" applyBorder="1" applyAlignment="1">
      <alignment horizontal="center" vertical="center"/>
    </xf>
    <xf numFmtId="0" fontId="42" fillId="12" borderId="143" xfId="7" applyFont="1" applyFill="1" applyBorder="1" applyAlignment="1">
      <alignment horizontal="center" vertical="center"/>
    </xf>
    <xf numFmtId="171" fontId="0" fillId="0" borderId="0" xfId="0" applyNumberFormat="1"/>
    <xf numFmtId="171" fontId="0" fillId="0" borderId="147" xfId="0" applyNumberFormat="1" applyBorder="1"/>
    <xf numFmtId="171" fontId="0" fillId="0" borderId="147" xfId="0" applyNumberFormat="1" applyBorder="1" applyAlignment="1">
      <alignment horizontal="center"/>
    </xf>
    <xf numFmtId="0" fontId="0" fillId="0" borderId="147" xfId="0" applyBorder="1" applyAlignment="1">
      <alignment horizontal="left"/>
    </xf>
    <xf numFmtId="0" fontId="111" fillId="17" borderId="172" xfId="0" applyFont="1" applyFill="1" applyBorder="1" applyAlignment="1">
      <alignment horizontal="center" vertical="center"/>
    </xf>
    <xf numFmtId="13" fontId="111" fillId="17" borderId="172" xfId="0" applyNumberFormat="1" applyFont="1" applyFill="1" applyBorder="1" applyAlignment="1">
      <alignment horizontal="center" vertical="center"/>
    </xf>
    <xf numFmtId="0" fontId="112" fillId="17" borderId="172" xfId="0" applyFont="1" applyFill="1" applyBorder="1" applyAlignment="1">
      <alignment horizontal="center" vertical="center"/>
    </xf>
    <xf numFmtId="0" fontId="65" fillId="17" borderId="172" xfId="0" applyFont="1" applyFill="1" applyBorder="1" applyAlignment="1">
      <alignment horizontal="center" vertical="center"/>
    </xf>
    <xf numFmtId="13" fontId="118" fillId="0" borderId="0" xfId="0" applyNumberFormat="1" applyFont="1" applyAlignment="1">
      <alignment horizontal="center"/>
    </xf>
    <xf numFmtId="0" fontId="65" fillId="17" borderId="133" xfId="0" applyFont="1" applyFill="1" applyBorder="1" applyAlignment="1">
      <alignment horizontal="center" vertical="center"/>
    </xf>
    <xf numFmtId="13" fontId="112" fillId="0" borderId="0" xfId="0" applyNumberFormat="1" applyFont="1" applyAlignment="1">
      <alignment horizontal="center"/>
    </xf>
    <xf numFmtId="0" fontId="0" fillId="0" borderId="132" xfId="0" applyBorder="1" applyAlignment="1">
      <alignment horizontal="left" vertical="center"/>
    </xf>
    <xf numFmtId="0" fontId="0" fillId="0" borderId="177" xfId="0" applyBorder="1"/>
    <xf numFmtId="171" fontId="65" fillId="0" borderId="49" xfId="0" applyNumberFormat="1" applyFont="1" applyBorder="1" applyAlignment="1">
      <alignment horizontal="center" vertical="center"/>
    </xf>
    <xf numFmtId="171" fontId="65" fillId="17" borderId="172" xfId="0" applyNumberFormat="1" applyFont="1" applyFill="1" applyBorder="1" applyAlignment="1">
      <alignment horizontal="center" vertical="center"/>
    </xf>
    <xf numFmtId="174" fontId="65" fillId="0" borderId="49" xfId="0" applyNumberFormat="1" applyFont="1" applyBorder="1" applyAlignment="1">
      <alignment horizontal="center" vertical="center"/>
    </xf>
    <xf numFmtId="175" fontId="65" fillId="0" borderId="49" xfId="0" applyNumberFormat="1" applyFont="1" applyBorder="1" applyAlignment="1">
      <alignment horizontal="center" vertical="center"/>
    </xf>
    <xf numFmtId="172" fontId="65" fillId="0" borderId="49" xfId="0" applyNumberFormat="1" applyFont="1" applyBorder="1" applyAlignment="1">
      <alignment horizontal="center" vertical="center"/>
    </xf>
    <xf numFmtId="172" fontId="65" fillId="17" borderId="49" xfId="0" applyNumberFormat="1" applyFont="1" applyFill="1" applyBorder="1" applyAlignment="1">
      <alignment horizontal="center" vertical="center"/>
    </xf>
    <xf numFmtId="171" fontId="65" fillId="17" borderId="49" xfId="0" applyNumberFormat="1" applyFont="1" applyFill="1" applyBorder="1" applyAlignment="1">
      <alignment horizontal="center" vertical="center"/>
    </xf>
    <xf numFmtId="171" fontId="6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147" xfId="0" applyNumberFormat="1" applyBorder="1" applyAlignment="1">
      <alignment horizontal="center"/>
    </xf>
    <xf numFmtId="0" fontId="0" fillId="0" borderId="178" xfId="0" applyBorder="1"/>
    <xf numFmtId="0" fontId="73" fillId="0" borderId="0" xfId="0" applyFont="1" applyAlignment="1" applyProtection="1">
      <alignment horizontal="right"/>
      <protection locked="0"/>
    </xf>
    <xf numFmtId="164" fontId="73" fillId="0" borderId="0" xfId="0" applyNumberFormat="1" applyFont="1" applyAlignment="1" applyProtection="1">
      <alignment horizontal="right"/>
      <protection locked="0"/>
    </xf>
    <xf numFmtId="164" fontId="67" fillId="0" borderId="0" xfId="0" applyNumberFormat="1" applyFont="1"/>
    <xf numFmtId="0" fontId="9" fillId="0" borderId="0" xfId="0" applyFont="1" applyAlignment="1">
      <alignment horizontal="right"/>
    </xf>
    <xf numFmtId="0" fontId="121" fillId="0" borderId="0" xfId="0" applyFont="1" applyAlignment="1" applyProtection="1">
      <alignment horizontal="right"/>
      <protection locked="0"/>
    </xf>
    <xf numFmtId="164" fontId="121" fillId="0" borderId="0" xfId="0" applyNumberFormat="1" applyFont="1" applyAlignment="1" applyProtection="1">
      <alignment horizontal="right"/>
      <protection locked="0"/>
    </xf>
    <xf numFmtId="164" fontId="122" fillId="0" borderId="0" xfId="0" applyNumberFormat="1" applyFont="1"/>
    <xf numFmtId="0" fontId="123" fillId="0" borderId="9" xfId="0" applyFont="1" applyBorder="1"/>
    <xf numFmtId="0" fontId="123" fillId="0" borderId="35" xfId="0" applyFont="1" applyBorder="1"/>
    <xf numFmtId="0" fontId="124" fillId="0" borderId="35" xfId="0" applyFont="1" applyBorder="1" applyAlignment="1">
      <alignment horizontal="right"/>
    </xf>
    <xf numFmtId="44" fontId="124" fillId="0" borderId="35" xfId="0" applyNumberFormat="1" applyFont="1" applyBorder="1"/>
    <xf numFmtId="0" fontId="126" fillId="0" borderId="18" xfId="3" applyFont="1" applyBorder="1" applyAlignment="1">
      <alignment horizontal="center" vertical="center"/>
    </xf>
    <xf numFmtId="0" fontId="126" fillId="0" borderId="101" xfId="3" applyFont="1" applyBorder="1" applyAlignment="1">
      <alignment horizontal="center" vertical="center"/>
    </xf>
    <xf numFmtId="0" fontId="126" fillId="0" borderId="67" xfId="3" applyFont="1" applyBorder="1" applyAlignment="1">
      <alignment horizontal="center" vertical="center"/>
    </xf>
    <xf numFmtId="0" fontId="127" fillId="0" borderId="19" xfId="3" applyFont="1" applyBorder="1" applyAlignment="1">
      <alignment horizontal="center" vertical="center"/>
    </xf>
    <xf numFmtId="0" fontId="128" fillId="0" borderId="54" xfId="3" applyFont="1" applyBorder="1" applyAlignment="1">
      <alignment horizontal="center" vertical="center"/>
    </xf>
    <xf numFmtId="0" fontId="127" fillId="0" borderId="54" xfId="3" applyFont="1" applyBorder="1" applyAlignment="1">
      <alignment horizontal="center" vertical="center"/>
    </xf>
    <xf numFmtId="0" fontId="127" fillId="0" borderId="59" xfId="3" applyFont="1" applyBorder="1" applyAlignment="1">
      <alignment horizontal="center" vertical="center"/>
    </xf>
    <xf numFmtId="0" fontId="127" fillId="0" borderId="60" xfId="3" applyFont="1" applyBorder="1" applyAlignment="1">
      <alignment horizontal="center" vertical="center"/>
    </xf>
    <xf numFmtId="3" fontId="97" fillId="11" borderId="144" xfId="7" applyNumberFormat="1" applyFont="1" applyFill="1" applyBorder="1" applyAlignment="1" applyProtection="1">
      <alignment horizontal="center" vertical="center"/>
      <protection locked="0"/>
    </xf>
    <xf numFmtId="0" fontId="97" fillId="11" borderId="145" xfId="7" applyFont="1" applyFill="1" applyBorder="1" applyAlignment="1" applyProtection="1">
      <alignment horizontal="center" vertical="center"/>
      <protection locked="0"/>
    </xf>
    <xf numFmtId="4" fontId="97" fillId="10" borderId="146" xfId="7" applyNumberFormat="1" applyFont="1" applyFill="1" applyBorder="1" applyAlignment="1">
      <alignment horizontal="left" vertical="center"/>
    </xf>
    <xf numFmtId="3" fontId="97" fillId="11" borderId="108" xfId="7" applyNumberFormat="1" applyFont="1" applyFill="1" applyBorder="1" applyAlignment="1" applyProtection="1">
      <alignment horizontal="center" vertical="center"/>
      <protection locked="0"/>
    </xf>
    <xf numFmtId="0" fontId="97" fillId="11" borderId="33" xfId="7" applyFont="1" applyFill="1" applyBorder="1" applyAlignment="1" applyProtection="1">
      <alignment horizontal="center" vertical="center"/>
      <protection locked="0"/>
    </xf>
    <xf numFmtId="0" fontId="97" fillId="11" borderId="0" xfId="7" applyFont="1" applyFill="1" applyAlignment="1" applyProtection="1">
      <alignment horizontal="left" vertical="center"/>
      <protection locked="0"/>
    </xf>
    <xf numFmtId="0" fontId="97" fillId="11" borderId="30" xfId="7" applyFont="1" applyFill="1" applyBorder="1" applyAlignment="1" applyProtection="1">
      <alignment horizontal="left" vertical="center"/>
      <protection locked="0"/>
    </xf>
    <xf numFmtId="4" fontId="97" fillId="10" borderId="34" xfId="7" applyNumberFormat="1" applyFont="1" applyFill="1" applyBorder="1" applyAlignment="1">
      <alignment horizontal="left" vertical="center"/>
    </xf>
    <xf numFmtId="0" fontId="97" fillId="11" borderId="175" xfId="7" applyFont="1" applyFill="1" applyBorder="1" applyAlignment="1" applyProtection="1">
      <alignment horizontal="center" vertical="center"/>
      <protection locked="0"/>
    </xf>
    <xf numFmtId="0" fontId="97" fillId="11" borderId="176" xfId="7" applyFont="1" applyFill="1" applyBorder="1" applyAlignment="1" applyProtection="1">
      <alignment horizontal="left" vertical="center"/>
      <protection locked="0"/>
    </xf>
    <xf numFmtId="3" fontId="97" fillId="11" borderId="109" xfId="7" applyNumberFormat="1" applyFont="1" applyFill="1" applyBorder="1" applyAlignment="1" applyProtection="1">
      <alignment horizontal="center" vertical="center"/>
      <protection locked="0"/>
    </xf>
    <xf numFmtId="0" fontId="97" fillId="11" borderId="44" xfId="7" applyFont="1" applyFill="1" applyBorder="1" applyAlignment="1" applyProtection="1">
      <alignment horizontal="center" vertical="center"/>
      <protection locked="0"/>
    </xf>
    <xf numFmtId="4" fontId="97" fillId="10" borderId="43" xfId="7" applyNumberFormat="1" applyFont="1" applyFill="1" applyBorder="1" applyAlignment="1">
      <alignment horizontal="left" vertical="center"/>
    </xf>
    <xf numFmtId="0" fontId="40" fillId="0" borderId="102" xfId="2" applyFont="1" applyBorder="1" applyAlignment="1">
      <alignment horizontal="center" vertical="center" wrapText="1"/>
    </xf>
    <xf numFmtId="0" fontId="7" fillId="0" borderId="10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/>
    <xf numFmtId="0" fontId="7" fillId="0" borderId="105" xfId="0" applyFont="1" applyBorder="1"/>
    <xf numFmtId="0" fontId="78" fillId="0" borderId="3" xfId="3" applyFont="1" applyBorder="1" applyAlignment="1" applyProtection="1">
      <alignment horizontal="center"/>
      <protection hidden="1"/>
    </xf>
    <xf numFmtId="0" fontId="78" fillId="0" borderId="18" xfId="3" applyFont="1" applyBorder="1" applyAlignment="1" applyProtection="1">
      <alignment horizontal="center"/>
      <protection hidden="1"/>
    </xf>
    <xf numFmtId="0" fontId="78" fillId="0" borderId="52" xfId="3" applyFont="1" applyBorder="1" applyAlignment="1">
      <alignment horizontal="center"/>
    </xf>
    <xf numFmtId="0" fontId="78" fillId="0" borderId="55" xfId="3" applyFont="1" applyBorder="1" applyAlignment="1">
      <alignment horizontal="center"/>
    </xf>
    <xf numFmtId="0" fontId="78" fillId="0" borderId="52" xfId="3" applyFont="1" applyBorder="1" applyAlignment="1" applyProtection="1">
      <alignment horizontal="center"/>
      <protection hidden="1"/>
    </xf>
    <xf numFmtId="0" fontId="78" fillId="0" borderId="55" xfId="3" applyFont="1" applyBorder="1" applyAlignment="1" applyProtection="1">
      <alignment horizontal="center"/>
      <protection hidden="1"/>
    </xf>
    <xf numFmtId="0" fontId="78" fillId="0" borderId="52" xfId="3" applyFont="1" applyBorder="1" applyAlignment="1" applyProtection="1">
      <alignment horizontal="center" vertical="center"/>
      <protection hidden="1"/>
    </xf>
    <xf numFmtId="0" fontId="78" fillId="0" borderId="55" xfId="3" applyFont="1" applyBorder="1" applyAlignment="1" applyProtection="1">
      <alignment horizontal="center" vertical="center"/>
      <protection hidden="1"/>
    </xf>
    <xf numFmtId="0" fontId="42" fillId="0" borderId="36" xfId="2" applyFont="1" applyBorder="1" applyAlignment="1" applyProtection="1">
      <alignment horizontal="center" vertical="center"/>
      <protection hidden="1"/>
    </xf>
    <xf numFmtId="0" fontId="7" fillId="0" borderId="92" xfId="0" applyFont="1" applyBorder="1"/>
    <xf numFmtId="0" fontId="78" fillId="0" borderId="112" xfId="3" applyFont="1" applyBorder="1" applyAlignment="1">
      <alignment horizontal="center"/>
    </xf>
    <xf numFmtId="0" fontId="78" fillId="0" borderId="103" xfId="3" applyFont="1" applyBorder="1" applyAlignment="1">
      <alignment horizontal="center"/>
    </xf>
    <xf numFmtId="0" fontId="40" fillId="0" borderId="112" xfId="3" applyFont="1" applyBorder="1" applyAlignment="1">
      <alignment horizontal="center"/>
    </xf>
    <xf numFmtId="0" fontId="7" fillId="0" borderId="110" xfId="0" applyFont="1" applyBorder="1" applyAlignment="1">
      <alignment horizontal="center"/>
    </xf>
    <xf numFmtId="0" fontId="7" fillId="0" borderId="111" xfId="0" applyFont="1" applyBorder="1" applyAlignment="1">
      <alignment horizontal="center"/>
    </xf>
    <xf numFmtId="0" fontId="78" fillId="0" borderId="50" xfId="2" applyFont="1" applyBorder="1" applyAlignment="1">
      <alignment horizontal="center"/>
    </xf>
    <xf numFmtId="0" fontId="87" fillId="0" borderId="101" xfId="0" applyFont="1" applyBorder="1" applyAlignment="1">
      <alignment horizontal="center"/>
    </xf>
    <xf numFmtId="0" fontId="42" fillId="3" borderId="52" xfId="3" applyFont="1" applyFill="1" applyBorder="1" applyAlignment="1">
      <alignment horizontal="center"/>
    </xf>
    <xf numFmtId="0" fontId="42" fillId="3" borderId="55" xfId="3" applyFont="1" applyFill="1" applyBorder="1" applyAlignment="1">
      <alignment horizontal="center"/>
    </xf>
    <xf numFmtId="0" fontId="78" fillId="3" borderId="52" xfId="3" applyFont="1" applyFill="1" applyBorder="1" applyAlignment="1">
      <alignment horizontal="center"/>
    </xf>
    <xf numFmtId="0" fontId="78" fillId="3" borderId="55" xfId="3" applyFont="1" applyFill="1" applyBorder="1" applyAlignment="1">
      <alignment horizontal="center"/>
    </xf>
    <xf numFmtId="0" fontId="78" fillId="0" borderId="50" xfId="2" applyFont="1" applyBorder="1" applyAlignment="1" applyProtection="1">
      <alignment horizontal="center"/>
      <protection hidden="1"/>
    </xf>
    <xf numFmtId="0" fontId="7" fillId="0" borderId="51" xfId="0" applyFont="1" applyBorder="1" applyAlignment="1">
      <alignment horizontal="center"/>
    </xf>
    <xf numFmtId="0" fontId="78" fillId="0" borderId="50" xfId="3" applyFont="1" applyBorder="1" applyAlignment="1" applyProtection="1">
      <alignment horizontal="center" vertical="center"/>
      <protection hidden="1"/>
    </xf>
    <xf numFmtId="0" fontId="7" fillId="0" borderId="113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42" fillId="3" borderId="50" xfId="3" applyFont="1" applyFill="1" applyBorder="1" applyAlignment="1">
      <alignment horizontal="center"/>
    </xf>
    <xf numFmtId="0" fontId="7" fillId="0" borderId="113" xfId="0" applyFont="1" applyBorder="1" applyAlignment="1">
      <alignment horizontal="center"/>
    </xf>
    <xf numFmtId="0" fontId="7" fillId="0" borderId="42" xfId="0" applyFont="1" applyBorder="1"/>
    <xf numFmtId="0" fontId="7" fillId="0" borderId="39" xfId="0" applyFont="1" applyBorder="1"/>
    <xf numFmtId="0" fontId="40" fillId="0" borderId="50" xfId="2" applyFont="1" applyBorder="1" applyAlignment="1">
      <alignment horizontal="center"/>
    </xf>
    <xf numFmtId="0" fontId="40" fillId="0" borderId="52" xfId="2" applyFont="1" applyBorder="1" applyAlignment="1">
      <alignment horizontal="center"/>
    </xf>
    <xf numFmtId="0" fontId="78" fillId="0" borderId="50" xfId="2" applyFont="1" applyBorder="1"/>
    <xf numFmtId="0" fontId="7" fillId="0" borderId="51" xfId="0" applyFont="1" applyBorder="1"/>
    <xf numFmtId="0" fontId="0" fillId="0" borderId="61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5" fillId="0" borderId="66" xfId="0" applyFont="1" applyBorder="1" applyAlignment="1" applyProtection="1">
      <alignment horizontal="center"/>
      <protection locked="0"/>
    </xf>
    <xf numFmtId="0" fontId="35" fillId="0" borderId="65" xfId="0" applyFont="1" applyBorder="1" applyAlignment="1" applyProtection="1">
      <alignment horizontal="center"/>
      <protection locked="0"/>
    </xf>
    <xf numFmtId="164" fontId="66" fillId="0" borderId="49" xfId="0" applyNumberFormat="1" applyFont="1" applyBorder="1" applyAlignment="1">
      <alignment horizontal="center"/>
    </xf>
    <xf numFmtId="164" fontId="66" fillId="0" borderId="54" xfId="0" applyNumberFormat="1" applyFont="1" applyBorder="1" applyAlignment="1">
      <alignment horizontal="center"/>
    </xf>
    <xf numFmtId="164" fontId="14" fillId="0" borderId="60" xfId="0" applyNumberFormat="1" applyFont="1" applyBorder="1" applyAlignment="1">
      <alignment horizontal="center"/>
    </xf>
    <xf numFmtId="164" fontId="14" fillId="0" borderId="59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/>
    </xf>
    <xf numFmtId="0" fontId="35" fillId="0" borderId="25" xfId="0" applyFont="1" applyBorder="1" applyAlignment="1">
      <alignment horizontal="center"/>
    </xf>
    <xf numFmtId="0" fontId="66" fillId="0" borderId="53" xfId="0" applyFont="1" applyBorder="1" applyAlignment="1">
      <alignment horizontal="center"/>
    </xf>
    <xf numFmtId="0" fontId="66" fillId="0" borderId="49" xfId="0" applyFont="1" applyBorder="1" applyAlignment="1">
      <alignment horizontal="center"/>
    </xf>
    <xf numFmtId="0" fontId="14" fillId="0" borderId="58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3" fillId="0" borderId="63" xfId="0" applyFont="1" applyBorder="1" applyAlignment="1">
      <alignment horizontal="center" wrapText="1"/>
    </xf>
    <xf numFmtId="0" fontId="3" fillId="0" borderId="66" xfId="0" applyFont="1" applyBorder="1" applyAlignment="1">
      <alignment horizontal="center" wrapText="1"/>
    </xf>
    <xf numFmtId="0" fontId="3" fillId="0" borderId="65" xfId="0" applyFont="1" applyBorder="1" applyAlignment="1">
      <alignment horizontal="center" wrapText="1"/>
    </xf>
    <xf numFmtId="0" fontId="35" fillId="0" borderId="6" xfId="0" applyFont="1" applyBorder="1" applyAlignment="1">
      <alignment horizontal="right"/>
    </xf>
    <xf numFmtId="0" fontId="35" fillId="0" borderId="0" xfId="0" applyFont="1" applyAlignment="1">
      <alignment horizontal="right"/>
    </xf>
    <xf numFmtId="0" fontId="35" fillId="0" borderId="13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35" fillId="0" borderId="21" xfId="0" applyFont="1" applyBorder="1" applyAlignment="1">
      <alignment horizontal="center"/>
    </xf>
    <xf numFmtId="164" fontId="66" fillId="0" borderId="16" xfId="0" applyNumberFormat="1" applyFont="1" applyBorder="1" applyAlignment="1">
      <alignment horizontal="center"/>
    </xf>
    <xf numFmtId="164" fontId="66" fillId="0" borderId="19" xfId="0" applyNumberFormat="1" applyFont="1" applyBorder="1" applyAlignment="1">
      <alignment horizontal="center"/>
    </xf>
    <xf numFmtId="0" fontId="90" fillId="0" borderId="0" xfId="0" applyFont="1" applyAlignment="1">
      <alignment horizontal="center" vertical="center" wrapText="1"/>
    </xf>
    <xf numFmtId="0" fontId="90" fillId="0" borderId="35" xfId="0" applyFont="1" applyBorder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0" fontId="89" fillId="0" borderId="35" xfId="0" applyFont="1" applyBorder="1" applyAlignment="1">
      <alignment horizontal="center" vertical="center" wrapText="1"/>
    </xf>
    <xf numFmtId="0" fontId="35" fillId="0" borderId="23" xfId="0" applyFont="1" applyBorder="1" applyAlignment="1">
      <alignment horizontal="center"/>
    </xf>
    <xf numFmtId="0" fontId="66" fillId="0" borderId="27" xfId="0" applyFont="1" applyBorder="1" applyAlignment="1">
      <alignment horizontal="center"/>
    </xf>
    <xf numFmtId="0" fontId="66" fillId="0" borderId="17" xfId="0" applyFont="1" applyBorder="1" applyAlignment="1">
      <alignment horizontal="center"/>
    </xf>
    <xf numFmtId="44" fontId="89" fillId="0" borderId="0" xfId="1" applyFont="1" applyFill="1" applyBorder="1" applyAlignment="1" applyProtection="1">
      <alignment horizontal="center" vertical="center" wrapText="1"/>
    </xf>
    <xf numFmtId="44" fontId="89" fillId="0" borderId="35" xfId="1" applyFont="1" applyFill="1" applyBorder="1" applyAlignment="1" applyProtection="1">
      <alignment horizontal="center" vertical="center" wrapText="1"/>
    </xf>
    <xf numFmtId="44" fontId="89" fillId="0" borderId="7" xfId="0" applyNumberFormat="1" applyFont="1" applyBorder="1" applyAlignment="1">
      <alignment horizontal="center" vertical="center" wrapText="1"/>
    </xf>
    <xf numFmtId="44" fontId="89" fillId="0" borderId="10" xfId="0" applyNumberFormat="1" applyFont="1" applyBorder="1" applyAlignment="1">
      <alignment horizontal="center" vertical="center" wrapText="1"/>
    </xf>
    <xf numFmtId="0" fontId="15" fillId="0" borderId="66" xfId="0" applyFont="1" applyBorder="1" applyAlignment="1">
      <alignment horizontal="left" shrinkToFit="1"/>
    </xf>
    <xf numFmtId="0" fontId="15" fillId="0" borderId="65" xfId="0" applyFont="1" applyBorder="1" applyAlignment="1">
      <alignment horizontal="left" shrinkToFit="1"/>
    </xf>
    <xf numFmtId="49" fontId="15" fillId="0" borderId="0" xfId="0" applyNumberFormat="1" applyFont="1" applyAlignment="1" applyProtection="1">
      <alignment horizontal="left" shrinkToFit="1"/>
      <protection locked="0"/>
    </xf>
    <xf numFmtId="0" fontId="15" fillId="0" borderId="0" xfId="0" applyFont="1" applyAlignment="1" applyProtection="1">
      <alignment horizontal="left" shrinkToFit="1"/>
      <protection locked="0"/>
    </xf>
    <xf numFmtId="0" fontId="15" fillId="0" borderId="7" xfId="0" applyFont="1" applyBorder="1" applyAlignment="1" applyProtection="1">
      <alignment horizontal="left" shrinkToFit="1"/>
      <protection locked="0"/>
    </xf>
    <xf numFmtId="0" fontId="15" fillId="0" borderId="0" xfId="0" applyFont="1" applyAlignment="1">
      <alignment horizontal="left" shrinkToFit="1"/>
    </xf>
    <xf numFmtId="0" fontId="58" fillId="0" borderId="7" xfId="0" applyFont="1" applyBorder="1" applyAlignment="1">
      <alignment horizontal="left" shrinkToFit="1"/>
    </xf>
    <xf numFmtId="164" fontId="1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 vertical="top"/>
    </xf>
    <xf numFmtId="9" fontId="15" fillId="0" borderId="35" xfId="0" applyNumberFormat="1" applyFont="1" applyBorder="1" applyAlignment="1">
      <alignment horizontal="left"/>
    </xf>
    <xf numFmtId="0" fontId="119" fillId="0" borderId="0" xfId="3" applyFont="1" applyAlignment="1">
      <alignment horizontal="center" vertical="center" wrapText="1"/>
    </xf>
    <xf numFmtId="0" fontId="59" fillId="0" borderId="50" xfId="3" applyFont="1" applyBorder="1" applyAlignment="1">
      <alignment horizontal="center" vertical="center"/>
    </xf>
    <xf numFmtId="0" fontId="60" fillId="0" borderId="52" xfId="0" applyFont="1" applyBorder="1" applyAlignment="1">
      <alignment horizontal="center" vertical="center"/>
    </xf>
    <xf numFmtId="0" fontId="60" fillId="0" borderId="55" xfId="0" applyFont="1" applyBorder="1" applyAlignment="1">
      <alignment horizontal="center" vertical="center"/>
    </xf>
    <xf numFmtId="0" fontId="125" fillId="0" borderId="52" xfId="3" applyFont="1" applyBorder="1" applyAlignment="1">
      <alignment horizontal="center" vertical="center"/>
    </xf>
    <xf numFmtId="0" fontId="58" fillId="0" borderId="51" xfId="0" applyFont="1" applyBorder="1" applyAlignment="1">
      <alignment horizontal="center" vertical="center"/>
    </xf>
    <xf numFmtId="0" fontId="14" fillId="0" borderId="22" xfId="3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34" fillId="0" borderId="5" xfId="3" applyFont="1" applyBorder="1" applyAlignment="1">
      <alignment horizontal="center" vertical="center" shrinkToFit="1"/>
    </xf>
    <xf numFmtId="0" fontId="34" fillId="0" borderId="0" xfId="3" applyFont="1" applyAlignment="1">
      <alignment horizontal="center" vertical="center" shrinkToFit="1"/>
    </xf>
    <xf numFmtId="0" fontId="34" fillId="0" borderId="8" xfId="3" applyFont="1" applyBorder="1" applyAlignment="1">
      <alignment horizontal="center" vertical="center" shrinkToFit="1"/>
    </xf>
    <xf numFmtId="0" fontId="15" fillId="0" borderId="0" xfId="3" applyFont="1" applyAlignment="1">
      <alignment horizontal="center" shrinkToFit="1"/>
    </xf>
    <xf numFmtId="0" fontId="58" fillId="0" borderId="0" xfId="0" applyFont="1" applyAlignment="1">
      <alignment horizontal="center"/>
    </xf>
    <xf numFmtId="0" fontId="34" fillId="0" borderId="1" xfId="3" applyFont="1" applyBorder="1" applyAlignment="1">
      <alignment horizontal="center" vertical="center"/>
    </xf>
    <xf numFmtId="0" fontId="34" fillId="0" borderId="2" xfId="3" applyFont="1" applyBorder="1" applyAlignment="1">
      <alignment horizontal="center" vertical="center"/>
    </xf>
    <xf numFmtId="0" fontId="34" fillId="0" borderId="4" xfId="3" applyFont="1" applyBorder="1" applyAlignment="1">
      <alignment horizontal="center" vertical="center"/>
    </xf>
    <xf numFmtId="0" fontId="34" fillId="0" borderId="5" xfId="3" applyFont="1" applyBorder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34" fillId="0" borderId="8" xfId="3" applyFont="1" applyBorder="1" applyAlignment="1">
      <alignment horizontal="center" vertical="center"/>
    </xf>
    <xf numFmtId="0" fontId="31" fillId="0" borderId="2" xfId="3" applyFont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6" fillId="0" borderId="0" xfId="3" applyFont="1" applyAlignment="1">
      <alignment horizontal="center" vertical="center"/>
    </xf>
    <xf numFmtId="167" fontId="32" fillId="0" borderId="0" xfId="3" applyNumberFormat="1" applyFont="1" applyAlignment="1">
      <alignment horizontal="center" vertical="center"/>
    </xf>
    <xf numFmtId="167" fontId="48" fillId="0" borderId="0" xfId="0" applyNumberFormat="1" applyFont="1" applyAlignment="1">
      <alignment horizontal="center" vertical="center"/>
    </xf>
    <xf numFmtId="0" fontId="15" fillId="0" borderId="13" xfId="3" applyFont="1" applyBorder="1" applyAlignment="1">
      <alignment horizontal="center" vertical="center"/>
    </xf>
    <xf numFmtId="13" fontId="14" fillId="0" borderId="22" xfId="3" applyNumberFormat="1" applyFont="1" applyBorder="1" applyAlignment="1">
      <alignment horizontal="center" vertical="center"/>
    </xf>
    <xf numFmtId="0" fontId="14" fillId="0" borderId="25" xfId="3" applyFont="1" applyBorder="1" applyAlignment="1">
      <alignment horizontal="center" vertical="center"/>
    </xf>
    <xf numFmtId="0" fontId="67" fillId="0" borderId="118" xfId="0" applyFont="1" applyBorder="1" applyAlignment="1">
      <alignment horizontal="left" vertical="center"/>
    </xf>
    <xf numFmtId="0" fontId="9" fillId="0" borderId="113" xfId="0" applyFont="1" applyBorder="1" applyAlignment="1">
      <alignment horizontal="left" vertical="center"/>
    </xf>
    <xf numFmtId="0" fontId="9" fillId="0" borderId="101" xfId="0" applyFont="1" applyBorder="1" applyAlignment="1">
      <alignment horizontal="left" vertical="center"/>
    </xf>
    <xf numFmtId="0" fontId="67" fillId="0" borderId="62" xfId="0" applyFont="1" applyBorder="1" applyAlignment="1">
      <alignment horizontal="left" vertical="center"/>
    </xf>
    <xf numFmtId="0" fontId="9" fillId="0" borderId="98" xfId="0" applyFont="1" applyBorder="1" applyAlignment="1">
      <alignment horizontal="left" vertical="center"/>
    </xf>
    <xf numFmtId="0" fontId="9" fillId="0" borderId="67" xfId="0" applyFont="1" applyBorder="1" applyAlignment="1">
      <alignment horizontal="left" vertical="center"/>
    </xf>
    <xf numFmtId="0" fontId="36" fillId="0" borderId="0" xfId="3" applyFont="1" applyAlignment="1">
      <alignment horizontal="center" vertical="center" shrinkToFit="1"/>
    </xf>
    <xf numFmtId="14" fontId="67" fillId="0" borderId="119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20" xfId="0" applyFont="1" applyBorder="1" applyAlignment="1">
      <alignment horizontal="left" vertical="center"/>
    </xf>
    <xf numFmtId="0" fontId="55" fillId="0" borderId="2" xfId="3" applyFont="1" applyBorder="1" applyAlignment="1">
      <alignment horizontal="center" vertical="center"/>
    </xf>
    <xf numFmtId="0" fontId="55" fillId="0" borderId="0" xfId="3" applyFont="1" applyAlignment="1">
      <alignment horizontal="center" vertical="center"/>
    </xf>
    <xf numFmtId="0" fontId="14" fillId="0" borderId="5" xfId="3" applyFont="1" applyBorder="1" applyAlignment="1">
      <alignment horizontal="center" wrapText="1"/>
    </xf>
    <xf numFmtId="0" fontId="14" fillId="0" borderId="0" xfId="3" applyFont="1" applyAlignment="1">
      <alignment horizontal="center" wrapText="1"/>
    </xf>
    <xf numFmtId="0" fontId="14" fillId="0" borderId="8" xfId="3" applyFont="1" applyBorder="1" applyAlignment="1">
      <alignment horizontal="center" wrapText="1"/>
    </xf>
    <xf numFmtId="0" fontId="14" fillId="0" borderId="12" xfId="3" applyFont="1" applyBorder="1" applyAlignment="1">
      <alignment horizontal="center" wrapText="1"/>
    </xf>
    <xf numFmtId="0" fontId="14" fillId="0" borderId="13" xfId="3" applyFont="1" applyBorder="1" applyAlignment="1">
      <alignment horizontal="center" wrapText="1"/>
    </xf>
    <xf numFmtId="0" fontId="14" fillId="0" borderId="14" xfId="3" applyFont="1" applyBorder="1" applyAlignment="1">
      <alignment horizontal="center" wrapText="1"/>
    </xf>
    <xf numFmtId="0" fontId="35" fillId="0" borderId="28" xfId="3" applyFont="1" applyBorder="1" applyAlignment="1">
      <alignment horizontal="center" vertical="center"/>
    </xf>
    <xf numFmtId="0" fontId="35" fillId="0" borderId="3" xfId="3" applyFont="1" applyBorder="1" applyAlignment="1">
      <alignment horizontal="center" vertical="center"/>
    </xf>
    <xf numFmtId="0" fontId="54" fillId="0" borderId="3" xfId="0" applyFont="1" applyBorder="1" applyAlignment="1">
      <alignment horizontal="center" vertical="center"/>
    </xf>
    <xf numFmtId="49" fontId="32" fillId="0" borderId="28" xfId="3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56" fillId="0" borderId="50" xfId="0" applyFont="1" applyBorder="1" applyAlignment="1">
      <alignment horizontal="center" vertical="center"/>
    </xf>
    <xf numFmtId="0" fontId="56" fillId="0" borderId="113" xfId="0" applyFont="1" applyBorder="1" applyAlignment="1">
      <alignment horizontal="center" vertical="center"/>
    </xf>
    <xf numFmtId="0" fontId="57" fillId="0" borderId="52" xfId="0" applyFont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6" fillId="0" borderId="5" xfId="3" applyFont="1" applyBorder="1" applyAlignment="1">
      <alignment horizontal="center" vertical="center"/>
    </xf>
    <xf numFmtId="0" fontId="1" fillId="0" borderId="0" xfId="0" applyFont="1"/>
    <xf numFmtId="0" fontId="1" fillId="0" borderId="12" xfId="0" applyFont="1" applyBorder="1"/>
    <xf numFmtId="0" fontId="1" fillId="0" borderId="13" xfId="0" applyFont="1" applyBorder="1"/>
    <xf numFmtId="164" fontId="37" fillId="0" borderId="36" xfId="3" applyNumberFormat="1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48" fillId="0" borderId="13" xfId="0" applyFont="1" applyBorder="1" applyAlignment="1">
      <alignment horizontal="right"/>
    </xf>
    <xf numFmtId="0" fontId="0" fillId="0" borderId="14" xfId="0" applyBorder="1" applyAlignment="1">
      <alignment horizontal="right"/>
    </xf>
    <xf numFmtId="0" fontId="48" fillId="0" borderId="2" xfId="0" applyFont="1" applyBorder="1" applyAlignment="1">
      <alignment horizontal="right"/>
    </xf>
    <xf numFmtId="0" fontId="0" fillId="0" borderId="4" xfId="0" applyBorder="1" applyAlignment="1">
      <alignment horizontal="right"/>
    </xf>
    <xf numFmtId="49" fontId="66" fillId="0" borderId="136" xfId="3" applyNumberFormat="1" applyFont="1" applyBorder="1" applyAlignment="1">
      <alignment horizontal="center" vertical="center" wrapText="1"/>
    </xf>
    <xf numFmtId="0" fontId="67" fillId="0" borderId="134" xfId="0" applyFont="1" applyBorder="1" applyAlignment="1">
      <alignment horizontal="center" vertical="center" wrapText="1"/>
    </xf>
    <xf numFmtId="0" fontId="0" fillId="0" borderId="134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 wrapText="1"/>
    </xf>
    <xf numFmtId="0" fontId="67" fillId="0" borderId="128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67" fillId="0" borderId="12" xfId="0" applyFont="1" applyBorder="1" applyAlignment="1">
      <alignment horizontal="center" vertical="center" wrapText="1"/>
    </xf>
    <xf numFmtId="0" fontId="67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6" fillId="0" borderId="2" xfId="3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6" fillId="0" borderId="0" xfId="3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4" fillId="0" borderId="113" xfId="3" applyFont="1" applyBorder="1" applyAlignment="1">
      <alignment horizontal="center" vertical="center"/>
    </xf>
    <xf numFmtId="0" fontId="9" fillId="0" borderId="113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35" fillId="0" borderId="28" xfId="3" applyFont="1" applyBorder="1" applyAlignment="1">
      <alignment horizontal="center" vertical="top"/>
    </xf>
    <xf numFmtId="0" fontId="35" fillId="0" borderId="3" xfId="3" applyFont="1" applyBorder="1" applyAlignment="1">
      <alignment horizontal="center" vertical="top"/>
    </xf>
    <xf numFmtId="0" fontId="35" fillId="0" borderId="48" xfId="3" applyFont="1" applyBorder="1" applyAlignment="1">
      <alignment horizontal="center" vertical="top"/>
    </xf>
    <xf numFmtId="0" fontId="35" fillId="0" borderId="1" xfId="3" applyFont="1" applyBorder="1" applyAlignment="1">
      <alignment horizontal="center" vertical="top"/>
    </xf>
    <xf numFmtId="0" fontId="35" fillId="0" borderId="2" xfId="3" applyFont="1" applyBorder="1" applyAlignment="1">
      <alignment horizontal="center" vertical="top"/>
    </xf>
    <xf numFmtId="49" fontId="14" fillId="0" borderId="5" xfId="3" applyNumberFormat="1" applyFont="1" applyBorder="1" applyAlignment="1">
      <alignment horizontal="center" vertical="center" wrapText="1"/>
    </xf>
    <xf numFmtId="49" fontId="14" fillId="0" borderId="0" xfId="3" applyNumberFormat="1" applyFont="1" applyAlignment="1">
      <alignment horizontal="center" vertical="center" wrapText="1"/>
    </xf>
    <xf numFmtId="49" fontId="14" fillId="0" borderId="8" xfId="3" applyNumberFormat="1" applyFont="1" applyBorder="1" applyAlignment="1">
      <alignment horizontal="center" vertical="center" wrapText="1"/>
    </xf>
    <xf numFmtId="0" fontId="15" fillId="0" borderId="0" xfId="3" applyFont="1" applyAlignment="1">
      <alignment horizontal="left" vertical="center"/>
    </xf>
    <xf numFmtId="0" fontId="17" fillId="0" borderId="0" xfId="3" applyFont="1" applyAlignment="1">
      <alignment horizontal="left" vertical="center" shrinkToFit="1"/>
    </xf>
    <xf numFmtId="0" fontId="49" fillId="0" borderId="2" xfId="3" applyFont="1" applyBorder="1" applyAlignment="1">
      <alignment horizontal="right" vertical="center"/>
    </xf>
    <xf numFmtId="0" fontId="50" fillId="0" borderId="2" xfId="0" applyFont="1" applyBorder="1" applyAlignment="1">
      <alignment horizontal="right" vertical="center"/>
    </xf>
    <xf numFmtId="0" fontId="18" fillId="3" borderId="1" xfId="3" applyFont="1" applyFill="1" applyBorder="1" applyAlignment="1">
      <alignment horizontal="center" vertical="center"/>
    </xf>
    <xf numFmtId="0" fontId="18" fillId="3" borderId="2" xfId="3" applyFont="1" applyFill="1" applyBorder="1" applyAlignment="1">
      <alignment horizontal="center" vertical="center"/>
    </xf>
    <xf numFmtId="0" fontId="16" fillId="3" borderId="1" xfId="3" applyFont="1" applyFill="1" applyBorder="1" applyAlignment="1">
      <alignment horizontal="center"/>
    </xf>
    <xf numFmtId="0" fontId="52" fillId="0" borderId="2" xfId="0" applyFont="1" applyBorder="1" applyAlignment="1">
      <alignment horizontal="center"/>
    </xf>
    <xf numFmtId="0" fontId="52" fillId="0" borderId="12" xfId="0" applyFont="1" applyBorder="1" applyAlignment="1">
      <alignment horizontal="center"/>
    </xf>
    <xf numFmtId="0" fontId="52" fillId="0" borderId="13" xfId="0" applyFont="1" applyBorder="1" applyAlignment="1">
      <alignment horizontal="center"/>
    </xf>
    <xf numFmtId="13" fontId="32" fillId="3" borderId="2" xfId="3" applyNumberFormat="1" applyFont="1" applyFill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32" fillId="3" borderId="2" xfId="3" applyFont="1" applyFill="1" applyBorder="1" applyAlignment="1">
      <alignment horizontal="center"/>
    </xf>
    <xf numFmtId="0" fontId="53" fillId="0" borderId="13" xfId="0" applyFont="1" applyBorder="1" applyAlignment="1">
      <alignment horizontal="center"/>
    </xf>
    <xf numFmtId="0" fontId="14" fillId="0" borderId="24" xfId="3" applyFont="1" applyBorder="1" applyAlignment="1">
      <alignment horizontal="center" vertical="center"/>
    </xf>
    <xf numFmtId="12" fontId="32" fillId="3" borderId="4" xfId="3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35" fillId="0" borderId="57" xfId="3" applyFont="1" applyBorder="1" applyAlignment="1">
      <alignment horizontal="center" vertical="top"/>
    </xf>
    <xf numFmtId="0" fontId="35" fillId="0" borderId="110" xfId="3" applyFont="1" applyBorder="1" applyAlignment="1">
      <alignment horizontal="center" vertical="top"/>
    </xf>
    <xf numFmtId="0" fontId="0" fillId="0" borderId="6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5" fillId="0" borderId="24" xfId="3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5" fillId="0" borderId="0" xfId="3" applyFont="1" applyAlignment="1">
      <alignment horizontal="center"/>
    </xf>
    <xf numFmtId="0" fontId="8" fillId="0" borderId="0" xfId="3" applyFont="1" applyAlignment="1">
      <alignment horizontal="center"/>
    </xf>
    <xf numFmtId="0" fontId="11" fillId="0" borderId="49" xfId="3" applyFont="1" applyBorder="1" applyAlignment="1">
      <alignment horizontal="center" vertical="center"/>
    </xf>
    <xf numFmtId="0" fontId="11" fillId="0" borderId="54" xfId="3" applyFont="1" applyBorder="1" applyAlignment="1">
      <alignment horizontal="center" vertical="center"/>
    </xf>
    <xf numFmtId="0" fontId="16" fillId="0" borderId="0" xfId="3" applyFont="1" applyAlignment="1">
      <alignment horizontal="center" vertical="center" shrinkToFit="1"/>
    </xf>
    <xf numFmtId="0" fontId="11" fillId="0" borderId="0" xfId="3" applyFont="1" applyAlignment="1">
      <alignment horizontal="center" vertical="center" shrinkToFit="1"/>
    </xf>
    <xf numFmtId="0" fontId="14" fillId="0" borderId="0" xfId="3" applyFont="1" applyAlignment="1">
      <alignment horizontal="center" vertical="center" shrinkToFit="1"/>
    </xf>
    <xf numFmtId="0" fontId="11" fillId="0" borderId="13" xfId="3" applyFont="1" applyBorder="1" applyAlignment="1">
      <alignment horizontal="center" vertical="center" shrinkToFit="1"/>
    </xf>
    <xf numFmtId="0" fontId="5" fillId="0" borderId="2" xfId="3" applyBorder="1" applyAlignment="1">
      <alignment horizontal="center"/>
    </xf>
    <xf numFmtId="0" fontId="16" fillId="0" borderId="0" xfId="3" applyFont="1" applyAlignment="1">
      <alignment horizontal="center" vertical="center"/>
    </xf>
    <xf numFmtId="0" fontId="18" fillId="5" borderId="1" xfId="3" applyFont="1" applyFill="1" applyBorder="1" applyAlignment="1">
      <alignment horizontal="center" vertical="center"/>
    </xf>
    <xf numFmtId="0" fontId="18" fillId="5" borderId="2" xfId="3" applyFont="1" applyFill="1" applyBorder="1" applyAlignment="1">
      <alignment horizontal="center" vertical="center"/>
    </xf>
    <xf numFmtId="0" fontId="18" fillId="5" borderId="4" xfId="3" applyFont="1" applyFill="1" applyBorder="1" applyAlignment="1">
      <alignment horizontal="center" vertical="center"/>
    </xf>
    <xf numFmtId="0" fontId="18" fillId="5" borderId="12" xfId="3" applyFont="1" applyFill="1" applyBorder="1" applyAlignment="1">
      <alignment horizontal="center" vertical="center"/>
    </xf>
    <xf numFmtId="0" fontId="18" fillId="5" borderId="13" xfId="3" applyFont="1" applyFill="1" applyBorder="1" applyAlignment="1">
      <alignment horizontal="center" vertical="center"/>
    </xf>
    <xf numFmtId="0" fontId="18" fillId="5" borderId="14" xfId="3" applyFont="1" applyFill="1" applyBorder="1" applyAlignment="1">
      <alignment horizontal="center" vertical="center"/>
    </xf>
    <xf numFmtId="0" fontId="11" fillId="0" borderId="60" xfId="3" applyFont="1" applyBorder="1" applyAlignment="1">
      <alignment horizontal="center" vertical="center"/>
    </xf>
    <xf numFmtId="0" fontId="11" fillId="0" borderId="59" xfId="3" applyFont="1" applyBorder="1" applyAlignment="1">
      <alignment horizontal="center" vertical="center"/>
    </xf>
    <xf numFmtId="0" fontId="11" fillId="0" borderId="16" xfId="3" applyFont="1" applyBorder="1" applyAlignment="1">
      <alignment horizontal="center" vertical="center"/>
    </xf>
    <xf numFmtId="0" fontId="11" fillId="0" borderId="19" xfId="3" applyFont="1" applyBorder="1" applyAlignment="1">
      <alignment horizontal="center" vertical="center"/>
    </xf>
    <xf numFmtId="0" fontId="14" fillId="0" borderId="0" xfId="3" applyFont="1" applyAlignment="1">
      <alignment horizontal="left" shrinkToFit="1"/>
    </xf>
    <xf numFmtId="0" fontId="9" fillId="0" borderId="0" xfId="0" applyFont="1"/>
    <xf numFmtId="0" fontId="11" fillId="0" borderId="0" xfId="3" applyFont="1" applyAlignment="1">
      <alignment horizontal="center" vertical="center"/>
    </xf>
    <xf numFmtId="167" fontId="34" fillId="0" borderId="0" xfId="3" applyNumberFormat="1" applyFont="1" applyAlignment="1">
      <alignment horizontal="center" vertical="center" shrinkToFit="1"/>
    </xf>
    <xf numFmtId="0" fontId="16" fillId="0" borderId="0" xfId="3" applyFont="1" applyAlignment="1">
      <alignment horizontal="left" shrinkToFit="1"/>
    </xf>
    <xf numFmtId="0" fontId="0" fillId="0" borderId="0" xfId="0"/>
    <xf numFmtId="14" fontId="6" fillId="0" borderId="13" xfId="3" applyNumberFormat="1" applyFon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81" fillId="10" borderId="0" xfId="4" applyNumberFormat="1" applyFont="1" applyFill="1" applyAlignment="1">
      <alignment horizontal="center" vertical="center"/>
    </xf>
    <xf numFmtId="0" fontId="81" fillId="10" borderId="8" xfId="4" applyFont="1" applyFill="1" applyBorder="1" applyAlignment="1">
      <alignment horizontal="center" vertical="center"/>
    </xf>
    <xf numFmtId="49" fontId="81" fillId="8" borderId="0" xfId="4" applyNumberFormat="1" applyFont="1" applyFill="1" applyAlignment="1" applyProtection="1">
      <alignment horizontal="center" vertical="center"/>
      <protection locked="0"/>
    </xf>
    <xf numFmtId="49" fontId="81" fillId="8" borderId="8" xfId="4" applyNumberFormat="1" applyFont="1" applyFill="1" applyBorder="1" applyAlignment="1" applyProtection="1">
      <alignment horizontal="center" vertical="center"/>
      <protection locked="0"/>
    </xf>
    <xf numFmtId="0" fontId="42" fillId="10" borderId="0" xfId="4" applyFont="1" applyFill="1" applyAlignment="1">
      <alignment horizontal="center"/>
    </xf>
    <xf numFmtId="0" fontId="130" fillId="10" borderId="70" xfId="4" applyFont="1" applyFill="1" applyBorder="1" applyAlignment="1">
      <alignment horizontal="center" vertical="center"/>
    </xf>
    <xf numFmtId="0" fontId="130" fillId="10" borderId="71" xfId="4" applyFont="1" applyFill="1" applyBorder="1" applyAlignment="1">
      <alignment horizontal="center" vertical="center"/>
    </xf>
    <xf numFmtId="0" fontId="130" fillId="10" borderId="9" xfId="4" applyFont="1" applyFill="1" applyBorder="1" applyAlignment="1">
      <alignment horizontal="center" vertical="center"/>
    </xf>
    <xf numFmtId="0" fontId="130" fillId="10" borderId="10" xfId="4" applyFont="1" applyFill="1" applyBorder="1" applyAlignment="1">
      <alignment horizontal="center" vertical="center"/>
    </xf>
    <xf numFmtId="0" fontId="129" fillId="11" borderId="0" xfId="4" applyFont="1" applyFill="1" applyAlignment="1" applyProtection="1">
      <alignment horizontal="center" vertical="center" wrapText="1"/>
      <protection locked="0"/>
    </xf>
    <xf numFmtId="0" fontId="42" fillId="9" borderId="0" xfId="4" applyFont="1" applyFill="1" applyAlignment="1">
      <alignment horizontal="center"/>
    </xf>
    <xf numFmtId="167" fontId="81" fillId="8" borderId="0" xfId="4" applyNumberFormat="1" applyFont="1" applyFill="1" applyAlignment="1" applyProtection="1">
      <alignment horizontal="center" vertical="center"/>
      <protection locked="0"/>
    </xf>
    <xf numFmtId="167" fontId="81" fillId="8" borderId="8" xfId="4" applyNumberFormat="1" applyFont="1" applyFill="1" applyBorder="1" applyAlignment="1" applyProtection="1">
      <alignment horizontal="center" vertical="center"/>
      <protection locked="0"/>
    </xf>
    <xf numFmtId="0" fontId="81" fillId="3" borderId="0" xfId="4" applyFont="1" applyFill="1" applyAlignment="1">
      <alignment horizontal="center" vertical="center"/>
    </xf>
    <xf numFmtId="0" fontId="81" fillId="3" borderId="8" xfId="4" applyFont="1" applyFill="1" applyBorder="1" applyAlignment="1">
      <alignment horizontal="center" vertical="center"/>
    </xf>
    <xf numFmtId="0" fontId="42" fillId="12" borderId="141" xfId="7" applyFont="1" applyFill="1" applyBorder="1" applyAlignment="1">
      <alignment horizontal="center" vertical="center"/>
    </xf>
    <xf numFmtId="0" fontId="7" fillId="0" borderId="1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97" fillId="11" borderId="29" xfId="7" applyFont="1" applyFill="1" applyBorder="1" applyAlignment="1" applyProtection="1">
      <alignment horizontal="left" vertical="center"/>
      <protection locked="0"/>
    </xf>
    <xf numFmtId="0" fontId="97" fillId="11" borderId="0" xfId="7" applyFont="1" applyFill="1" applyAlignment="1" applyProtection="1">
      <alignment horizontal="left" vertical="center"/>
      <protection locked="0"/>
    </xf>
    <xf numFmtId="0" fontId="97" fillId="11" borderId="30" xfId="7" applyFont="1" applyFill="1" applyBorder="1" applyAlignment="1" applyProtection="1">
      <alignment horizontal="left" vertical="center"/>
      <protection locked="0"/>
    </xf>
    <xf numFmtId="0" fontId="40" fillId="18" borderId="118" xfId="4" applyFont="1" applyFill="1" applyBorder="1" applyAlignment="1">
      <alignment horizontal="center"/>
    </xf>
    <xf numFmtId="0" fontId="40" fillId="18" borderId="139" xfId="4" applyFont="1" applyFill="1" applyBorder="1" applyAlignment="1">
      <alignment horizontal="center"/>
    </xf>
    <xf numFmtId="0" fontId="40" fillId="18" borderId="101" xfId="4" applyFont="1" applyFill="1" applyBorder="1" applyAlignment="1">
      <alignment horizontal="center"/>
    </xf>
    <xf numFmtId="0" fontId="97" fillId="11" borderId="173" xfId="7" applyFont="1" applyFill="1" applyBorder="1" applyAlignment="1" applyProtection="1">
      <alignment horizontal="left" vertical="center"/>
      <protection locked="0"/>
    </xf>
    <xf numFmtId="0" fontId="97" fillId="11" borderId="134" xfId="7" applyFont="1" applyFill="1" applyBorder="1" applyAlignment="1" applyProtection="1">
      <alignment horizontal="left" vertical="center"/>
      <protection locked="0"/>
    </xf>
    <xf numFmtId="0" fontId="97" fillId="11" borderId="174" xfId="7" applyFont="1" applyFill="1" applyBorder="1" applyAlignment="1" applyProtection="1">
      <alignment horizontal="left" vertical="center"/>
      <protection locked="0"/>
    </xf>
    <xf numFmtId="0" fontId="97" fillId="11" borderId="45" xfId="7" applyFont="1" applyFill="1" applyBorder="1" applyAlignment="1" applyProtection="1">
      <alignment horizontal="left" vertical="center"/>
      <protection locked="0"/>
    </xf>
    <xf numFmtId="0" fontId="97" fillId="11" borderId="46" xfId="7" applyFont="1" applyFill="1" applyBorder="1" applyAlignment="1" applyProtection="1">
      <alignment horizontal="left" vertical="center"/>
      <protection locked="0"/>
    </xf>
    <xf numFmtId="0" fontId="97" fillId="11" borderId="124" xfId="7" applyFont="1" applyFill="1" applyBorder="1" applyAlignment="1" applyProtection="1">
      <alignment horizontal="left" vertical="center"/>
      <protection locked="0"/>
    </xf>
    <xf numFmtId="13" fontId="7" fillId="0" borderId="9" xfId="0" applyNumberFormat="1" applyFont="1" applyBorder="1" applyAlignment="1">
      <alignment horizontal="center" vertical="center" wrapText="1"/>
    </xf>
    <xf numFmtId="13" fontId="7" fillId="0" borderId="165" xfId="0" applyNumberFormat="1" applyFont="1" applyBorder="1" applyAlignment="1">
      <alignment horizontal="center" vertical="center" wrapText="1"/>
    </xf>
    <xf numFmtId="13" fontId="7" fillId="0" borderId="166" xfId="0" applyNumberFormat="1" applyFont="1" applyBorder="1" applyAlignment="1">
      <alignment horizontal="center" vertical="center" wrapText="1"/>
    </xf>
    <xf numFmtId="13" fontId="7" fillId="0" borderId="14" xfId="0" applyNumberFormat="1" applyFont="1" applyBorder="1" applyAlignment="1">
      <alignment horizontal="center" vertical="center" wrapText="1"/>
    </xf>
    <xf numFmtId="13" fontId="7" fillId="0" borderId="114" xfId="0" applyNumberFormat="1" applyFont="1" applyBorder="1" applyAlignment="1">
      <alignment horizontal="center" vertical="center" wrapText="1"/>
    </xf>
    <xf numFmtId="13" fontId="7" fillId="0" borderId="8" xfId="0" applyNumberFormat="1" applyFont="1" applyBorder="1" applyAlignment="1">
      <alignment horizontal="center" vertical="center" wrapText="1"/>
    </xf>
    <xf numFmtId="13" fontId="7" fillId="0" borderId="62" xfId="0" applyNumberFormat="1" applyFont="1" applyBorder="1" applyAlignment="1">
      <alignment horizontal="center" vertical="center" wrapText="1"/>
    </xf>
    <xf numFmtId="13" fontId="7" fillId="0" borderId="126" xfId="0" applyNumberFormat="1" applyFont="1" applyBorder="1" applyAlignment="1">
      <alignment horizontal="center" vertical="center" wrapText="1"/>
    </xf>
    <xf numFmtId="13" fontId="40" fillId="0" borderId="9" xfId="7" applyNumberFormat="1" applyFont="1" applyBorder="1" applyAlignment="1">
      <alignment horizontal="center" vertical="center"/>
    </xf>
    <xf numFmtId="13" fontId="40" fillId="0" borderId="10" xfId="7" applyNumberFormat="1" applyFont="1" applyBorder="1" applyAlignment="1">
      <alignment horizontal="center" vertical="center"/>
    </xf>
    <xf numFmtId="13" fontId="40" fillId="10" borderId="166" xfId="7" applyNumberFormat="1" applyFont="1" applyFill="1" applyBorder="1" applyAlignment="1">
      <alignment horizontal="center" vertical="center"/>
    </xf>
    <xf numFmtId="13" fontId="40" fillId="10" borderId="20" xfId="7" applyNumberFormat="1" applyFont="1" applyFill="1" applyBorder="1" applyAlignment="1">
      <alignment horizontal="center" vertical="center"/>
    </xf>
    <xf numFmtId="13" fontId="40" fillId="0" borderId="114" xfId="7" applyNumberFormat="1" applyFont="1" applyBorder="1" applyAlignment="1">
      <alignment horizontal="center" vertical="center"/>
    </xf>
    <xf numFmtId="13" fontId="40" fillId="0" borderId="115" xfId="7" applyNumberFormat="1" applyFont="1" applyBorder="1" applyAlignment="1">
      <alignment horizontal="center" vertical="center"/>
    </xf>
    <xf numFmtId="13" fontId="40" fillId="10" borderId="62" xfId="7" applyNumberFormat="1" applyFont="1" applyFill="1" applyBorder="1" applyAlignment="1">
      <alignment horizontal="center" vertical="center"/>
    </xf>
    <xf numFmtId="13" fontId="40" fillId="10" borderId="67" xfId="7" applyNumberFormat="1" applyFont="1" applyFill="1" applyBorder="1" applyAlignment="1">
      <alignment horizontal="center" vertical="center"/>
    </xf>
    <xf numFmtId="0" fontId="40" fillId="8" borderId="76" xfId="7" applyFont="1" applyFill="1" applyBorder="1" applyAlignment="1" applyProtection="1">
      <alignment horizontal="center" vertical="center"/>
      <protection locked="0"/>
    </xf>
    <xf numFmtId="0" fontId="40" fillId="8" borderId="95" xfId="7" applyFont="1" applyFill="1" applyBorder="1" applyAlignment="1" applyProtection="1">
      <alignment horizontal="center" vertical="center"/>
      <protection locked="0"/>
    </xf>
    <xf numFmtId="0" fontId="78" fillId="0" borderId="24" xfId="7" applyFont="1" applyBorder="1" applyAlignment="1">
      <alignment horizontal="center"/>
    </xf>
    <xf numFmtId="0" fontId="78" fillId="0" borderId="22" xfId="7" applyFont="1" applyBorder="1" applyAlignment="1">
      <alignment horizontal="center"/>
    </xf>
    <xf numFmtId="0" fontId="78" fillId="0" borderId="13" xfId="7" applyFont="1" applyBorder="1" applyAlignment="1">
      <alignment horizontal="center"/>
    </xf>
    <xf numFmtId="0" fontId="78" fillId="0" borderId="25" xfId="7" applyFont="1" applyBorder="1" applyAlignment="1">
      <alignment horizontal="center"/>
    </xf>
    <xf numFmtId="0" fontId="40" fillId="8" borderId="153" xfId="7" applyFont="1" applyFill="1" applyBorder="1" applyAlignment="1" applyProtection="1">
      <alignment horizontal="center" vertical="center"/>
      <protection locked="0"/>
    </xf>
    <xf numFmtId="0" fontId="40" fillId="8" borderId="74" xfId="7" applyFont="1" applyFill="1" applyBorder="1" applyAlignment="1" applyProtection="1">
      <alignment horizontal="center" vertical="center"/>
      <protection locked="0"/>
    </xf>
    <xf numFmtId="13" fontId="6" fillId="3" borderId="0" xfId="3" quotePrefix="1" applyNumberFormat="1" applyFont="1" applyFill="1" applyAlignment="1">
      <alignment horizontal="center" vertical="center"/>
    </xf>
    <xf numFmtId="13" fontId="6" fillId="3" borderId="0" xfId="3" applyNumberFormat="1" applyFont="1" applyFill="1" applyAlignment="1">
      <alignment horizontal="center" vertical="center"/>
    </xf>
    <xf numFmtId="13" fontId="40" fillId="8" borderId="94" xfId="7" applyNumberFormat="1" applyFont="1" applyFill="1" applyBorder="1" applyAlignment="1" applyProtection="1">
      <alignment horizontal="center" vertical="center"/>
      <protection locked="0"/>
    </xf>
    <xf numFmtId="13" fontId="40" fillId="8" borderId="38" xfId="7" applyNumberFormat="1" applyFont="1" applyFill="1" applyBorder="1" applyAlignment="1" applyProtection="1">
      <alignment horizontal="center" vertical="center"/>
      <protection locked="0"/>
    </xf>
    <xf numFmtId="0" fontId="2" fillId="0" borderId="0" xfId="7" applyAlignment="1">
      <alignment horizontal="center" vertical="center" wrapText="1"/>
    </xf>
    <xf numFmtId="0" fontId="40" fillId="10" borderId="86" xfId="7" applyFont="1" applyFill="1" applyBorder="1" applyAlignment="1">
      <alignment horizontal="center" vertical="center" wrapText="1"/>
    </xf>
    <xf numFmtId="0" fontId="7" fillId="0" borderId="87" xfId="0" applyFont="1" applyBorder="1" applyAlignment="1">
      <alignment horizontal="center" vertical="center" wrapText="1"/>
    </xf>
    <xf numFmtId="0" fontId="7" fillId="0" borderId="128" xfId="0" applyFont="1" applyBorder="1" applyAlignment="1">
      <alignment horizontal="center" vertical="center" wrapText="1"/>
    </xf>
    <xf numFmtId="0" fontId="42" fillId="9" borderId="0" xfId="7" applyFont="1" applyFill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6" fillId="12" borderId="157" xfId="7" applyFont="1" applyFill="1" applyBorder="1" applyAlignment="1">
      <alignment horizontal="center" vertical="center"/>
    </xf>
    <xf numFmtId="0" fontId="93" fillId="0" borderId="22" xfId="0" applyFont="1" applyBorder="1" applyAlignment="1">
      <alignment horizontal="center" vertical="center"/>
    </xf>
    <xf numFmtId="0" fontId="93" fillId="0" borderId="25" xfId="0" applyFont="1" applyBorder="1" applyAlignment="1">
      <alignment horizontal="center" vertical="center"/>
    </xf>
    <xf numFmtId="0" fontId="42" fillId="8" borderId="24" xfId="7" applyFont="1" applyFill="1" applyBorder="1" applyAlignment="1" applyProtection="1">
      <alignment horizontal="center" vertical="center"/>
      <protection locked="0"/>
    </xf>
    <xf numFmtId="0" fontId="40" fillId="0" borderId="22" xfId="0" applyFont="1" applyBorder="1" applyAlignment="1">
      <alignment horizontal="center"/>
    </xf>
    <xf numFmtId="0" fontId="40" fillId="0" borderId="25" xfId="0" applyFont="1" applyBorder="1" applyAlignment="1">
      <alignment horizontal="center"/>
    </xf>
    <xf numFmtId="12" fontId="40" fillId="10" borderId="2" xfId="7" applyNumberFormat="1" applyFont="1" applyFill="1" applyBorder="1" applyAlignment="1">
      <alignment horizontal="center" vertical="center"/>
    </xf>
    <xf numFmtId="12" fontId="7" fillId="0" borderId="2" xfId="0" applyNumberFormat="1" applyFont="1" applyBorder="1" applyAlignment="1">
      <alignment horizontal="center" vertical="center"/>
    </xf>
    <xf numFmtId="12" fontId="7" fillId="0" borderId="4" xfId="0" applyNumberFormat="1" applyFont="1" applyBorder="1" applyAlignment="1">
      <alignment horizontal="center" vertical="center"/>
    </xf>
    <xf numFmtId="0" fontId="40" fillId="11" borderId="1" xfId="7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>
      <alignment horizontal="center" vertical="center" wrapText="1"/>
    </xf>
    <xf numFmtId="0" fontId="7" fillId="0" borderId="84" xfId="0" applyFont="1" applyBorder="1" applyAlignment="1">
      <alignment horizontal="center" vertical="center" wrapText="1"/>
    </xf>
    <xf numFmtId="0" fontId="7" fillId="0" borderId="8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92" xfId="0" applyFont="1" applyBorder="1" applyAlignment="1">
      <alignment horizontal="center" vertical="center" wrapText="1"/>
    </xf>
    <xf numFmtId="0" fontId="76" fillId="10" borderId="0" xfId="7" applyFont="1" applyFill="1" applyAlignment="1">
      <alignment horizontal="center" vertical="center"/>
    </xf>
    <xf numFmtId="0" fontId="42" fillId="10" borderId="36" xfId="7" applyFont="1" applyFill="1" applyBorder="1" applyAlignment="1">
      <alignment horizontal="center" vertical="center"/>
    </xf>
    <xf numFmtId="0" fontId="7" fillId="0" borderId="92" xfId="0" applyFont="1" applyBorder="1" applyAlignment="1">
      <alignment horizontal="center"/>
    </xf>
    <xf numFmtId="14" fontId="42" fillId="10" borderId="0" xfId="7" applyNumberFormat="1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7" fillId="0" borderId="8" xfId="0" applyNumberFormat="1" applyFont="1" applyBorder="1" applyAlignment="1">
      <alignment horizontal="center" vertical="center"/>
    </xf>
    <xf numFmtId="0" fontId="40" fillId="0" borderId="24" xfId="7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5" xfId="0" applyFont="1" applyBorder="1" applyProtection="1">
      <protection locked="0"/>
    </xf>
    <xf numFmtId="0" fontId="78" fillId="0" borderId="24" xfId="7" applyFont="1" applyBorder="1" applyAlignment="1" applyProtection="1">
      <alignment horizontal="center"/>
      <protection locked="0"/>
    </xf>
    <xf numFmtId="0" fontId="78" fillId="0" borderId="22" xfId="7" applyFont="1" applyBorder="1" applyAlignment="1" applyProtection="1">
      <alignment horizontal="center"/>
      <protection locked="0"/>
    </xf>
    <xf numFmtId="0" fontId="78" fillId="0" borderId="25" xfId="7" applyFont="1" applyBorder="1" applyAlignment="1" applyProtection="1">
      <alignment horizontal="center"/>
      <protection locked="0"/>
    </xf>
    <xf numFmtId="13" fontId="73" fillId="3" borderId="15" xfId="7" applyNumberFormat="1" applyFont="1" applyFill="1" applyBorder="1" applyAlignment="1" applyProtection="1">
      <alignment horizontal="center" vertical="center"/>
      <protection locked="0"/>
    </xf>
    <xf numFmtId="13" fontId="9" fillId="3" borderId="16" xfId="0" applyNumberFormat="1" applyFont="1" applyFill="1" applyBorder="1" applyAlignment="1" applyProtection="1">
      <alignment horizontal="center" vertical="center"/>
      <protection locked="0"/>
    </xf>
    <xf numFmtId="13" fontId="9" fillId="3" borderId="53" xfId="0" applyNumberFormat="1" applyFont="1" applyFill="1" applyBorder="1" applyAlignment="1" applyProtection="1">
      <alignment horizontal="center" vertical="center"/>
      <protection locked="0"/>
    </xf>
    <xf numFmtId="13" fontId="9" fillId="3" borderId="49" xfId="0" applyNumberFormat="1" applyFont="1" applyFill="1" applyBorder="1" applyAlignment="1" applyProtection="1">
      <alignment horizontal="center" vertical="center"/>
      <protection locked="0"/>
    </xf>
    <xf numFmtId="13" fontId="73" fillId="3" borderId="16" xfId="7" applyNumberFormat="1" applyFont="1" applyFill="1" applyBorder="1" applyAlignment="1" applyProtection="1">
      <alignment horizontal="center" vertical="center"/>
      <protection locked="0"/>
    </xf>
    <xf numFmtId="13" fontId="9" fillId="3" borderId="19" xfId="0" applyNumberFormat="1" applyFont="1" applyFill="1" applyBorder="1" applyAlignment="1" applyProtection="1">
      <alignment horizontal="center" vertical="center"/>
      <protection locked="0"/>
    </xf>
    <xf numFmtId="13" fontId="9" fillId="3" borderId="54" xfId="0" applyNumberFormat="1" applyFont="1" applyFill="1" applyBorder="1" applyAlignment="1" applyProtection="1">
      <alignment horizontal="center" vertical="center"/>
      <protection locked="0"/>
    </xf>
    <xf numFmtId="0" fontId="40" fillId="8" borderId="73" xfId="7" applyFont="1" applyFill="1" applyBorder="1" applyAlignment="1" applyProtection="1">
      <alignment horizontal="center" vertical="center" wrapText="1"/>
      <protection locked="0"/>
    </xf>
    <xf numFmtId="0" fontId="40" fillId="8" borderId="37" xfId="7" applyFont="1" applyFill="1" applyBorder="1" applyAlignment="1" applyProtection="1">
      <alignment horizontal="center" vertical="center" wrapText="1"/>
      <protection locked="0"/>
    </xf>
    <xf numFmtId="0" fontId="40" fillId="8" borderId="80" xfId="7" applyFont="1" applyFill="1" applyBorder="1" applyAlignment="1" applyProtection="1">
      <alignment horizontal="center" vertical="center" wrapText="1"/>
      <protection locked="0"/>
    </xf>
    <xf numFmtId="13" fontId="73" fillId="11" borderId="79" xfId="7" applyNumberFormat="1" applyFont="1" applyFill="1" applyBorder="1" applyAlignment="1" applyProtection="1">
      <alignment horizontal="center" vertical="center" wrapText="1"/>
      <protection hidden="1"/>
    </xf>
    <xf numFmtId="13" fontId="73" fillId="11" borderId="81" xfId="7" applyNumberFormat="1" applyFont="1" applyFill="1" applyBorder="1" applyAlignment="1" applyProtection="1">
      <alignment horizontal="center" vertical="center" wrapText="1"/>
      <protection hidden="1"/>
    </xf>
    <xf numFmtId="13" fontId="73" fillId="11" borderId="78" xfId="7" applyNumberFormat="1" applyFont="1" applyFill="1" applyBorder="1" applyAlignment="1" applyProtection="1">
      <alignment horizontal="center" vertical="center" wrapText="1"/>
      <protection hidden="1"/>
    </xf>
    <xf numFmtId="13" fontId="73" fillId="10" borderId="4" xfId="7" applyNumberFormat="1" applyFont="1" applyFill="1" applyBorder="1" applyAlignment="1" applyProtection="1">
      <alignment horizontal="center" vertical="center" wrapText="1"/>
      <protection hidden="1"/>
    </xf>
    <xf numFmtId="13" fontId="73" fillId="10" borderId="8" xfId="7" applyNumberFormat="1" applyFont="1" applyFill="1" applyBorder="1" applyAlignment="1" applyProtection="1">
      <alignment horizontal="center" vertical="center" wrapText="1"/>
      <protection hidden="1"/>
    </xf>
    <xf numFmtId="13" fontId="73" fillId="10" borderId="14" xfId="7" applyNumberFormat="1" applyFont="1" applyFill="1" applyBorder="1" applyAlignment="1" applyProtection="1">
      <alignment horizontal="center" vertical="center" wrapText="1"/>
      <protection hidden="1"/>
    </xf>
    <xf numFmtId="13" fontId="40" fillId="11" borderId="40" xfId="7" applyNumberFormat="1" applyFont="1" applyFill="1" applyBorder="1" applyAlignment="1" applyProtection="1">
      <alignment horizontal="center" vertical="center"/>
      <protection locked="0"/>
    </xf>
    <xf numFmtId="0" fontId="7" fillId="0" borderId="41" xfId="0" applyFont="1" applyBorder="1" applyAlignment="1" applyProtection="1">
      <alignment horizontal="center" vertical="center"/>
      <protection locked="0"/>
    </xf>
    <xf numFmtId="0" fontId="7" fillId="0" borderId="94" xfId="0" applyFont="1" applyBorder="1" applyAlignment="1" applyProtection="1">
      <alignment horizontal="center" vertical="center"/>
      <protection locked="0"/>
    </xf>
    <xf numFmtId="0" fontId="7" fillId="0" borderId="96" xfId="0" applyFont="1" applyBorder="1" applyAlignment="1" applyProtection="1">
      <alignment horizontal="center" vertical="center"/>
      <protection locked="0"/>
    </xf>
    <xf numFmtId="0" fontId="40" fillId="0" borderId="53" xfId="7" applyFont="1" applyBorder="1" applyProtection="1">
      <protection locked="0"/>
    </xf>
    <xf numFmtId="0" fontId="7" fillId="0" borderId="49" xfId="0" applyFont="1" applyBorder="1" applyProtection="1">
      <protection locked="0"/>
    </xf>
    <xf numFmtId="0" fontId="7" fillId="0" borderId="54" xfId="0" applyFont="1" applyBorder="1" applyProtection="1">
      <protection locked="0"/>
    </xf>
    <xf numFmtId="0" fontId="40" fillId="3" borderId="76" xfId="7" applyFont="1" applyFill="1" applyBorder="1" applyAlignment="1" applyProtection="1">
      <alignment horizontal="center" vertical="center"/>
      <protection locked="0"/>
    </xf>
    <xf numFmtId="0" fontId="40" fillId="3" borderId="77" xfId="7" applyFont="1" applyFill="1" applyBorder="1" applyAlignment="1" applyProtection="1">
      <alignment horizontal="center" vertical="center"/>
      <protection locked="0"/>
    </xf>
    <xf numFmtId="0" fontId="40" fillId="8" borderId="79" xfId="7" applyFont="1" applyFill="1" applyBorder="1" applyAlignment="1" applyProtection="1">
      <alignment horizontal="center" vertical="center" wrapText="1"/>
      <protection locked="0"/>
    </xf>
    <xf numFmtId="0" fontId="40" fillId="8" borderId="81" xfId="7" applyFont="1" applyFill="1" applyBorder="1" applyAlignment="1" applyProtection="1">
      <alignment horizontal="center" vertical="center" wrapText="1"/>
      <protection locked="0"/>
    </xf>
    <xf numFmtId="0" fontId="40" fillId="8" borderId="78" xfId="7" applyFont="1" applyFill="1" applyBorder="1" applyAlignment="1" applyProtection="1">
      <alignment horizontal="center" vertical="center" wrapText="1"/>
      <protection locked="0"/>
    </xf>
    <xf numFmtId="0" fontId="40" fillId="3" borderId="53" xfId="7" applyFont="1" applyFill="1" applyBorder="1" applyProtection="1">
      <protection locked="0"/>
    </xf>
    <xf numFmtId="0" fontId="7" fillId="3" borderId="49" xfId="0" applyFont="1" applyFill="1" applyBorder="1" applyProtection="1">
      <protection locked="0"/>
    </xf>
    <xf numFmtId="0" fontId="7" fillId="3" borderId="54" xfId="0" applyFont="1" applyFill="1" applyBorder="1" applyProtection="1">
      <protection locked="0"/>
    </xf>
    <xf numFmtId="0" fontId="77" fillId="0" borderId="0" xfId="0" applyFont="1" applyAlignment="1">
      <alignment horizontal="center" vertical="center"/>
    </xf>
    <xf numFmtId="0" fontId="77" fillId="0" borderId="8" xfId="0" applyFont="1" applyBorder="1" applyAlignment="1">
      <alignment horizontal="center" vertical="center"/>
    </xf>
    <xf numFmtId="0" fontId="40" fillId="10" borderId="118" xfId="7" applyFont="1" applyFill="1" applyBorder="1" applyAlignment="1" applyProtection="1">
      <alignment horizontal="center" vertical="center"/>
      <protection locked="0"/>
    </xf>
    <xf numFmtId="0" fontId="7" fillId="0" borderId="101" xfId="0" applyFont="1" applyBorder="1" applyAlignment="1" applyProtection="1">
      <alignment horizontal="center" vertical="center"/>
      <protection locked="0"/>
    </xf>
    <xf numFmtId="0" fontId="40" fillId="0" borderId="1" xfId="7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40" fillId="10" borderId="118" xfId="7" applyFont="1" applyFill="1" applyBorder="1" applyAlignment="1">
      <alignment horizontal="center" vertical="center"/>
    </xf>
    <xf numFmtId="0" fontId="7" fillId="0" borderId="101" xfId="0" applyFont="1" applyBorder="1" applyAlignment="1">
      <alignment horizontal="center" vertical="center"/>
    </xf>
    <xf numFmtId="0" fontId="78" fillId="10" borderId="0" xfId="7" applyFont="1" applyFill="1" applyAlignment="1">
      <alignment horizontal="center" vertical="center"/>
    </xf>
    <xf numFmtId="0" fontId="78" fillId="10" borderId="8" xfId="7" applyFont="1" applyFill="1" applyBorder="1" applyAlignment="1">
      <alignment horizontal="center" vertical="center"/>
    </xf>
    <xf numFmtId="0" fontId="78" fillId="10" borderId="138" xfId="7" applyFont="1" applyFill="1" applyBorder="1" applyAlignment="1" applyProtection="1">
      <alignment horizontal="center" vertical="center"/>
      <protection locked="0"/>
    </xf>
    <xf numFmtId="0" fontId="78" fillId="10" borderId="137" xfId="7" applyFont="1" applyFill="1" applyBorder="1" applyAlignment="1" applyProtection="1">
      <alignment horizontal="center" vertical="center"/>
      <protection locked="0"/>
    </xf>
    <xf numFmtId="0" fontId="40" fillId="0" borderId="42" xfId="7" applyFont="1" applyBorder="1" applyProtection="1">
      <protection locked="0"/>
    </xf>
    <xf numFmtId="0" fontId="7" fillId="0" borderId="42" xfId="0" applyFont="1" applyBorder="1" applyProtection="1">
      <protection locked="0"/>
    </xf>
    <xf numFmtId="0" fontId="7" fillId="0" borderId="12" xfId="0" applyFont="1" applyBorder="1" applyProtection="1">
      <protection locked="0"/>
    </xf>
    <xf numFmtId="0" fontId="40" fillId="0" borderId="128" xfId="7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0" fontId="7" fillId="0" borderId="128" xfId="0" applyFont="1" applyBorder="1" applyAlignment="1" applyProtection="1">
      <alignment horizontal="center" vertical="center" wrapText="1"/>
      <protection locked="0"/>
    </xf>
    <xf numFmtId="0" fontId="7" fillId="0" borderId="128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0" borderId="8" xfId="0" applyFont="1" applyBorder="1" applyProtection="1">
      <protection locked="0"/>
    </xf>
    <xf numFmtId="0" fontId="7" fillId="0" borderId="13" xfId="0" applyFont="1" applyBorder="1" applyProtection="1">
      <protection locked="0"/>
    </xf>
    <xf numFmtId="0" fontId="7" fillId="0" borderId="14" xfId="0" applyFont="1" applyBorder="1" applyProtection="1">
      <protection locked="0"/>
    </xf>
    <xf numFmtId="0" fontId="40" fillId="0" borderId="36" xfId="7" applyFont="1" applyBorder="1" applyProtection="1">
      <protection locked="0"/>
    </xf>
    <xf numFmtId="0" fontId="80" fillId="8" borderId="1" xfId="7" applyFont="1" applyFill="1" applyBorder="1" applyAlignment="1" applyProtection="1">
      <alignment vertical="center"/>
      <protection locked="0"/>
    </xf>
    <xf numFmtId="0" fontId="7" fillId="0" borderId="2" xfId="0" applyFont="1" applyBorder="1" applyProtection="1">
      <protection locked="0"/>
    </xf>
    <xf numFmtId="0" fontId="7" fillId="0" borderId="107" xfId="0" applyFont="1" applyBorder="1" applyProtection="1">
      <protection locked="0"/>
    </xf>
    <xf numFmtId="0" fontId="7" fillId="0" borderId="138" xfId="0" applyFont="1" applyBorder="1" applyProtection="1">
      <protection locked="0"/>
    </xf>
    <xf numFmtId="0" fontId="40" fillId="10" borderId="2" xfId="7" applyFont="1" applyFill="1" applyBorder="1" applyAlignment="1" applyProtection="1">
      <alignment horizontal="center" vertical="center"/>
      <protection locked="0"/>
    </xf>
    <xf numFmtId="0" fontId="40" fillId="10" borderId="4" xfId="7" applyFont="1" applyFill="1" applyBorder="1" applyAlignment="1" applyProtection="1">
      <alignment horizontal="center" vertical="center"/>
      <protection locked="0"/>
    </xf>
    <xf numFmtId="0" fontId="76" fillId="10" borderId="0" xfId="7" applyFont="1" applyFill="1" applyAlignment="1" applyProtection="1">
      <alignment horizontal="center" vertical="center"/>
      <protection locked="0"/>
    </xf>
    <xf numFmtId="0" fontId="76" fillId="10" borderId="8" xfId="7" applyFont="1" applyFill="1" applyBorder="1" applyAlignment="1" applyProtection="1">
      <alignment horizontal="center" vertical="center"/>
      <protection locked="0"/>
    </xf>
    <xf numFmtId="0" fontId="42" fillId="10" borderId="0" xfId="7" applyFont="1" applyFill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2" fillId="10" borderId="102" xfId="7" applyFont="1" applyFill="1" applyBorder="1" applyAlignment="1">
      <alignment horizontal="center" vertical="center"/>
    </xf>
    <xf numFmtId="0" fontId="41" fillId="0" borderId="10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4" fontId="78" fillId="10" borderId="0" xfId="7" applyNumberFormat="1" applyFont="1" applyFill="1" applyAlignment="1">
      <alignment horizontal="center" vertical="center"/>
    </xf>
    <xf numFmtId="14" fontId="78" fillId="10" borderId="8" xfId="7" applyNumberFormat="1" applyFont="1" applyFill="1" applyBorder="1" applyAlignment="1">
      <alignment horizontal="center" vertical="center"/>
    </xf>
    <xf numFmtId="0" fontId="7" fillId="0" borderId="134" xfId="0" applyFont="1" applyBorder="1" applyAlignment="1" applyProtection="1">
      <alignment horizontal="center" vertical="center"/>
      <protection locked="0"/>
    </xf>
    <xf numFmtId="0" fontId="42" fillId="0" borderId="24" xfId="7" applyFont="1" applyBorder="1" applyAlignment="1" applyProtection="1">
      <alignment horizontal="center" vertical="center"/>
      <protection locked="0"/>
    </xf>
    <xf numFmtId="0" fontId="41" fillId="0" borderId="22" xfId="0" applyFont="1" applyBorder="1" applyAlignment="1" applyProtection="1">
      <alignment horizontal="center" vertical="center"/>
      <protection locked="0"/>
    </xf>
    <xf numFmtId="0" fontId="42" fillId="0" borderId="22" xfId="7" applyFont="1" applyBorder="1" applyAlignment="1" applyProtection="1">
      <alignment horizontal="center" vertical="center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2" fillId="12" borderId="160" xfId="7" applyFont="1" applyFill="1" applyBorder="1" applyAlignment="1" applyProtection="1">
      <alignment horizontal="center" vertical="center"/>
      <protection locked="0"/>
    </xf>
    <xf numFmtId="0" fontId="7" fillId="0" borderId="16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128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100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0" borderId="10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7" fillId="0" borderId="125" xfId="0" applyFont="1" applyBorder="1" applyAlignment="1">
      <alignment horizontal="center" vertical="center" wrapText="1"/>
    </xf>
    <xf numFmtId="0" fontId="7" fillId="0" borderId="103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27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61" fillId="0" borderId="12" xfId="0" applyFont="1" applyBorder="1" applyAlignment="1">
      <alignment horizontal="center"/>
    </xf>
    <xf numFmtId="0" fontId="61" fillId="0" borderId="13" xfId="0" applyFont="1" applyBorder="1" applyAlignment="1">
      <alignment horizontal="center"/>
    </xf>
    <xf numFmtId="0" fontId="61" fillId="0" borderId="14" xfId="0" applyFont="1" applyBorder="1" applyAlignment="1">
      <alignment horizontal="center"/>
    </xf>
    <xf numFmtId="0" fontId="61" fillId="0" borderId="5" xfId="0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8" xfId="0" applyFont="1" applyBorder="1" applyAlignment="1">
      <alignment horizontal="center"/>
    </xf>
    <xf numFmtId="0" fontId="0" fillId="0" borderId="122" xfId="0" applyBorder="1" applyAlignment="1">
      <alignment horizontal="center" vertical="center" wrapText="1"/>
    </xf>
    <xf numFmtId="0" fontId="0" fillId="0" borderId="129" xfId="0" applyBorder="1" applyAlignment="1">
      <alignment horizontal="center" vertical="center" wrapText="1"/>
    </xf>
    <xf numFmtId="0" fontId="0" fillId="0" borderId="123" xfId="0" applyBorder="1" applyAlignment="1">
      <alignment horizontal="center" vertical="center" wrapText="1"/>
    </xf>
    <xf numFmtId="0" fontId="0" fillId="0" borderId="114" xfId="0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0" fillId="0" borderId="116" xfId="0" applyBorder="1" applyAlignment="1">
      <alignment horizontal="center" vertical="center" wrapText="1"/>
    </xf>
    <xf numFmtId="0" fontId="0" fillId="0" borderId="117" xfId="0" applyBorder="1" applyAlignment="1">
      <alignment horizontal="center" vertical="center" wrapText="1"/>
    </xf>
    <xf numFmtId="0" fontId="79" fillId="0" borderId="24" xfId="0" applyFont="1" applyBorder="1" applyAlignment="1">
      <alignment horizontal="center" vertical="center"/>
    </xf>
    <xf numFmtId="0" fontId="79" fillId="0" borderId="22" xfId="0" applyFont="1" applyBorder="1" applyAlignment="1">
      <alignment horizontal="center" vertical="center"/>
    </xf>
    <xf numFmtId="0" fontId="79" fillId="0" borderId="25" xfId="0" applyFont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61" fillId="0" borderId="8" xfId="0" applyFont="1" applyBorder="1" applyAlignment="1">
      <alignment horizontal="left"/>
    </xf>
    <xf numFmtId="0" fontId="7" fillId="0" borderId="24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69" fillId="0" borderId="2" xfId="0" applyFont="1" applyBorder="1" applyAlignment="1">
      <alignment horizontal="center" vertical="center"/>
    </xf>
    <xf numFmtId="0" fontId="69" fillId="0" borderId="4" xfId="0" applyFont="1" applyBorder="1" applyAlignment="1">
      <alignment horizontal="center" vertical="center"/>
    </xf>
    <xf numFmtId="14" fontId="7" fillId="0" borderId="100" xfId="0" applyNumberFormat="1" applyFont="1" applyBorder="1" applyAlignment="1">
      <alignment horizontal="center" vertical="center"/>
    </xf>
    <xf numFmtId="14" fontId="7" fillId="0" borderId="25" xfId="0" applyNumberFormat="1" applyFont="1" applyBorder="1" applyAlignment="1">
      <alignment horizontal="center" vertical="center"/>
    </xf>
    <xf numFmtId="0" fontId="78" fillId="0" borderId="118" xfId="7" applyFont="1" applyBorder="1" applyAlignment="1">
      <alignment horizontal="center"/>
    </xf>
    <xf numFmtId="0" fontId="0" fillId="0" borderId="139" xfId="0" applyBorder="1" applyAlignment="1">
      <alignment horizontal="center"/>
    </xf>
    <xf numFmtId="0" fontId="6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12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 wrapText="1"/>
    </xf>
    <xf numFmtId="0" fontId="9" fillId="3" borderId="42" xfId="0" applyFont="1" applyFill="1" applyBorder="1" applyAlignment="1">
      <alignment horizontal="center" vertical="center" wrapText="1"/>
    </xf>
    <xf numFmtId="0" fontId="9" fillId="3" borderId="92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vertical="center" wrapText="1"/>
    </xf>
    <xf numFmtId="0" fontId="9" fillId="3" borderId="4" xfId="0" applyFont="1" applyFill="1" applyBorder="1" applyAlignment="1">
      <alignment vertical="center" wrapText="1"/>
    </xf>
    <xf numFmtId="0" fontId="9" fillId="3" borderId="128" xfId="0" applyFont="1" applyFill="1" applyBorder="1" applyAlignment="1">
      <alignment vertical="center" wrapText="1"/>
    </xf>
    <xf numFmtId="0" fontId="9" fillId="3" borderId="8" xfId="0" applyFont="1" applyFill="1" applyBorder="1" applyAlignment="1">
      <alignment vertical="center" wrapText="1"/>
    </xf>
    <xf numFmtId="0" fontId="9" fillId="3" borderId="164" xfId="0" applyFont="1" applyFill="1" applyBorder="1" applyAlignment="1">
      <alignment vertical="center" wrapText="1"/>
    </xf>
    <xf numFmtId="0" fontId="9" fillId="3" borderId="165" xfId="0" applyFont="1" applyFill="1" applyBorder="1" applyAlignment="1">
      <alignment vertical="center" wrapText="1"/>
    </xf>
    <xf numFmtId="0" fontId="9" fillId="3" borderId="36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92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 wrapText="1"/>
    </xf>
    <xf numFmtId="13" fontId="9" fillId="0" borderId="140" xfId="0" applyNumberFormat="1" applyFont="1" applyBorder="1" applyAlignment="1">
      <alignment horizontal="center" vertical="center"/>
    </xf>
    <xf numFmtId="13" fontId="9" fillId="0" borderId="42" xfId="0" applyNumberFormat="1" applyFont="1" applyBorder="1" applyAlignment="1">
      <alignment horizontal="center" vertical="center"/>
    </xf>
    <xf numFmtId="13" fontId="9" fillId="0" borderId="92" xfId="0" applyNumberFormat="1" applyFont="1" applyBorder="1" applyAlignment="1">
      <alignment horizontal="center" vertical="center"/>
    </xf>
    <xf numFmtId="0" fontId="42" fillId="0" borderId="127" xfId="7" applyFont="1" applyBorder="1" applyAlignment="1">
      <alignment horizontal="center" vertical="center"/>
    </xf>
    <xf numFmtId="0" fontId="7" fillId="0" borderId="127" xfId="0" applyFont="1" applyBorder="1" applyAlignment="1">
      <alignment horizontal="center" vertical="center"/>
    </xf>
    <xf numFmtId="0" fontId="40" fillId="0" borderId="134" xfId="7" applyFont="1" applyBorder="1" applyAlignment="1">
      <alignment horizontal="center" vertical="center"/>
    </xf>
    <xf numFmtId="0" fontId="7" fillId="0" borderId="134" xfId="0" applyFont="1" applyBorder="1" applyAlignment="1">
      <alignment horizontal="center" vertical="center"/>
    </xf>
    <xf numFmtId="0" fontId="42" fillId="0" borderId="0" xfId="7" applyFont="1" applyAlignment="1" applyProtection="1">
      <alignment horizontal="center"/>
      <protection locked="0"/>
    </xf>
    <xf numFmtId="0" fontId="42" fillId="0" borderId="0" xfId="0" applyFont="1" applyAlignment="1">
      <alignment horizontal="center"/>
    </xf>
    <xf numFmtId="0" fontId="41" fillId="0" borderId="0" xfId="0" applyFont="1" applyAlignment="1">
      <alignment horizontal="right" vertical="center"/>
    </xf>
    <xf numFmtId="0" fontId="40" fillId="3" borderId="24" xfId="7" applyFont="1" applyFill="1" applyBorder="1" applyAlignment="1" applyProtection="1">
      <alignment horizontal="center" vertical="center" wrapText="1"/>
      <protection locked="0"/>
    </xf>
    <xf numFmtId="0" fontId="40" fillId="3" borderId="25" xfId="0" applyFont="1" applyFill="1" applyBorder="1" applyAlignment="1">
      <alignment horizontal="center" vertical="center" wrapText="1"/>
    </xf>
    <xf numFmtId="0" fontId="40" fillId="0" borderId="0" xfId="7" applyFont="1"/>
    <xf numFmtId="0" fontId="7" fillId="0" borderId="0" xfId="0" applyFont="1"/>
    <xf numFmtId="0" fontId="7" fillId="0" borderId="127" xfId="0" applyFont="1" applyBorder="1"/>
    <xf numFmtId="0" fontId="75" fillId="0" borderId="0" xfId="0" applyFont="1" applyAlignment="1">
      <alignment horizontal="right"/>
    </xf>
    <xf numFmtId="0" fontId="41" fillId="0" borderId="0" xfId="0" applyFont="1" applyAlignment="1">
      <alignment horizontal="center"/>
    </xf>
    <xf numFmtId="14" fontId="42" fillId="0" borderId="0" xfId="7" applyNumberFormat="1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42" fillId="0" borderId="0" xfId="7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70" fontId="48" fillId="0" borderId="168" xfId="0" applyNumberFormat="1" applyFont="1" applyBorder="1" applyAlignment="1">
      <alignment horizontal="center" vertical="center"/>
    </xf>
    <xf numFmtId="170" fontId="48" fillId="0" borderId="134" xfId="0" applyNumberFormat="1" applyFont="1" applyBorder="1" applyAlignment="1">
      <alignment horizontal="center" vertical="center"/>
    </xf>
    <xf numFmtId="170" fontId="48" fillId="0" borderId="169" xfId="0" applyNumberFormat="1" applyFont="1" applyBorder="1" applyAlignment="1">
      <alignment horizontal="center" vertical="center"/>
    </xf>
    <xf numFmtId="170" fontId="48" fillId="0" borderId="114" xfId="0" applyNumberFormat="1" applyFont="1" applyBorder="1" applyAlignment="1">
      <alignment horizontal="center" vertical="center"/>
    </xf>
    <xf numFmtId="170" fontId="48" fillId="0" borderId="0" xfId="0" applyNumberFormat="1" applyFont="1" applyAlignment="1">
      <alignment horizontal="center" vertical="center"/>
    </xf>
    <xf numFmtId="170" fontId="48" fillId="0" borderId="115" xfId="0" applyNumberFormat="1" applyFont="1" applyBorder="1" applyAlignment="1">
      <alignment horizontal="center" vertical="center"/>
    </xf>
    <xf numFmtId="170" fontId="48" fillId="0" borderId="170" xfId="0" applyNumberFormat="1" applyFont="1" applyBorder="1" applyAlignment="1">
      <alignment horizontal="center" vertical="center"/>
    </xf>
    <xf numFmtId="170" fontId="48" fillId="0" borderId="147" xfId="0" applyNumberFormat="1" applyFont="1" applyBorder="1" applyAlignment="1">
      <alignment horizontal="center" vertical="center"/>
    </xf>
    <xf numFmtId="170" fontId="48" fillId="0" borderId="171" xfId="0" applyNumberFormat="1" applyFont="1" applyBorder="1" applyAlignment="1">
      <alignment horizontal="center" vertical="center"/>
    </xf>
    <xf numFmtId="0" fontId="114" fillId="0" borderId="134" xfId="0" applyFont="1" applyBorder="1" applyAlignment="1">
      <alignment horizontal="left" textRotation="90"/>
    </xf>
    <xf numFmtId="0" fontId="114" fillId="0" borderId="169" xfId="0" applyFont="1" applyBorder="1" applyAlignment="1">
      <alignment horizontal="left" textRotation="90"/>
    </xf>
    <xf numFmtId="0" fontId="114" fillId="0" borderId="0" xfId="0" applyFont="1" applyAlignment="1">
      <alignment horizontal="left" textRotation="90"/>
    </xf>
    <xf numFmtId="0" fontId="114" fillId="0" borderId="115" xfId="0" applyFont="1" applyBorder="1" applyAlignment="1">
      <alignment horizontal="left" textRotation="90"/>
    </xf>
    <xf numFmtId="0" fontId="114" fillId="0" borderId="147" xfId="0" applyFont="1" applyBorder="1" applyAlignment="1">
      <alignment horizontal="left" textRotation="90"/>
    </xf>
    <xf numFmtId="0" fontId="114" fillId="0" borderId="171" xfId="0" applyFont="1" applyBorder="1" applyAlignment="1">
      <alignment horizontal="left" textRotation="90"/>
    </xf>
    <xf numFmtId="0" fontId="114" fillId="0" borderId="168" xfId="0" applyFont="1" applyBorder="1" applyAlignment="1">
      <alignment horizontal="center" vertical="center"/>
    </xf>
    <xf numFmtId="0" fontId="114" fillId="0" borderId="134" xfId="0" applyFont="1" applyBorder="1" applyAlignment="1">
      <alignment horizontal="center" vertical="center"/>
    </xf>
    <xf numFmtId="0" fontId="114" fillId="0" borderId="114" xfId="0" applyFont="1" applyBorder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41" fillId="0" borderId="49" xfId="0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129" xfId="0" applyFont="1" applyBorder="1" applyAlignment="1">
      <alignment horizontal="center" vertical="center"/>
    </xf>
    <xf numFmtId="0" fontId="48" fillId="0" borderId="169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170" xfId="0" applyFont="1" applyBorder="1" applyAlignment="1">
      <alignment horizontal="center" vertical="center"/>
    </xf>
    <xf numFmtId="0" fontId="48" fillId="0" borderId="147" xfId="0" applyFont="1" applyBorder="1" applyAlignment="1">
      <alignment horizontal="center" vertical="center"/>
    </xf>
    <xf numFmtId="0" fontId="48" fillId="0" borderId="171" xfId="0" applyFont="1" applyBorder="1" applyAlignment="1">
      <alignment horizontal="center" vertical="center"/>
    </xf>
    <xf numFmtId="0" fontId="113" fillId="0" borderId="2" xfId="0" applyFont="1" applyBorder="1" applyAlignment="1">
      <alignment horizontal="center" textRotation="90" readingOrder="2"/>
    </xf>
    <xf numFmtId="0" fontId="113" fillId="0" borderId="0" xfId="0" applyFont="1" applyAlignment="1">
      <alignment horizontal="center" textRotation="90" readingOrder="2"/>
    </xf>
    <xf numFmtId="0" fontId="101" fillId="0" borderId="2" xfId="0" applyFont="1" applyBorder="1" applyAlignment="1">
      <alignment horizontal="center" textRotation="90" readingOrder="2"/>
    </xf>
    <xf numFmtId="0" fontId="101" fillId="0" borderId="0" xfId="0" applyFont="1" applyAlignment="1">
      <alignment horizontal="center" textRotation="90" readingOrder="2"/>
    </xf>
    <xf numFmtId="0" fontId="101" fillId="0" borderId="119" xfId="0" applyFont="1" applyBorder="1" applyAlignment="1">
      <alignment horizontal="center" vertical="center"/>
    </xf>
    <xf numFmtId="0" fontId="101" fillId="0" borderId="2" xfId="0" applyFont="1" applyBorder="1" applyAlignment="1">
      <alignment horizontal="center" vertical="center"/>
    </xf>
    <xf numFmtId="0" fontId="101" fillId="0" borderId="120" xfId="0" applyFont="1" applyBorder="1" applyAlignment="1">
      <alignment horizontal="center" vertical="center"/>
    </xf>
    <xf numFmtId="0" fontId="101" fillId="0" borderId="114" xfId="0" applyFont="1" applyBorder="1" applyAlignment="1">
      <alignment horizontal="center" vertical="center"/>
    </xf>
    <xf numFmtId="0" fontId="101" fillId="0" borderId="0" xfId="0" applyFont="1" applyAlignment="1">
      <alignment horizontal="center" vertical="center"/>
    </xf>
    <xf numFmtId="0" fontId="101" fillId="0" borderId="115" xfId="0" applyFont="1" applyBorder="1" applyAlignment="1">
      <alignment horizontal="center" vertical="center"/>
    </xf>
    <xf numFmtId="0" fontId="101" fillId="0" borderId="170" xfId="0" applyFont="1" applyBorder="1" applyAlignment="1">
      <alignment horizontal="center" vertical="center"/>
    </xf>
    <xf numFmtId="0" fontId="101" fillId="0" borderId="147" xfId="0" applyFont="1" applyBorder="1" applyAlignment="1">
      <alignment horizontal="center" vertical="center"/>
    </xf>
    <xf numFmtId="0" fontId="101" fillId="0" borderId="171" xfId="0" applyFont="1" applyBorder="1" applyAlignment="1">
      <alignment horizontal="center" vertical="center"/>
    </xf>
    <xf numFmtId="0" fontId="100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0" fontId="0" fillId="0" borderId="147" xfId="0" applyBorder="1" applyAlignment="1">
      <alignment horizontal="center" vertical="center"/>
    </xf>
    <xf numFmtId="0" fontId="0" fillId="0" borderId="171" xfId="0" applyBorder="1" applyAlignment="1">
      <alignment horizontal="center" vertical="center"/>
    </xf>
    <xf numFmtId="0" fontId="65" fillId="0" borderId="0" xfId="0" applyFont="1" applyAlignment="1">
      <alignment horizontal="center"/>
    </xf>
    <xf numFmtId="0" fontId="71" fillId="0" borderId="168" xfId="0" applyFont="1" applyBorder="1" applyAlignment="1">
      <alignment horizontal="center" vertical="center" wrapText="1"/>
    </xf>
    <xf numFmtId="0" fontId="71" fillId="0" borderId="129" xfId="0" applyFont="1" applyBorder="1" applyAlignment="1">
      <alignment horizontal="center" vertical="center" wrapText="1"/>
    </xf>
    <xf numFmtId="0" fontId="71" fillId="0" borderId="169" xfId="0" applyFont="1" applyBorder="1" applyAlignment="1">
      <alignment horizontal="center" vertical="center" wrapText="1"/>
    </xf>
    <xf numFmtId="0" fontId="71" fillId="0" borderId="114" xfId="0" applyFont="1" applyBorder="1" applyAlignment="1">
      <alignment horizontal="center" vertical="center" wrapText="1"/>
    </xf>
    <xf numFmtId="0" fontId="71" fillId="0" borderId="0" xfId="0" applyFont="1" applyAlignment="1">
      <alignment horizontal="center" vertical="center" wrapText="1"/>
    </xf>
    <xf numFmtId="0" fontId="71" fillId="0" borderId="115" xfId="0" applyFont="1" applyBorder="1" applyAlignment="1">
      <alignment horizontal="center" vertical="center" wrapText="1"/>
    </xf>
    <xf numFmtId="0" fontId="71" fillId="0" borderId="170" xfId="0" applyFont="1" applyBorder="1" applyAlignment="1">
      <alignment horizontal="center" vertical="center" wrapText="1"/>
    </xf>
    <xf numFmtId="0" fontId="71" fillId="0" borderId="147" xfId="0" applyFont="1" applyBorder="1" applyAlignment="1">
      <alignment horizontal="center" vertical="center" wrapText="1"/>
    </xf>
    <xf numFmtId="0" fontId="71" fillId="0" borderId="171" xfId="0" applyFont="1" applyBorder="1" applyAlignment="1">
      <alignment horizontal="center" vertical="center" wrapText="1"/>
    </xf>
    <xf numFmtId="170" fontId="48" fillId="0" borderId="129" xfId="0" applyNumberFormat="1" applyFont="1" applyBorder="1" applyAlignment="1">
      <alignment horizontal="center" vertical="center"/>
    </xf>
    <xf numFmtId="0" fontId="33" fillId="0" borderId="49" xfId="0" applyFont="1" applyBorder="1" applyAlignment="1">
      <alignment horizontal="center" vertical="center"/>
    </xf>
    <xf numFmtId="0" fontId="101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99" fillId="0" borderId="147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170" fontId="48" fillId="0" borderId="49" xfId="0" applyNumberFormat="1" applyFont="1" applyBorder="1" applyAlignment="1">
      <alignment horizontal="center" vertical="center"/>
    </xf>
    <xf numFmtId="0" fontId="48" fillId="0" borderId="49" xfId="0" applyFont="1" applyBorder="1" applyAlignment="1">
      <alignment horizontal="center" vertical="center"/>
    </xf>
    <xf numFmtId="0" fontId="103" fillId="0" borderId="0" xfId="0" applyFont="1" applyAlignment="1">
      <alignment horizontal="left" vertical="center"/>
    </xf>
    <xf numFmtId="0" fontId="104" fillId="0" borderId="49" xfId="0" applyFont="1" applyBorder="1" applyAlignment="1">
      <alignment horizontal="center" vertical="center"/>
    </xf>
    <xf numFmtId="0" fontId="65" fillId="0" borderId="114" xfId="0" applyFont="1" applyBorder="1" applyAlignment="1">
      <alignment horizontal="left" vertical="center"/>
    </xf>
    <xf numFmtId="0" fontId="107" fillId="0" borderId="0" xfId="0" applyFont="1" applyAlignment="1">
      <alignment horizontal="center" vertical="center"/>
    </xf>
    <xf numFmtId="0" fontId="105" fillId="0" borderId="49" xfId="0" applyFont="1" applyBorder="1" applyAlignment="1">
      <alignment horizontal="center" vertical="center"/>
    </xf>
    <xf numFmtId="0" fontId="105" fillId="0" borderId="168" xfId="0" applyFont="1" applyBorder="1" applyAlignment="1">
      <alignment horizontal="center" vertical="center"/>
    </xf>
    <xf numFmtId="0" fontId="106" fillId="0" borderId="129" xfId="0" applyFont="1" applyBorder="1" applyAlignment="1">
      <alignment horizontal="center" vertical="center"/>
    </xf>
    <xf numFmtId="0" fontId="106" fillId="0" borderId="169" xfId="0" applyFont="1" applyBorder="1" applyAlignment="1">
      <alignment horizontal="center" vertical="center"/>
    </xf>
    <xf numFmtId="0" fontId="106" fillId="0" borderId="114" xfId="0" applyFont="1" applyBorder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0" borderId="115" xfId="0" applyFont="1" applyBorder="1" applyAlignment="1">
      <alignment horizontal="center" vertical="center"/>
    </xf>
    <xf numFmtId="0" fontId="106" fillId="0" borderId="170" xfId="0" applyFont="1" applyBorder="1" applyAlignment="1">
      <alignment horizontal="center" vertical="center"/>
    </xf>
    <xf numFmtId="0" fontId="106" fillId="0" borderId="147" xfId="0" applyFont="1" applyBorder="1" applyAlignment="1">
      <alignment horizontal="center" vertical="center"/>
    </xf>
    <xf numFmtId="0" fontId="106" fillId="0" borderId="171" xfId="0" applyFont="1" applyBorder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9" fillId="0" borderId="129" xfId="0" applyFont="1" applyBorder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109" fillId="0" borderId="147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98" fillId="0" borderId="0" xfId="0" applyFont="1" applyAlignment="1">
      <alignment horizontal="center" vertical="center" wrapText="1"/>
    </xf>
    <xf numFmtId="0" fontId="71" fillId="0" borderId="2" xfId="0" applyFont="1" applyBorder="1" applyAlignment="1">
      <alignment horizontal="center" vertical="center" wrapText="1"/>
    </xf>
    <xf numFmtId="0" fontId="106" fillId="0" borderId="168" xfId="0" applyFont="1" applyBorder="1" applyAlignment="1">
      <alignment horizontal="center" vertical="center"/>
    </xf>
    <xf numFmtId="0" fontId="33" fillId="0" borderId="129" xfId="0" applyFont="1" applyBorder="1" applyAlignment="1">
      <alignment horizontal="center" vertical="center"/>
    </xf>
    <xf numFmtId="0" fontId="33" fillId="0" borderId="169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170" xfId="0" applyFont="1" applyBorder="1" applyAlignment="1">
      <alignment horizontal="center" vertical="center"/>
    </xf>
    <xf numFmtId="0" fontId="33" fillId="0" borderId="147" xfId="0" applyFont="1" applyBorder="1" applyAlignment="1">
      <alignment horizontal="center" vertical="center"/>
    </xf>
    <xf numFmtId="0" fontId="33" fillId="0" borderId="171" xfId="0" applyFont="1" applyBorder="1" applyAlignment="1">
      <alignment horizontal="center" vertical="center"/>
    </xf>
    <xf numFmtId="0" fontId="67" fillId="0" borderId="168" xfId="0" applyFont="1" applyBorder="1" applyAlignment="1">
      <alignment horizontal="center" vertical="center"/>
    </xf>
    <xf numFmtId="0" fontId="65" fillId="0" borderId="129" xfId="0" applyFont="1" applyBorder="1" applyAlignment="1">
      <alignment horizontal="center" vertical="center"/>
    </xf>
    <xf numFmtId="0" fontId="65" fillId="0" borderId="169" xfId="0" applyFont="1" applyBorder="1" applyAlignment="1">
      <alignment horizontal="center" vertical="center"/>
    </xf>
    <xf numFmtId="0" fontId="65" fillId="0" borderId="114" xfId="0" applyFont="1" applyBorder="1" applyAlignment="1">
      <alignment horizontal="center" vertical="center"/>
    </xf>
    <xf numFmtId="0" fontId="65" fillId="0" borderId="115" xfId="0" applyFont="1" applyBorder="1" applyAlignment="1">
      <alignment horizontal="center" vertical="center"/>
    </xf>
    <xf numFmtId="0" fontId="65" fillId="0" borderId="170" xfId="0" applyFont="1" applyBorder="1" applyAlignment="1">
      <alignment horizontal="center" vertical="center"/>
    </xf>
    <xf numFmtId="0" fontId="65" fillId="0" borderId="147" xfId="0" applyFont="1" applyBorder="1" applyAlignment="1">
      <alignment horizontal="center" vertical="center"/>
    </xf>
    <xf numFmtId="0" fontId="65" fillId="0" borderId="171" xfId="0" applyFont="1" applyBorder="1" applyAlignment="1">
      <alignment horizontal="center" vertical="center"/>
    </xf>
    <xf numFmtId="0" fontId="93" fillId="0" borderId="0" xfId="0" applyFont="1" applyAlignment="1">
      <alignment horizontal="center" vertical="center" wrapText="1"/>
    </xf>
    <xf numFmtId="0" fontId="7" fillId="0" borderId="147" xfId="0" applyFont="1" applyBorder="1" applyAlignment="1">
      <alignment horizontal="center" vertical="center"/>
    </xf>
    <xf numFmtId="13" fontId="48" fillId="0" borderId="168" xfId="0" applyNumberFormat="1" applyFont="1" applyBorder="1" applyAlignment="1">
      <alignment horizontal="center" vertical="center"/>
    </xf>
    <xf numFmtId="13" fontId="48" fillId="0" borderId="134" xfId="0" applyNumberFormat="1" applyFont="1" applyBorder="1" applyAlignment="1">
      <alignment horizontal="center" vertical="center"/>
    </xf>
    <xf numFmtId="13" fontId="48" fillId="0" borderId="169" xfId="0" applyNumberFormat="1" applyFont="1" applyBorder="1" applyAlignment="1">
      <alignment horizontal="center" vertical="center"/>
    </xf>
    <xf numFmtId="13" fontId="48" fillId="0" borderId="114" xfId="0" applyNumberFormat="1" applyFont="1" applyBorder="1" applyAlignment="1">
      <alignment horizontal="center" vertical="center"/>
    </xf>
    <xf numFmtId="13" fontId="48" fillId="0" borderId="0" xfId="0" applyNumberFormat="1" applyFont="1" applyAlignment="1">
      <alignment horizontal="center" vertical="center"/>
    </xf>
    <xf numFmtId="13" fontId="48" fillId="0" borderId="115" xfId="0" applyNumberFormat="1" applyFont="1" applyBorder="1" applyAlignment="1">
      <alignment horizontal="center" vertical="center"/>
    </xf>
    <xf numFmtId="13" fontId="48" fillId="0" borderId="170" xfId="0" applyNumberFormat="1" applyFont="1" applyBorder="1" applyAlignment="1">
      <alignment horizontal="center" vertical="center"/>
    </xf>
    <xf numFmtId="13" fontId="48" fillId="0" borderId="147" xfId="0" applyNumberFormat="1" applyFont="1" applyBorder="1" applyAlignment="1">
      <alignment horizontal="center" vertical="center"/>
    </xf>
    <xf numFmtId="13" fontId="48" fillId="0" borderId="171" xfId="0" applyNumberFormat="1" applyFon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1" fillId="0" borderId="0" xfId="0" applyFont="1" applyAlignment="1">
      <alignment horizontal="center" vertical="center" textRotation="90"/>
    </xf>
    <xf numFmtId="0" fontId="102" fillId="0" borderId="134" xfId="0" applyFont="1" applyBorder="1" applyAlignment="1">
      <alignment horizontal="center" vertical="center" textRotation="255"/>
    </xf>
    <xf numFmtId="0" fontId="102" fillId="0" borderId="169" xfId="0" applyFont="1" applyBorder="1" applyAlignment="1">
      <alignment horizontal="center" vertical="center" textRotation="255"/>
    </xf>
    <xf numFmtId="0" fontId="102" fillId="0" borderId="0" xfId="0" applyFont="1" applyAlignment="1">
      <alignment horizontal="center" vertical="center" textRotation="255"/>
    </xf>
    <xf numFmtId="0" fontId="102" fillId="0" borderId="115" xfId="0" applyFont="1" applyBorder="1" applyAlignment="1">
      <alignment horizontal="center" vertical="center" textRotation="255"/>
    </xf>
    <xf numFmtId="0" fontId="102" fillId="0" borderId="147" xfId="0" applyFont="1" applyBorder="1" applyAlignment="1">
      <alignment horizontal="center" vertical="center" textRotation="255"/>
    </xf>
    <xf numFmtId="0" fontId="102" fillId="0" borderId="171" xfId="0" applyFont="1" applyBorder="1" applyAlignment="1">
      <alignment horizontal="center" vertical="center" textRotation="255"/>
    </xf>
    <xf numFmtId="0" fontId="102" fillId="0" borderId="134" xfId="0" applyFont="1" applyBorder="1" applyAlignment="1">
      <alignment horizontal="right" vertical="center"/>
    </xf>
    <xf numFmtId="0" fontId="102" fillId="0" borderId="0" xfId="0" applyFont="1" applyAlignment="1">
      <alignment horizontal="right" vertical="center"/>
    </xf>
    <xf numFmtId="0" fontId="101" fillId="0" borderId="168" xfId="0" applyFont="1" applyBorder="1" applyAlignment="1">
      <alignment horizontal="center" vertical="center"/>
    </xf>
    <xf numFmtId="0" fontId="101" fillId="0" borderId="134" xfId="0" applyFont="1" applyBorder="1" applyAlignment="1">
      <alignment horizontal="center" vertical="center"/>
    </xf>
    <xf numFmtId="0" fontId="101" fillId="0" borderId="169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0" fontId="101" fillId="0" borderId="168" xfId="0" applyFont="1" applyBorder="1" applyAlignment="1">
      <alignment horizontal="center" vertical="center" textRotation="90"/>
    </xf>
    <xf numFmtId="0" fontId="101" fillId="0" borderId="169" xfId="0" applyFont="1" applyBorder="1" applyAlignment="1">
      <alignment horizontal="center" vertical="center" textRotation="90"/>
    </xf>
    <xf numFmtId="0" fontId="101" fillId="0" borderId="114" xfId="0" applyFont="1" applyBorder="1" applyAlignment="1">
      <alignment horizontal="center" vertical="center" textRotation="90"/>
    </xf>
    <xf numFmtId="0" fontId="101" fillId="0" borderId="115" xfId="0" applyFont="1" applyBorder="1" applyAlignment="1">
      <alignment horizontal="center" vertical="center" textRotation="90"/>
    </xf>
    <xf numFmtId="0" fontId="101" fillId="0" borderId="170" xfId="0" applyFont="1" applyBorder="1" applyAlignment="1">
      <alignment horizontal="center" vertical="center" textRotation="90"/>
    </xf>
    <xf numFmtId="0" fontId="101" fillId="0" borderId="171" xfId="0" applyFont="1" applyBorder="1" applyAlignment="1">
      <alignment horizontal="center" vertical="center" textRotation="90"/>
    </xf>
    <xf numFmtId="49" fontId="113" fillId="0" borderId="2" xfId="0" applyNumberFormat="1" applyFont="1" applyBorder="1" applyAlignment="1">
      <alignment horizontal="center" textRotation="90" readingOrder="2"/>
    </xf>
    <xf numFmtId="49" fontId="113" fillId="0" borderId="0" xfId="0" applyNumberFormat="1" applyFont="1" applyAlignment="1">
      <alignment horizontal="center" textRotation="90" readingOrder="2"/>
    </xf>
    <xf numFmtId="0" fontId="115" fillId="0" borderId="128" xfId="0" applyFont="1" applyBorder="1" applyAlignment="1">
      <alignment horizontal="right" vertical="center"/>
    </xf>
    <xf numFmtId="0" fontId="115" fillId="0" borderId="0" xfId="0" applyFont="1" applyAlignment="1">
      <alignment horizontal="right" vertical="center"/>
    </xf>
    <xf numFmtId="0" fontId="81" fillId="11" borderId="0" xfId="4" applyFont="1" applyFill="1" applyAlignment="1" applyProtection="1">
      <alignment horizontal="center" vertical="center" wrapText="1"/>
      <protection locked="0"/>
    </xf>
    <xf numFmtId="0" fontId="42" fillId="10" borderId="70" xfId="4" applyFont="1" applyFill="1" applyBorder="1" applyAlignment="1">
      <alignment horizontal="center" vertical="center"/>
    </xf>
    <xf numFmtId="0" fontId="42" fillId="10" borderId="71" xfId="4" applyFont="1" applyFill="1" applyBorder="1" applyAlignment="1">
      <alignment horizontal="center" vertical="center"/>
    </xf>
    <xf numFmtId="0" fontId="42" fillId="10" borderId="9" xfId="4" applyFont="1" applyFill="1" applyBorder="1" applyAlignment="1">
      <alignment horizontal="center" vertical="center"/>
    </xf>
    <xf numFmtId="0" fontId="42" fillId="10" borderId="10" xfId="4" applyFont="1" applyFill="1" applyBorder="1" applyAlignment="1">
      <alignment horizontal="center" vertical="center"/>
    </xf>
    <xf numFmtId="0" fontId="116" fillId="0" borderId="0" xfId="0" applyFont="1" applyAlignment="1">
      <alignment horizontal="right" vertical="center"/>
    </xf>
    <xf numFmtId="0" fontId="0" fillId="0" borderId="2" xfId="0" applyBorder="1" applyAlignment="1">
      <alignment horizontal="center"/>
    </xf>
    <xf numFmtId="0" fontId="0" fillId="0" borderId="147" xfId="0" applyBorder="1" applyAlignment="1">
      <alignment horizontal="left" vertical="center"/>
    </xf>
    <xf numFmtId="0" fontId="120" fillId="0" borderId="0" xfId="0" applyFont="1" applyAlignment="1">
      <alignment horizontal="left" vertical="center"/>
    </xf>
    <xf numFmtId="0" fontId="0" fillId="0" borderId="147" xfId="0" applyBorder="1" applyAlignment="1">
      <alignment horizontal="center"/>
    </xf>
    <xf numFmtId="14" fontId="0" fillId="0" borderId="0" xfId="0" applyNumberFormat="1" applyAlignment="1">
      <alignment horizontal="left" vertical="center"/>
    </xf>
    <xf numFmtId="14" fontId="0" fillId="0" borderId="147" xfId="0" applyNumberFormat="1" applyBorder="1" applyAlignment="1">
      <alignment horizontal="left" vertical="center"/>
    </xf>
    <xf numFmtId="0" fontId="0" fillId="0" borderId="0" xfId="0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120" fillId="0" borderId="0" xfId="0" applyFont="1" applyAlignment="1">
      <alignment horizontal="right" vertical="center"/>
    </xf>
    <xf numFmtId="0" fontId="120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5" fillId="0" borderId="4" xfId="0" applyFont="1" applyBorder="1" applyAlignment="1">
      <alignment horizontal="center" vertical="center"/>
    </xf>
    <xf numFmtId="0" fontId="65" fillId="0" borderId="128" xfId="0" applyFont="1" applyBorder="1" applyAlignment="1">
      <alignment horizontal="center" vertical="center"/>
    </xf>
    <xf numFmtId="0" fontId="65" fillId="0" borderId="8" xfId="0" applyFont="1" applyBorder="1" applyAlignment="1">
      <alignment horizontal="center" vertical="center"/>
    </xf>
    <xf numFmtId="0" fontId="65" fillId="0" borderId="12" xfId="0" applyFont="1" applyBorder="1" applyAlignment="1">
      <alignment horizontal="center" vertical="center"/>
    </xf>
    <xf numFmtId="0" fontId="65" fillId="0" borderId="13" xfId="0" applyFont="1" applyBorder="1" applyAlignment="1">
      <alignment horizontal="center" vertical="center"/>
    </xf>
    <xf numFmtId="0" fontId="65" fillId="0" borderId="14" xfId="0" applyFont="1" applyBorder="1" applyAlignment="1">
      <alignment horizontal="center" vertical="center"/>
    </xf>
    <xf numFmtId="0" fontId="65" fillId="0" borderId="168" xfId="0" applyFont="1" applyBorder="1" applyAlignment="1">
      <alignment horizontal="center" vertical="center"/>
    </xf>
    <xf numFmtId="0" fontId="65" fillId="0" borderId="134" xfId="0" applyFont="1" applyBorder="1" applyAlignment="1">
      <alignment horizontal="center" vertical="center"/>
    </xf>
    <xf numFmtId="0" fontId="65" fillId="0" borderId="178" xfId="0" applyFont="1" applyBorder="1" applyAlignment="1">
      <alignment horizontal="center" vertical="center"/>
    </xf>
    <xf numFmtId="0" fontId="65" fillId="0" borderId="177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3" fontId="111" fillId="0" borderId="133" xfId="0" applyNumberFormat="1" applyFont="1" applyBorder="1" applyAlignment="1">
      <alignment horizontal="center" vertical="center"/>
    </xf>
    <xf numFmtId="13" fontId="111" fillId="0" borderId="132" xfId="0" applyNumberFormat="1" applyFont="1" applyBorder="1" applyAlignment="1">
      <alignment horizontal="center" vertical="center"/>
    </xf>
    <xf numFmtId="0" fontId="65" fillId="0" borderId="133" xfId="0" applyFont="1" applyBorder="1" applyAlignment="1">
      <alignment horizontal="center" vertical="center"/>
    </xf>
    <xf numFmtId="0" fontId="65" fillId="0" borderId="132" xfId="0" applyFont="1" applyBorder="1" applyAlignment="1">
      <alignment horizontal="center" vertical="center"/>
    </xf>
    <xf numFmtId="0" fontId="0" fillId="0" borderId="133" xfId="0" applyBorder="1" applyAlignment="1">
      <alignment horizontal="center"/>
    </xf>
    <xf numFmtId="0" fontId="0" fillId="0" borderId="132" xfId="0" applyBorder="1" applyAlignment="1">
      <alignment horizontal="center"/>
    </xf>
    <xf numFmtId="0" fontId="70" fillId="0" borderId="0" xfId="3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3"/>
    <xf numFmtId="0" fontId="4" fillId="0" borderId="0" xfId="3" applyFont="1" applyAlignment="1">
      <alignment horizontal="center" vertical="center"/>
    </xf>
    <xf numFmtId="0" fontId="19" fillId="6" borderId="1" xfId="2" applyFont="1" applyFill="1" applyBorder="1" applyAlignment="1">
      <alignment horizontal="center" vertical="center"/>
    </xf>
    <xf numFmtId="0" fontId="19" fillId="6" borderId="2" xfId="2" applyFont="1" applyFill="1" applyBorder="1" applyAlignment="1">
      <alignment horizontal="center" vertical="center"/>
    </xf>
    <xf numFmtId="0" fontId="19" fillId="6" borderId="4" xfId="2" applyFont="1" applyFill="1" applyBorder="1" applyAlignment="1">
      <alignment horizontal="center" vertical="center"/>
    </xf>
  </cellXfs>
  <cellStyles count="10">
    <cellStyle name="Currency" xfId="1" builtinId="4"/>
    <cellStyle name="Hyperlink" xfId="8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2 3" xfId="5" xr:uid="{00000000-0005-0000-0000-000004000000}"/>
    <cellStyle name="Normal 3" xfId="4" xr:uid="{00000000-0005-0000-0000-000005000000}"/>
    <cellStyle name="Normal 3 2" xfId="7" xr:uid="{C1E7A2E4-5242-4B98-ACFD-F0501A9EE15A}"/>
    <cellStyle name="Normal 4" xfId="6" xr:uid="{00000000-0005-0000-0000-000006000000}"/>
    <cellStyle name="Normal 5" xfId="9" xr:uid="{8FCEC5E0-CEB7-4B19-9FA1-213F9B27F1A3}"/>
  </cellStyles>
  <dxfs count="2">
    <dxf>
      <font>
        <condense val="0"/>
        <extend val="0"/>
        <color indexed="10"/>
      </font>
    </dxf>
    <dxf>
      <font>
        <b/>
        <i val="0"/>
        <condense val="0"/>
        <extend val="0"/>
      </font>
      <fill>
        <patternFill patternType="none">
          <bgColor indexed="65"/>
        </patternFill>
      </fill>
      <border>
        <left/>
        <right/>
        <top/>
        <bottom/>
      </border>
    </dxf>
  </dxfs>
  <tableStyles count="1" defaultTableStyle="TableStyleMedium9" defaultPivotStyle="PivotStyleLight16">
    <tableStyle name="Invisible" pivot="0" table="0" count="0" xr9:uid="{190BE185-9CBF-474E-8307-10139BEF6A0D}"/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RichValueStructure" Target="richData/rdrichvaluestructure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C$10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jpg"/><Relationship Id="rId2" Type="http://schemas.openxmlformats.org/officeDocument/2006/relationships/image" Target="../media/image36.jpg"/><Relationship Id="rId1" Type="http://schemas.openxmlformats.org/officeDocument/2006/relationships/image" Target="../media/image35.jp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7.emf"/><Relationship Id="rId3" Type="http://schemas.openxmlformats.org/officeDocument/2006/relationships/image" Target="../media/image18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2" Type="http://schemas.openxmlformats.org/officeDocument/2006/relationships/image" Target="../media/image17.emf"/><Relationship Id="rId16" Type="http://schemas.openxmlformats.org/officeDocument/2006/relationships/image" Target="../media/image2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11.emf"/><Relationship Id="rId5" Type="http://schemas.openxmlformats.org/officeDocument/2006/relationships/image" Target="../media/image15.emf"/><Relationship Id="rId15" Type="http://schemas.openxmlformats.org/officeDocument/2006/relationships/image" Target="../media/image24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3.emf"/><Relationship Id="rId1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4</xdr:row>
      <xdr:rowOff>38100</xdr:rowOff>
    </xdr:from>
    <xdr:to>
      <xdr:col>0</xdr:col>
      <xdr:colOff>866775</xdr:colOff>
      <xdr:row>5</xdr:row>
      <xdr:rowOff>244928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718707"/>
          <a:ext cx="819150" cy="356507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47625</xdr:colOff>
      <xdr:row>29</xdr:row>
      <xdr:rowOff>38100</xdr:rowOff>
    </xdr:from>
    <xdr:to>
      <xdr:col>0</xdr:col>
      <xdr:colOff>866775</xdr:colOff>
      <xdr:row>31</xdr:row>
      <xdr:rowOff>2721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11767457"/>
          <a:ext cx="819150" cy="263978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228600</xdr:rowOff>
        </xdr:from>
        <xdr:to>
          <xdr:col>7</xdr:col>
          <xdr:colOff>895350</xdr:colOff>
          <xdr:row>14</xdr:row>
          <xdr:rowOff>200025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0</xdr:rowOff>
        </xdr:from>
        <xdr:to>
          <xdr:col>7</xdr:col>
          <xdr:colOff>914400</xdr:colOff>
          <xdr:row>15</xdr:row>
          <xdr:rowOff>200025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14</xdr:row>
          <xdr:rowOff>0</xdr:rowOff>
        </xdr:from>
        <xdr:to>
          <xdr:col>6</xdr:col>
          <xdr:colOff>866775</xdr:colOff>
          <xdr:row>14</xdr:row>
          <xdr:rowOff>200025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0</xdr:rowOff>
        </xdr:from>
        <xdr:to>
          <xdr:col>6</xdr:col>
          <xdr:colOff>866775</xdr:colOff>
          <xdr:row>15</xdr:row>
          <xdr:rowOff>200025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12245</xdr:colOff>
      <xdr:row>1</xdr:row>
      <xdr:rowOff>13608</xdr:rowOff>
    </xdr:from>
    <xdr:to>
      <xdr:col>9</xdr:col>
      <xdr:colOff>911679</xdr:colOff>
      <xdr:row>2</xdr:row>
      <xdr:rowOff>1524001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2245" y="217715"/>
          <a:ext cx="9295041" cy="1850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indent="0" algn="ctr"/>
          <a:endParaRPr lang="en-US" sz="1800" b="0">
            <a:solidFill>
              <a:schemeClr val="dk1">
                <a:lumMod val="10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561975</xdr:rowOff>
        </xdr:from>
        <xdr:to>
          <xdr:col>21</xdr:col>
          <xdr:colOff>438150</xdr:colOff>
          <xdr:row>2</xdr:row>
          <xdr:rowOff>1323975</xdr:rowOff>
        </xdr:to>
        <xdr:sp macro="" textlink="">
          <xdr:nvSpPr>
            <xdr:cNvPr id="9224" name="CommandButton1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9</xdr:row>
          <xdr:rowOff>47625</xdr:rowOff>
        </xdr:from>
        <xdr:to>
          <xdr:col>21</xdr:col>
          <xdr:colOff>476250</xdr:colOff>
          <xdr:row>11</xdr:row>
          <xdr:rowOff>200025</xdr:rowOff>
        </xdr:to>
        <xdr:sp macro="" textlink="">
          <xdr:nvSpPr>
            <xdr:cNvPr id="9225" name="CommandButton2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14</xdr:row>
          <xdr:rowOff>57150</xdr:rowOff>
        </xdr:from>
        <xdr:to>
          <xdr:col>21</xdr:col>
          <xdr:colOff>466725</xdr:colOff>
          <xdr:row>17</xdr:row>
          <xdr:rowOff>133350</xdr:rowOff>
        </xdr:to>
        <xdr:sp macro="" textlink="">
          <xdr:nvSpPr>
            <xdr:cNvPr id="9226" name="CommandButton3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</xdr:col>
      <xdr:colOff>13606</xdr:colOff>
      <xdr:row>17</xdr:row>
      <xdr:rowOff>27213</xdr:rowOff>
    </xdr:from>
    <xdr:to>
      <xdr:col>14</xdr:col>
      <xdr:colOff>1026431</xdr:colOff>
      <xdr:row>26</xdr:row>
      <xdr:rowOff>1006928</xdr:rowOff>
    </xdr:to>
    <xdr:sp macro="" textlink="">
      <xdr:nvSpPr>
        <xdr:cNvPr id="8" name="TextBox 4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937906" y="6428013"/>
          <a:ext cx="9042400" cy="3484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800" b="0"/>
        </a:p>
      </xdr:txBody>
    </xdr:sp>
    <xdr:clientData/>
  </xdr:twoCellAnchor>
  <xdr:twoCellAnchor>
    <xdr:from>
      <xdr:col>0</xdr:col>
      <xdr:colOff>13607</xdr:colOff>
      <xdr:row>25</xdr:row>
      <xdr:rowOff>13607</xdr:rowOff>
    </xdr:from>
    <xdr:to>
      <xdr:col>3</xdr:col>
      <xdr:colOff>1469571</xdr:colOff>
      <xdr:row>26</xdr:row>
      <xdr:rowOff>1006929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3607" y="8572500"/>
          <a:ext cx="3891643" cy="1401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600" b="1"/>
        </a:p>
      </xdr:txBody>
    </xdr:sp>
    <xdr:clientData/>
  </xdr:twoCellAnchor>
  <xdr:twoCellAnchor>
    <xdr:from>
      <xdr:col>10</xdr:col>
      <xdr:colOff>13607</xdr:colOff>
      <xdr:row>2</xdr:row>
      <xdr:rowOff>13608</xdr:rowOff>
    </xdr:from>
    <xdr:to>
      <xdr:col>14</xdr:col>
      <xdr:colOff>1006928</xdr:colOff>
      <xdr:row>2</xdr:row>
      <xdr:rowOff>1524000</xdr:rowOff>
    </xdr:to>
    <xdr:sp macro="" textlink="">
      <xdr:nvSpPr>
        <xdr:cNvPr id="6" name="TextBox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348107" y="557894"/>
          <a:ext cx="3619500" cy="1510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US" sz="18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171450</xdr:rowOff>
        </xdr:from>
        <xdr:to>
          <xdr:col>21</xdr:col>
          <xdr:colOff>466725</xdr:colOff>
          <xdr:row>23</xdr:row>
          <xdr:rowOff>247650</xdr:rowOff>
        </xdr:to>
        <xdr:sp macro="" textlink="">
          <xdr:nvSpPr>
            <xdr:cNvPr id="9227" name="CommandButton4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24</xdr:row>
          <xdr:rowOff>133350</xdr:rowOff>
        </xdr:from>
        <xdr:to>
          <xdr:col>21</xdr:col>
          <xdr:colOff>476250</xdr:colOff>
          <xdr:row>26</xdr:row>
          <xdr:rowOff>295275</xdr:rowOff>
        </xdr:to>
        <xdr:sp macro="" textlink="">
          <xdr:nvSpPr>
            <xdr:cNvPr id="9230" name="CommandButton5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3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221933</xdr:colOff>
      <xdr:row>0</xdr:row>
      <xdr:rowOff>192881</xdr:rowOff>
    </xdr:from>
    <xdr:to>
      <xdr:col>9</xdr:col>
      <xdr:colOff>769621</xdr:colOff>
      <xdr:row>6</xdr:row>
      <xdr:rowOff>46196</xdr:rowOff>
    </xdr:to>
    <xdr:pic>
      <xdr:nvPicPr>
        <xdr:cNvPr id="3" name="Picture 2" descr="CFNEWLOGO8242011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96277" y="192881"/>
          <a:ext cx="2512219" cy="10201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1543050</xdr:colOff>
          <xdr:row>19</xdr:row>
          <xdr:rowOff>66675</xdr:rowOff>
        </xdr:from>
        <xdr:to>
          <xdr:col>15</xdr:col>
          <xdr:colOff>133350</xdr:colOff>
          <xdr:row>22</xdr:row>
          <xdr:rowOff>38100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1543050</xdr:colOff>
          <xdr:row>23</xdr:row>
          <xdr:rowOff>180975</xdr:rowOff>
        </xdr:from>
        <xdr:to>
          <xdr:col>15</xdr:col>
          <xdr:colOff>133350</xdr:colOff>
          <xdr:row>26</xdr:row>
          <xdr:rowOff>152400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1581150</xdr:colOff>
          <xdr:row>13</xdr:row>
          <xdr:rowOff>247650</xdr:rowOff>
        </xdr:from>
        <xdr:to>
          <xdr:col>15</xdr:col>
          <xdr:colOff>95250</xdr:colOff>
          <xdr:row>17</xdr:row>
          <xdr:rowOff>104775</xdr:rowOff>
        </xdr:to>
        <xdr:sp macro="" textlink="">
          <xdr:nvSpPr>
            <xdr:cNvPr id="6149" name="Button 5" descr="GET PART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OUTDOOR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9</xdr:row>
          <xdr:rowOff>76200</xdr:rowOff>
        </xdr:from>
        <xdr:to>
          <xdr:col>12</xdr:col>
          <xdr:colOff>542925</xdr:colOff>
          <xdr:row>11</xdr:row>
          <xdr:rowOff>209550</xdr:rowOff>
        </xdr:to>
        <xdr:sp macro="" textlink="">
          <xdr:nvSpPr>
            <xdr:cNvPr id="36865" name="CommandButton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723900</xdr:colOff>
          <xdr:row>13</xdr:row>
          <xdr:rowOff>133350</xdr:rowOff>
        </xdr:from>
        <xdr:to>
          <xdr:col>12</xdr:col>
          <xdr:colOff>533400</xdr:colOff>
          <xdr:row>15</xdr:row>
          <xdr:rowOff>266700</xdr:rowOff>
        </xdr:to>
        <xdr:sp macro="" textlink="">
          <xdr:nvSpPr>
            <xdr:cNvPr id="36866" name="CommandButton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247650</xdr:colOff>
      <xdr:row>0</xdr:row>
      <xdr:rowOff>123825</xdr:rowOff>
    </xdr:from>
    <xdr:to>
      <xdr:col>8</xdr:col>
      <xdr:colOff>197102</xdr:colOff>
      <xdr:row>8</xdr:row>
      <xdr:rowOff>56935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123825"/>
          <a:ext cx="1444877" cy="1914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16</xdr:row>
      <xdr:rowOff>124632</xdr:rowOff>
    </xdr:from>
    <xdr:to>
      <xdr:col>8</xdr:col>
      <xdr:colOff>447675</xdr:colOff>
      <xdr:row>34</xdr:row>
      <xdr:rowOff>8296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5077632"/>
          <a:ext cx="4981575" cy="33126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238125</xdr:rowOff>
        </xdr:from>
        <xdr:to>
          <xdr:col>7</xdr:col>
          <xdr:colOff>314325</xdr:colOff>
          <xdr:row>9</xdr:row>
          <xdr:rowOff>209550</xdr:rowOff>
        </xdr:to>
        <xdr:sp macro="" textlink="">
          <xdr:nvSpPr>
            <xdr:cNvPr id="12304" name="CommandButton11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7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6</xdr:row>
          <xdr:rowOff>238125</xdr:rowOff>
        </xdr:from>
        <xdr:to>
          <xdr:col>7</xdr:col>
          <xdr:colOff>1209675</xdr:colOff>
          <xdr:row>9</xdr:row>
          <xdr:rowOff>152400</xdr:rowOff>
        </xdr:to>
        <xdr:sp macro="" textlink="">
          <xdr:nvSpPr>
            <xdr:cNvPr id="12306" name="CommandButton13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7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47625</xdr:rowOff>
        </xdr:from>
        <xdr:to>
          <xdr:col>7</xdr:col>
          <xdr:colOff>314325</xdr:colOff>
          <xdr:row>11</xdr:row>
          <xdr:rowOff>238125</xdr:rowOff>
        </xdr:to>
        <xdr:sp macro="" textlink="">
          <xdr:nvSpPr>
            <xdr:cNvPr id="12305" name="CommandButton12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7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9</xdr:row>
          <xdr:rowOff>66675</xdr:rowOff>
        </xdr:from>
        <xdr:to>
          <xdr:col>7</xdr:col>
          <xdr:colOff>1200150</xdr:colOff>
          <xdr:row>11</xdr:row>
          <xdr:rowOff>238125</xdr:rowOff>
        </xdr:to>
        <xdr:sp macro="" textlink="">
          <xdr:nvSpPr>
            <xdr:cNvPr id="12307" name="CommandButton14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7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1181100</xdr:colOff>
          <xdr:row>6</xdr:row>
          <xdr:rowOff>238125</xdr:rowOff>
        </xdr:from>
        <xdr:to>
          <xdr:col>8</xdr:col>
          <xdr:colOff>771525</xdr:colOff>
          <xdr:row>9</xdr:row>
          <xdr:rowOff>228600</xdr:rowOff>
        </xdr:to>
        <xdr:sp macro="" textlink="">
          <xdr:nvSpPr>
            <xdr:cNvPr id="12308" name="CommandButton15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7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1181100</xdr:colOff>
          <xdr:row>9</xdr:row>
          <xdr:rowOff>66675</xdr:rowOff>
        </xdr:from>
        <xdr:to>
          <xdr:col>8</xdr:col>
          <xdr:colOff>781050</xdr:colOff>
          <xdr:row>11</xdr:row>
          <xdr:rowOff>238125</xdr:rowOff>
        </xdr:to>
        <xdr:sp macro="" textlink="">
          <xdr:nvSpPr>
            <xdr:cNvPr id="12309" name="CommandButton16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7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6</xdr:row>
          <xdr:rowOff>257175</xdr:rowOff>
        </xdr:from>
        <xdr:to>
          <xdr:col>5</xdr:col>
          <xdr:colOff>57150</xdr:colOff>
          <xdr:row>9</xdr:row>
          <xdr:rowOff>171450</xdr:rowOff>
        </xdr:to>
        <xdr:sp macro="" textlink="">
          <xdr:nvSpPr>
            <xdr:cNvPr id="12301" name="CommandButton9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7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9</xdr:row>
          <xdr:rowOff>114300</xdr:rowOff>
        </xdr:from>
        <xdr:to>
          <xdr:col>5</xdr:col>
          <xdr:colOff>57150</xdr:colOff>
          <xdr:row>11</xdr:row>
          <xdr:rowOff>247650</xdr:rowOff>
        </xdr:to>
        <xdr:sp macro="" textlink="">
          <xdr:nvSpPr>
            <xdr:cNvPr id="12302" name="CommandButton10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7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9</xdr:row>
          <xdr:rowOff>66675</xdr:rowOff>
        </xdr:from>
        <xdr:to>
          <xdr:col>3</xdr:col>
          <xdr:colOff>533400</xdr:colOff>
          <xdr:row>11</xdr:row>
          <xdr:rowOff>247650</xdr:rowOff>
        </xdr:to>
        <xdr:sp macro="" textlink="">
          <xdr:nvSpPr>
            <xdr:cNvPr id="12299" name="CommandButton7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7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6</xdr:row>
          <xdr:rowOff>257175</xdr:rowOff>
        </xdr:from>
        <xdr:to>
          <xdr:col>3</xdr:col>
          <xdr:colOff>533400</xdr:colOff>
          <xdr:row>9</xdr:row>
          <xdr:rowOff>133350</xdr:rowOff>
        </xdr:to>
        <xdr:sp macro="" textlink="">
          <xdr:nvSpPr>
            <xdr:cNvPr id="12300" name="CommandButton8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7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47625</xdr:rowOff>
        </xdr:from>
        <xdr:to>
          <xdr:col>13</xdr:col>
          <xdr:colOff>333375</xdr:colOff>
          <xdr:row>8</xdr:row>
          <xdr:rowOff>180975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76200</xdr:rowOff>
        </xdr:from>
        <xdr:to>
          <xdr:col>13</xdr:col>
          <xdr:colOff>323850</xdr:colOff>
          <xdr:row>11</xdr:row>
          <xdr:rowOff>209550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95250</xdr:rowOff>
        </xdr:from>
        <xdr:to>
          <xdr:col>1</xdr:col>
          <xdr:colOff>914400</xdr:colOff>
          <xdr:row>11</xdr:row>
          <xdr:rowOff>247650</xdr:rowOff>
        </xdr:to>
        <xdr:sp macro="" textlink="">
          <xdr:nvSpPr>
            <xdr:cNvPr id="12293" name="CommandButton3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7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12</xdr:row>
          <xdr:rowOff>104775</xdr:rowOff>
        </xdr:from>
        <xdr:to>
          <xdr:col>13</xdr:col>
          <xdr:colOff>333375</xdr:colOff>
          <xdr:row>14</xdr:row>
          <xdr:rowOff>238125</xdr:rowOff>
        </xdr:to>
        <xdr:sp macro="" textlink="">
          <xdr:nvSpPr>
            <xdr:cNvPr id="12295" name="CommandButton4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6</xdr:row>
          <xdr:rowOff>266700</xdr:rowOff>
        </xdr:from>
        <xdr:to>
          <xdr:col>1</xdr:col>
          <xdr:colOff>914400</xdr:colOff>
          <xdr:row>9</xdr:row>
          <xdr:rowOff>133350</xdr:rowOff>
        </xdr:to>
        <xdr:sp macro="" textlink="">
          <xdr:nvSpPr>
            <xdr:cNvPr id="12298" name="CommandButton6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7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9</xdr:row>
      <xdr:rowOff>142875</xdr:rowOff>
    </xdr:from>
    <xdr:to>
      <xdr:col>1</xdr:col>
      <xdr:colOff>885825</xdr:colOff>
      <xdr:row>11</xdr:row>
      <xdr:rowOff>257175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/>
      </xdr:nvSpPr>
      <xdr:spPr>
        <a:xfrm>
          <a:off x="266700" y="32861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47625</xdr:colOff>
      <xdr:row>7</xdr:row>
      <xdr:rowOff>9525</xdr:rowOff>
    </xdr:from>
    <xdr:to>
      <xdr:col>1</xdr:col>
      <xdr:colOff>904875</xdr:colOff>
      <xdr:row>9</xdr:row>
      <xdr:rowOff>123825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SpPr/>
      </xdr:nvSpPr>
      <xdr:spPr>
        <a:xfrm>
          <a:off x="285750" y="26003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866775</xdr:colOff>
      <xdr:row>7</xdr:row>
      <xdr:rowOff>19050</xdr:rowOff>
    </xdr:from>
    <xdr:to>
      <xdr:col>3</xdr:col>
      <xdr:colOff>457200</xdr:colOff>
      <xdr:row>9</xdr:row>
      <xdr:rowOff>133350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1104900" y="2609850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866775</xdr:colOff>
      <xdr:row>9</xdr:row>
      <xdr:rowOff>142875</xdr:rowOff>
    </xdr:from>
    <xdr:to>
      <xdr:col>3</xdr:col>
      <xdr:colOff>457200</xdr:colOff>
      <xdr:row>11</xdr:row>
      <xdr:rowOff>257175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1104900" y="32861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504825</xdr:colOff>
      <xdr:row>9</xdr:row>
      <xdr:rowOff>142875</xdr:rowOff>
    </xdr:from>
    <xdr:to>
      <xdr:col>5</xdr:col>
      <xdr:colOff>38100</xdr:colOff>
      <xdr:row>11</xdr:row>
      <xdr:rowOff>257175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2009775" y="32861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7</xdr:row>
      <xdr:rowOff>9525</xdr:rowOff>
    </xdr:from>
    <xdr:to>
      <xdr:col>5</xdr:col>
      <xdr:colOff>57150</xdr:colOff>
      <xdr:row>9</xdr:row>
      <xdr:rowOff>123825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2028825" y="26003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9525</xdr:colOff>
      <xdr:row>9</xdr:row>
      <xdr:rowOff>152400</xdr:rowOff>
    </xdr:from>
    <xdr:to>
      <xdr:col>7</xdr:col>
      <xdr:colOff>257175</xdr:colOff>
      <xdr:row>11</xdr:row>
      <xdr:rowOff>266700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2962275" y="3295650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285750</xdr:colOff>
      <xdr:row>9</xdr:row>
      <xdr:rowOff>180975</xdr:rowOff>
    </xdr:from>
    <xdr:to>
      <xdr:col>7</xdr:col>
      <xdr:colOff>1143000</xdr:colOff>
      <xdr:row>12</xdr:row>
      <xdr:rowOff>19050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>
          <a:off x="3848100" y="3324225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1162050</xdr:colOff>
      <xdr:row>9</xdr:row>
      <xdr:rowOff>171450</xdr:rowOff>
    </xdr:from>
    <xdr:to>
      <xdr:col>8</xdr:col>
      <xdr:colOff>762000</xdr:colOff>
      <xdr:row>12</xdr:row>
      <xdr:rowOff>9525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4724400" y="3314700"/>
          <a:ext cx="857250" cy="6667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1200149</xdr:colOff>
      <xdr:row>6</xdr:row>
      <xdr:rowOff>247651</xdr:rowOff>
    </xdr:from>
    <xdr:to>
      <xdr:col>8</xdr:col>
      <xdr:colOff>809624</xdr:colOff>
      <xdr:row>9</xdr:row>
      <xdr:rowOff>161926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SpPr/>
      </xdr:nvSpPr>
      <xdr:spPr>
        <a:xfrm>
          <a:off x="4762499" y="2562226"/>
          <a:ext cx="866775" cy="742950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295274</xdr:colOff>
      <xdr:row>6</xdr:row>
      <xdr:rowOff>266700</xdr:rowOff>
    </xdr:from>
    <xdr:to>
      <xdr:col>7</xdr:col>
      <xdr:colOff>1181099</xdr:colOff>
      <xdr:row>9</xdr:row>
      <xdr:rowOff>152400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SpPr/>
      </xdr:nvSpPr>
      <xdr:spPr>
        <a:xfrm>
          <a:off x="3857624" y="2581275"/>
          <a:ext cx="885825" cy="714375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9525</xdr:colOff>
      <xdr:row>6</xdr:row>
      <xdr:rowOff>228600</xdr:rowOff>
    </xdr:from>
    <xdr:to>
      <xdr:col>7</xdr:col>
      <xdr:colOff>257175</xdr:colOff>
      <xdr:row>9</xdr:row>
      <xdr:rowOff>114300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SpPr/>
      </xdr:nvSpPr>
      <xdr:spPr>
        <a:xfrm>
          <a:off x="2962275" y="2543175"/>
          <a:ext cx="857250" cy="714375"/>
        </a:xfrm>
        <a:prstGeom prst="ellipse">
          <a:avLst/>
        </a:prstGeom>
        <a:noFill/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tx1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514350</xdr:colOff>
          <xdr:row>12</xdr:row>
          <xdr:rowOff>95250</xdr:rowOff>
        </xdr:from>
        <xdr:to>
          <xdr:col>16</xdr:col>
          <xdr:colOff>209550</xdr:colOff>
          <xdr:row>14</xdr:row>
          <xdr:rowOff>228600</xdr:rowOff>
        </xdr:to>
        <xdr:sp macro="" textlink="">
          <xdr:nvSpPr>
            <xdr:cNvPr id="12310" name="CommandButton5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7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66675</xdr:colOff>
      <xdr:row>16</xdr:row>
      <xdr:rowOff>87428</xdr:rowOff>
    </xdr:from>
    <xdr:ext cx="1266825" cy="28020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2657475" y="5040428"/>
          <a:ext cx="126682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200" b="1"/>
            <a:t>Width</a:t>
          </a:r>
        </a:p>
      </xdr:txBody>
    </xdr:sp>
    <xdr:clientData/>
  </xdr:oneCellAnchor>
  <xdr:oneCellAnchor>
    <xdr:from>
      <xdr:col>1</xdr:col>
      <xdr:colOff>250825</xdr:colOff>
      <xdr:row>24</xdr:row>
      <xdr:rowOff>177800</xdr:rowOff>
    </xdr:from>
    <xdr:ext cx="828676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88950" y="6654800"/>
          <a:ext cx="82867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200" b="1"/>
            <a:t>Depth</a:t>
          </a:r>
        </a:p>
      </xdr:txBody>
    </xdr:sp>
    <xdr:clientData/>
  </xdr:oneCellAnchor>
  <xdr:twoCellAnchor editAs="oneCell">
    <xdr:from>
      <xdr:col>8</xdr:col>
      <xdr:colOff>190501</xdr:colOff>
      <xdr:row>30</xdr:row>
      <xdr:rowOff>130029</xdr:rowOff>
    </xdr:from>
    <xdr:to>
      <xdr:col>8</xdr:col>
      <xdr:colOff>386603</xdr:colOff>
      <xdr:row>33</xdr:row>
      <xdr:rowOff>165632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1" y="7750029"/>
          <a:ext cx="196102" cy="607103"/>
        </a:xfrm>
        <a:prstGeom prst="rect">
          <a:avLst/>
        </a:prstGeom>
      </xdr:spPr>
    </xdr:pic>
    <xdr:clientData/>
  </xdr:twoCellAnchor>
  <xdr:twoCellAnchor editAs="oneCell">
    <xdr:from>
      <xdr:col>2</xdr:col>
      <xdr:colOff>220663</xdr:colOff>
      <xdr:row>31</xdr:row>
      <xdr:rowOff>10502</xdr:rowOff>
    </xdr:from>
    <xdr:to>
      <xdr:col>3</xdr:col>
      <xdr:colOff>57991</xdr:colOff>
      <xdr:row>33</xdr:row>
      <xdr:rowOff>165996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238" y="7821002"/>
          <a:ext cx="170703" cy="536494"/>
        </a:xfrm>
        <a:prstGeom prst="rect">
          <a:avLst/>
        </a:prstGeom>
      </xdr:spPr>
    </xdr:pic>
    <xdr:clientData/>
  </xdr:twoCellAnchor>
  <xdr:twoCellAnchor>
    <xdr:from>
      <xdr:col>8</xdr:col>
      <xdr:colOff>342901</xdr:colOff>
      <xdr:row>31</xdr:row>
      <xdr:rowOff>0</xdr:rowOff>
    </xdr:from>
    <xdr:to>
      <xdr:col>8</xdr:col>
      <xdr:colOff>762001</xdr:colOff>
      <xdr:row>32</xdr:row>
      <xdr:rowOff>80961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5162551" y="7810500"/>
          <a:ext cx="419100" cy="271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1.5"</a:t>
          </a:r>
        </a:p>
      </xdr:txBody>
    </xdr:sp>
    <xdr:clientData/>
  </xdr:twoCellAnchor>
  <xdr:twoCellAnchor>
    <xdr:from>
      <xdr:col>1</xdr:col>
      <xdr:colOff>552451</xdr:colOff>
      <xdr:row>31</xdr:row>
      <xdr:rowOff>76200</xdr:rowOff>
    </xdr:from>
    <xdr:to>
      <xdr:col>2</xdr:col>
      <xdr:colOff>38101</xdr:colOff>
      <xdr:row>32</xdr:row>
      <xdr:rowOff>157161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90576" y="7886700"/>
          <a:ext cx="419100" cy="271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1.5"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47624</xdr:colOff>
          <xdr:row>1</xdr:row>
          <xdr:rowOff>28579</xdr:rowOff>
        </xdr:from>
        <xdr:to>
          <xdr:col>9</xdr:col>
          <xdr:colOff>40797</xdr:colOff>
          <xdr:row>8</xdr:row>
          <xdr:rowOff>66679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>
              <a:picLocks noChangeArrowheads="1"/>
              <a:extLst>
                <a:ext uri="{84589F7E-364E-4C9E-8A38-B11213B215E9}">
                  <a14:cameraTool cellRange="CFThermoStyle" spid="_x0000_s36442"/>
                </a:ext>
              </a:extLst>
            </xdr:cNvPicPr>
          </xdr:nvPicPr>
          <xdr:blipFill rotWithShape="1">
            <a:blip xmlns:r="http://schemas.openxmlformats.org/officeDocument/2006/relationships" r:embed="rId1">
              <a:alphaModFix/>
            </a:blip>
            <a:srcRect l="9032" r="12967"/>
            <a:stretch>
              <a:fillRect/>
            </a:stretch>
          </xdr:blipFill>
          <xdr:spPr bwMode="auto">
            <a:xfrm>
              <a:off x="1657349" y="342904"/>
              <a:ext cx="2422048" cy="1162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38263</xdr:colOff>
      <xdr:row>118</xdr:row>
      <xdr:rowOff>42876</xdr:rowOff>
    </xdr:from>
    <xdr:to>
      <xdr:col>25</xdr:col>
      <xdr:colOff>46761</xdr:colOff>
      <xdr:row>122</xdr:row>
      <xdr:rowOff>38107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181263" y="22521876"/>
          <a:ext cx="56123" cy="7572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>
    <xdr:from>
      <xdr:col>16</xdr:col>
      <xdr:colOff>15315</xdr:colOff>
      <xdr:row>118</xdr:row>
      <xdr:rowOff>42877</xdr:rowOff>
    </xdr:from>
    <xdr:to>
      <xdr:col>17</xdr:col>
      <xdr:colOff>23813</xdr:colOff>
      <xdr:row>122</xdr:row>
      <xdr:rowOff>38108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77315" y="22521877"/>
          <a:ext cx="56123" cy="7572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</xdr:txBody>
    </xdr:sp>
    <xdr:clientData/>
  </xdr:twoCellAnchor>
  <xdr:twoCellAnchor>
    <xdr:from>
      <xdr:col>96</xdr:col>
      <xdr:colOff>39128</xdr:colOff>
      <xdr:row>118</xdr:row>
      <xdr:rowOff>42876</xdr:rowOff>
    </xdr:from>
    <xdr:to>
      <xdr:col>98</xdr:col>
      <xdr:colOff>1</xdr:colOff>
      <xdr:row>122</xdr:row>
      <xdr:rowOff>38107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4611128" y="22521876"/>
          <a:ext cx="56123" cy="7572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>
    <xdr:from>
      <xdr:col>88</xdr:col>
      <xdr:colOff>15315</xdr:colOff>
      <xdr:row>118</xdr:row>
      <xdr:rowOff>42877</xdr:rowOff>
    </xdr:from>
    <xdr:to>
      <xdr:col>89</xdr:col>
      <xdr:colOff>23813</xdr:colOff>
      <xdr:row>122</xdr:row>
      <xdr:rowOff>38108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4206315" y="22521877"/>
          <a:ext cx="56123" cy="7572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388621</xdr:colOff>
      <xdr:row>0</xdr:row>
      <xdr:rowOff>38100</xdr:rowOff>
    </xdr:from>
    <xdr:to>
      <xdr:col>3</xdr:col>
      <xdr:colOff>674371</xdr:colOff>
      <xdr:row>5</xdr:row>
      <xdr:rowOff>81915</xdr:rowOff>
    </xdr:to>
    <xdr:pic>
      <xdr:nvPicPr>
        <xdr:cNvPr id="2" name="Picture 1" descr="CFNEWLOGO8242011.jp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9121" y="38100"/>
          <a:ext cx="2514600" cy="10153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1543050</xdr:colOff>
          <xdr:row>19</xdr:row>
          <xdr:rowOff>66675</xdr:rowOff>
        </xdr:from>
        <xdr:to>
          <xdr:col>15</xdr:col>
          <xdr:colOff>133350</xdr:colOff>
          <xdr:row>22</xdr:row>
          <xdr:rowOff>152400</xdr:rowOff>
        </xdr:to>
        <xdr:sp macro="" textlink="">
          <xdr:nvSpPr>
            <xdr:cNvPr id="51201" name="CommandButton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B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1543050</xdr:colOff>
          <xdr:row>23</xdr:row>
          <xdr:rowOff>180975</xdr:rowOff>
        </xdr:from>
        <xdr:to>
          <xdr:col>15</xdr:col>
          <xdr:colOff>133350</xdr:colOff>
          <xdr:row>27</xdr:row>
          <xdr:rowOff>66675</xdr:rowOff>
        </xdr:to>
        <xdr:sp macro="" textlink="">
          <xdr:nvSpPr>
            <xdr:cNvPr id="51202" name="CommandButton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B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51</xdr:col>
      <xdr:colOff>36634</xdr:colOff>
      <xdr:row>15</xdr:row>
      <xdr:rowOff>15388</xdr:rowOff>
    </xdr:from>
    <xdr:ext cx="2643224" cy="16119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2465509" y="729763"/>
          <a:ext cx="2643224" cy="1611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900" b="1" i="1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RTF &amp; MDF DOOR &amp; DRAWER FRONT ORDER FORM</a:t>
          </a:r>
          <a:endParaRPr lang="en-US" sz="900" b="1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308479</xdr:colOff>
      <xdr:row>7</xdr:row>
      <xdr:rowOff>114300</xdr:rowOff>
    </xdr:from>
    <xdr:to>
      <xdr:col>12</xdr:col>
      <xdr:colOff>2678766</xdr:colOff>
      <xdr:row>12</xdr:row>
      <xdr:rowOff>76279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0504" y="1466850"/>
          <a:ext cx="2370287" cy="914479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0</xdr:row>
      <xdr:rowOff>130</xdr:rowOff>
    </xdr:from>
    <xdr:to>
      <xdr:col>12</xdr:col>
      <xdr:colOff>2600523</xdr:colOff>
      <xdr:row>6</xdr:row>
      <xdr:rowOff>36168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6350" y="130"/>
          <a:ext cx="2286198" cy="1188563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13</xdr:row>
      <xdr:rowOff>95946</xdr:rowOff>
    </xdr:from>
    <xdr:to>
      <xdr:col>12</xdr:col>
      <xdr:colOff>2728550</xdr:colOff>
      <xdr:row>19</xdr:row>
      <xdr:rowOff>140377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06350" y="2591496"/>
          <a:ext cx="2414225" cy="1187431"/>
        </a:xfrm>
        <a:prstGeom prst="rect">
          <a:avLst/>
        </a:prstGeom>
      </xdr:spPr>
    </xdr:pic>
    <xdr:clientData/>
  </xdr:twoCellAnchor>
  <xdr:twoCellAnchor editAs="oneCell">
    <xdr:from>
      <xdr:col>12</xdr:col>
      <xdr:colOff>308479</xdr:colOff>
      <xdr:row>7</xdr:row>
      <xdr:rowOff>114300</xdr:rowOff>
    </xdr:from>
    <xdr:to>
      <xdr:col>12</xdr:col>
      <xdr:colOff>2678766</xdr:colOff>
      <xdr:row>12</xdr:row>
      <xdr:rowOff>76279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62429" y="1457325"/>
          <a:ext cx="2370287" cy="914479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0</xdr:row>
      <xdr:rowOff>130</xdr:rowOff>
    </xdr:from>
    <xdr:to>
      <xdr:col>12</xdr:col>
      <xdr:colOff>2600523</xdr:colOff>
      <xdr:row>6</xdr:row>
      <xdr:rowOff>36168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68275" y="130"/>
          <a:ext cx="2286198" cy="1188563"/>
        </a:xfrm>
        <a:prstGeom prst="rect">
          <a:avLst/>
        </a:prstGeom>
      </xdr:spPr>
    </xdr:pic>
    <xdr:clientData/>
  </xdr:twoCellAnchor>
  <xdr:twoCellAnchor editAs="oneCell">
    <xdr:from>
      <xdr:col>12</xdr:col>
      <xdr:colOff>314325</xdr:colOff>
      <xdr:row>13</xdr:row>
      <xdr:rowOff>95946</xdr:rowOff>
    </xdr:from>
    <xdr:to>
      <xdr:col>12</xdr:col>
      <xdr:colOff>2728550</xdr:colOff>
      <xdr:row>19</xdr:row>
      <xdr:rowOff>140377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68275" y="2581971"/>
          <a:ext cx="2414225" cy="118743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57150</xdr:rowOff>
        </xdr:from>
        <xdr:to>
          <xdr:col>6</xdr:col>
          <xdr:colOff>419100</xdr:colOff>
          <xdr:row>10</xdr:row>
          <xdr:rowOff>76200</xdr:rowOff>
        </xdr:to>
        <xdr:sp macro="" textlink="">
          <xdr:nvSpPr>
            <xdr:cNvPr id="2049" name="Check Box 1" descr="&#10;&#10;Check this box!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Conversion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F%20Thermo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Convers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F Thermo"/>
    </sheetNames>
    <sheetDataSet>
      <sheetData sheetId="0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72BEF-299F-4BF6-9CCB-CF824E770070}">
  <we:reference id="wa200004935" version="1.0.0.0" store="en-US" storeType="OMEX"/>
  <we:alternateReferences>
    <we:reference id="WA200004935" version="1.0.0.0" store="WA20000493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emf"/><Relationship Id="rId18" Type="http://schemas.openxmlformats.org/officeDocument/2006/relationships/control" Target="../activeX/activeX17.xml"/><Relationship Id="rId26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22.emf"/><Relationship Id="rId34" Type="http://schemas.openxmlformats.org/officeDocument/2006/relationships/control" Target="../activeX/activeX25.xml"/><Relationship Id="rId7" Type="http://schemas.openxmlformats.org/officeDocument/2006/relationships/image" Target="../media/image15.emf"/><Relationship Id="rId12" Type="http://schemas.openxmlformats.org/officeDocument/2006/relationships/control" Target="../activeX/activeX14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33" Type="http://schemas.openxmlformats.org/officeDocument/2006/relationships/image" Target="../media/image1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29" Type="http://schemas.openxmlformats.org/officeDocument/2006/relationships/image" Target="../media/image26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11" Type="http://schemas.openxmlformats.org/officeDocument/2006/relationships/image" Target="../media/image17.emf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4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ontrol" Target="../activeX/activeX22.xml"/><Relationship Id="rId10" Type="http://schemas.openxmlformats.org/officeDocument/2006/relationships/control" Target="../activeX/activeX13.xml"/><Relationship Id="rId19" Type="http://schemas.openxmlformats.org/officeDocument/2006/relationships/image" Target="../media/image21.emf"/><Relationship Id="rId31" Type="http://schemas.openxmlformats.org/officeDocument/2006/relationships/image" Target="../media/image27.emf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Relationship Id="rId14" Type="http://schemas.openxmlformats.org/officeDocument/2006/relationships/control" Target="../activeX/activeX15.xml"/><Relationship Id="rId22" Type="http://schemas.openxmlformats.org/officeDocument/2006/relationships/control" Target="../activeX/activeX19.xml"/><Relationship Id="rId27" Type="http://schemas.openxmlformats.org/officeDocument/2006/relationships/image" Target="../media/image25.emf"/><Relationship Id="rId30" Type="http://schemas.openxmlformats.org/officeDocument/2006/relationships/control" Target="../activeX/activeX23.xml"/><Relationship Id="rId35" Type="http://schemas.openxmlformats.org/officeDocument/2006/relationships/image" Target="../media/image28.emf"/><Relationship Id="rId8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7.xml"/><Relationship Id="rId5" Type="http://schemas.openxmlformats.org/officeDocument/2006/relationships/image" Target="../media/image34.emf"/><Relationship Id="rId4" Type="http://schemas.openxmlformats.org/officeDocument/2006/relationships/control" Target="../activeX/activeX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"/>
  <sheetViews>
    <sheetView showZeros="0" tabSelected="1" zoomScale="120" zoomScaleNormal="120" workbookViewId="0">
      <selection activeCell="B1" sqref="B1"/>
    </sheetView>
  </sheetViews>
  <sheetFormatPr defaultColWidth="9.140625" defaultRowHeight="15.75" x14ac:dyDescent="0.25"/>
  <cols>
    <col min="1" max="1" width="32.5703125" style="169" bestFit="1" customWidth="1"/>
    <col min="2" max="2" width="27.5703125" style="169" customWidth="1"/>
    <col min="3" max="3" width="26.85546875" style="169" bestFit="1" customWidth="1"/>
    <col min="4" max="4" width="19" style="169" customWidth="1"/>
    <col min="5" max="5" width="18.140625" style="169" customWidth="1"/>
    <col min="6" max="6" width="26.140625" style="169" bestFit="1" customWidth="1"/>
    <col min="7" max="8" width="9.140625" style="169"/>
    <col min="9" max="9" width="9.140625" style="169" customWidth="1"/>
    <col min="10" max="10" width="14.140625" style="182" hidden="1" customWidth="1"/>
    <col min="11" max="11" width="13.5703125" style="380" bestFit="1" customWidth="1"/>
    <col min="12" max="12" width="10.7109375" style="169" customWidth="1"/>
    <col min="13" max="13" width="29.28515625" style="169" customWidth="1"/>
    <col min="14" max="14" width="7.42578125" style="377" bestFit="1" customWidth="1"/>
    <col min="15" max="15" width="8.140625" style="377" bestFit="1" customWidth="1"/>
    <col min="16" max="16" width="9.28515625" style="377" bestFit="1" customWidth="1"/>
    <col min="17" max="17" width="9.28515625" style="382" bestFit="1" customWidth="1"/>
    <col min="18" max="20" width="9.140625" style="169" customWidth="1"/>
    <col min="21" max="16384" width="9.140625" style="169"/>
  </cols>
  <sheetData>
    <row r="1" spans="1:18" x14ac:dyDescent="0.25">
      <c r="A1" s="166" t="s">
        <v>0</v>
      </c>
      <c r="B1" s="167"/>
      <c r="C1" s="536">
        <f>IF(B1&gt;0,TEXT(B1,"dddd, mmmm dd"),0)</f>
        <v>0</v>
      </c>
      <c r="D1" s="528" t="s">
        <v>1</v>
      </c>
      <c r="E1" s="529"/>
      <c r="F1" s="168"/>
      <c r="H1" s="522" t="s">
        <v>306</v>
      </c>
      <c r="I1" s="523"/>
      <c r="J1" s="107"/>
      <c r="K1" s="378" t="s">
        <v>39</v>
      </c>
      <c r="L1" s="170" t="s">
        <v>40</v>
      </c>
      <c r="M1" s="171" t="s">
        <v>41</v>
      </c>
      <c r="N1" s="383" t="s">
        <v>658</v>
      </c>
      <c r="O1" s="383"/>
      <c r="P1" s="383" t="s">
        <v>44</v>
      </c>
      <c r="Q1" s="385"/>
    </row>
    <row r="2" spans="1:18" x14ac:dyDescent="0.25">
      <c r="A2" s="172"/>
      <c r="B2" s="173"/>
      <c r="C2" s="537"/>
      <c r="D2" s="174"/>
      <c r="E2" s="174"/>
      <c r="F2" s="175"/>
      <c r="H2" s="524"/>
      <c r="I2" s="525"/>
      <c r="J2" s="176"/>
      <c r="K2" s="384"/>
      <c r="L2" s="177"/>
      <c r="M2" s="178"/>
      <c r="N2" s="376"/>
      <c r="O2" s="376"/>
      <c r="P2" s="376"/>
      <c r="Q2" s="381"/>
      <c r="R2" s="169">
        <v>48</v>
      </c>
    </row>
    <row r="3" spans="1:18" x14ac:dyDescent="0.25">
      <c r="A3" s="179" t="s">
        <v>8</v>
      </c>
      <c r="B3" s="180"/>
      <c r="C3" s="556"/>
      <c r="D3" s="530" t="s">
        <v>9</v>
      </c>
      <c r="E3" s="531"/>
      <c r="F3" s="181" t="s">
        <v>913</v>
      </c>
      <c r="H3" s="526"/>
      <c r="I3" s="527"/>
      <c r="K3" s="379"/>
      <c r="L3" s="100"/>
      <c r="M3" s="183"/>
      <c r="Q3" s="381"/>
      <c r="R3" s="169">
        <v>48</v>
      </c>
    </row>
    <row r="4" spans="1:18" x14ac:dyDescent="0.25">
      <c r="A4" s="184"/>
      <c r="B4" s="173"/>
      <c r="C4" s="556"/>
      <c r="D4" s="185"/>
      <c r="E4" s="185"/>
      <c r="F4" s="186"/>
      <c r="K4" s="379"/>
      <c r="L4" s="100"/>
      <c r="M4" s="183"/>
      <c r="Q4" s="381"/>
    </row>
    <row r="5" spans="1:18" x14ac:dyDescent="0.25">
      <c r="A5" s="187" t="s">
        <v>14</v>
      </c>
      <c r="B5" s="188"/>
      <c r="C5" s="556"/>
      <c r="D5" s="532" t="s">
        <v>15</v>
      </c>
      <c r="E5" s="533"/>
      <c r="F5" s="189"/>
      <c r="K5" s="379"/>
      <c r="L5" s="100"/>
      <c r="M5" s="183"/>
      <c r="Q5" s="381"/>
    </row>
    <row r="6" spans="1:18" x14ac:dyDescent="0.25">
      <c r="A6" s="184"/>
      <c r="B6" s="173"/>
      <c r="C6" s="556"/>
      <c r="D6" s="185"/>
      <c r="E6" s="185"/>
      <c r="F6" s="186"/>
      <c r="K6" s="379"/>
      <c r="L6" s="100"/>
      <c r="M6" s="183"/>
    </row>
    <row r="7" spans="1:18" x14ac:dyDescent="0.25">
      <c r="A7" s="187" t="s">
        <v>47</v>
      </c>
      <c r="B7" s="188"/>
      <c r="C7" s="556"/>
      <c r="D7" s="534" t="s">
        <v>19</v>
      </c>
      <c r="E7" s="535"/>
      <c r="F7" s="190"/>
      <c r="K7" s="379"/>
      <c r="L7" s="100"/>
      <c r="M7" s="183"/>
    </row>
    <row r="8" spans="1:18" x14ac:dyDescent="0.25">
      <c r="A8" s="549"/>
      <c r="B8" s="550"/>
      <c r="C8" s="556"/>
      <c r="D8" s="551"/>
      <c r="E8" s="552"/>
      <c r="F8" s="553"/>
      <c r="K8" s="379"/>
      <c r="L8" s="100"/>
      <c r="M8" s="183"/>
    </row>
    <row r="9" spans="1:18" x14ac:dyDescent="0.25">
      <c r="A9" s="191" t="s">
        <v>375</v>
      </c>
      <c r="B9" s="188"/>
      <c r="C9" s="556"/>
      <c r="D9" s="530" t="s">
        <v>22</v>
      </c>
      <c r="E9" s="531"/>
      <c r="F9" s="190"/>
      <c r="K9" s="379"/>
      <c r="L9" s="100"/>
      <c r="M9" s="183"/>
    </row>
    <row r="10" spans="1:18" x14ac:dyDescent="0.25">
      <c r="A10" s="558"/>
      <c r="B10" s="559"/>
      <c r="C10" s="556"/>
      <c r="D10" s="554"/>
      <c r="E10" s="555"/>
      <c r="F10" s="550"/>
      <c r="K10" s="379"/>
      <c r="L10" s="100"/>
      <c r="M10" s="183"/>
    </row>
    <row r="11" spans="1:18" x14ac:dyDescent="0.25">
      <c r="A11" s="192" t="s">
        <v>21</v>
      </c>
      <c r="B11" s="193" t="s">
        <v>5</v>
      </c>
      <c r="C11" s="556"/>
      <c r="D11" s="545" t="s">
        <v>26</v>
      </c>
      <c r="E11" s="546"/>
      <c r="F11" s="194"/>
      <c r="K11" s="379"/>
      <c r="L11" s="100"/>
      <c r="M11" s="183"/>
    </row>
    <row r="12" spans="1:18" x14ac:dyDescent="0.25">
      <c r="A12" s="558"/>
      <c r="B12" s="559"/>
      <c r="C12" s="556"/>
      <c r="D12" s="174"/>
      <c r="E12" s="174"/>
      <c r="F12" s="194"/>
      <c r="K12" s="379"/>
      <c r="L12" s="100"/>
      <c r="M12" s="183"/>
    </row>
    <row r="13" spans="1:18" x14ac:dyDescent="0.25">
      <c r="A13" s="192" t="s">
        <v>25</v>
      </c>
      <c r="B13" s="193"/>
      <c r="C13" s="556"/>
      <c r="D13" s="532" t="s">
        <v>28</v>
      </c>
      <c r="E13" s="533"/>
      <c r="F13" s="195">
        <f>IF(F11="Melamine",F5,IF(F11="Melamine W/Applied Mldg",F5,IF(F11="Thermo Foil","Thermo Foil",IF(F11="Wood","Wood",IF(F11="CF5","CF5",IF(F11="Egger","Egger",IF(F11="Combination","Combination",IF(F11="CF Thermo Foil","CF Thermo Foil",))))))))</f>
        <v>0</v>
      </c>
      <c r="K13" s="379"/>
      <c r="L13" s="100"/>
    </row>
    <row r="14" spans="1:18" x14ac:dyDescent="0.25">
      <c r="A14" s="560"/>
      <c r="B14" s="561"/>
      <c r="C14" s="556"/>
      <c r="D14" s="174"/>
      <c r="E14" s="174"/>
      <c r="F14" s="175"/>
      <c r="K14" s="379"/>
      <c r="L14" s="100"/>
      <c r="M14" s="183"/>
    </row>
    <row r="15" spans="1:18" x14ac:dyDescent="0.25">
      <c r="A15" s="192" t="s">
        <v>27</v>
      </c>
      <c r="B15" s="193"/>
      <c r="C15" s="556"/>
      <c r="D15" s="534" t="s">
        <v>29</v>
      </c>
      <c r="E15" s="535"/>
      <c r="F15" s="196">
        <f>IF(F11='Data Conversions'!I7,F7,IF(F11='Data Conversions'!I8,F7,))</f>
        <v>0</v>
      </c>
      <c r="K15" s="379"/>
      <c r="L15" s="100"/>
      <c r="M15" s="183"/>
    </row>
    <row r="16" spans="1:18" ht="15" customHeight="1" x14ac:dyDescent="0.25">
      <c r="A16" s="558"/>
      <c r="B16" s="559"/>
      <c r="C16" s="556"/>
      <c r="D16" s="185"/>
      <c r="E16" s="185"/>
      <c r="F16" s="186"/>
      <c r="K16" s="379"/>
      <c r="L16" s="100"/>
      <c r="M16" s="183"/>
    </row>
    <row r="17" spans="1:13" x14ac:dyDescent="0.25">
      <c r="A17" s="192" t="s">
        <v>654</v>
      </c>
      <c r="B17" s="193" t="s">
        <v>657</v>
      </c>
      <c r="C17" s="556"/>
      <c r="D17" s="530" t="s">
        <v>31</v>
      </c>
      <c r="E17" s="531"/>
      <c r="F17" s="189">
        <f>IF(F11='Data Conversions'!I7,F9,IF(F11='Data Conversions'!I8,F9,))</f>
        <v>0</v>
      </c>
      <c r="K17" s="379"/>
      <c r="L17" s="100"/>
      <c r="M17" s="183"/>
    </row>
    <row r="18" spans="1:13" x14ac:dyDescent="0.25">
      <c r="A18" s="558"/>
      <c r="B18" s="559"/>
      <c r="C18" s="556"/>
      <c r="D18" s="554"/>
      <c r="E18" s="555"/>
      <c r="F18" s="550"/>
      <c r="K18" s="379"/>
      <c r="L18" s="100"/>
    </row>
    <row r="19" spans="1:13" x14ac:dyDescent="0.25">
      <c r="A19" s="192" t="s">
        <v>30</v>
      </c>
      <c r="B19" s="193"/>
      <c r="C19" s="556"/>
      <c r="D19" s="547" t="s">
        <v>33</v>
      </c>
      <c r="E19" s="548"/>
      <c r="F19" s="197" t="s">
        <v>3</v>
      </c>
      <c r="K19" s="379"/>
      <c r="L19" s="100"/>
      <c r="M19" s="183"/>
    </row>
    <row r="20" spans="1:13" x14ac:dyDescent="0.25">
      <c r="A20" s="558"/>
      <c r="B20" s="559"/>
      <c r="C20" s="556"/>
      <c r="D20" s="540"/>
      <c r="E20" s="541"/>
      <c r="F20" s="542"/>
      <c r="K20" s="379"/>
      <c r="L20" s="100"/>
      <c r="M20" s="183"/>
    </row>
    <row r="21" spans="1:13" ht="15" customHeight="1" x14ac:dyDescent="0.25">
      <c r="A21" s="192" t="s">
        <v>32</v>
      </c>
      <c r="B21" s="193"/>
      <c r="C21" s="556"/>
      <c r="D21" s="530" t="s">
        <v>35</v>
      </c>
      <c r="E21" s="531"/>
      <c r="F21" s="198"/>
      <c r="K21" s="379"/>
      <c r="L21" s="100"/>
    </row>
    <row r="22" spans="1:13" x14ac:dyDescent="0.25">
      <c r="A22" s="558"/>
      <c r="B22" s="559"/>
      <c r="C22" s="556"/>
      <c r="D22" s="199"/>
      <c r="E22" s="199"/>
      <c r="F22" s="200"/>
      <c r="K22" s="379"/>
      <c r="L22" s="100"/>
    </row>
    <row r="23" spans="1:13" x14ac:dyDescent="0.25">
      <c r="A23" s="201" t="s">
        <v>34</v>
      </c>
      <c r="B23" s="202"/>
      <c r="C23" s="556"/>
      <c r="D23" s="530" t="s">
        <v>37</v>
      </c>
      <c r="E23" s="531"/>
      <c r="F23" s="198"/>
      <c r="K23" s="379"/>
      <c r="L23" s="100"/>
      <c r="M23" s="183"/>
    </row>
    <row r="24" spans="1:13" ht="13.9" customHeight="1" x14ac:dyDescent="0.25">
      <c r="A24" s="203"/>
      <c r="B24" s="204"/>
      <c r="C24" s="556"/>
      <c r="D24" s="204"/>
      <c r="E24" s="204"/>
      <c r="F24" s="205"/>
      <c r="K24" s="379"/>
      <c r="L24" s="100"/>
      <c r="M24" s="183"/>
    </row>
    <row r="25" spans="1:13" x14ac:dyDescent="0.25">
      <c r="A25" s="192" t="s">
        <v>36</v>
      </c>
      <c r="B25" s="193"/>
      <c r="C25" s="556"/>
      <c r="D25" s="530" t="s">
        <v>38</v>
      </c>
      <c r="E25" s="531"/>
      <c r="F25" s="206" t="s">
        <v>5</v>
      </c>
      <c r="K25" s="379"/>
      <c r="L25" s="100"/>
      <c r="M25" s="183"/>
    </row>
    <row r="26" spans="1:13" x14ac:dyDescent="0.25">
      <c r="A26" s="207"/>
      <c r="B26" s="208"/>
      <c r="C26" s="556"/>
      <c r="D26" s="543">
        <f>IF(F25="Yes","Baseboard Thickness",)</f>
        <v>0</v>
      </c>
      <c r="E26" s="544"/>
      <c r="F26" s="209"/>
      <c r="K26" s="379"/>
      <c r="L26" s="100"/>
      <c r="M26" s="183"/>
    </row>
    <row r="27" spans="1:13" ht="16.5" thickBot="1" x14ac:dyDescent="0.3">
      <c r="A27" s="210">
        <f>IF(B25="Yes","Sold At Price",)</f>
        <v>0</v>
      </c>
      <c r="B27" s="211"/>
      <c r="C27" s="557"/>
      <c r="D27" s="538">
        <f>IF(F25="Yes","Baseboard Height",)</f>
        <v>0</v>
      </c>
      <c r="E27" s="539"/>
      <c r="F27" s="212"/>
      <c r="K27" s="379"/>
      <c r="L27" s="100"/>
      <c r="M27" s="183"/>
    </row>
    <row r="28" spans="1:13" x14ac:dyDescent="0.25">
      <c r="A28" s="182"/>
      <c r="C28" s="97"/>
      <c r="D28" s="391"/>
      <c r="E28" s="392"/>
      <c r="F28" s="213"/>
      <c r="K28" s="379"/>
      <c r="L28" s="100"/>
      <c r="M28" s="183"/>
    </row>
    <row r="29" spans="1:13" x14ac:dyDescent="0.25">
      <c r="C29" s="97"/>
      <c r="D29" s="388"/>
      <c r="E29" s="388"/>
      <c r="F29" s="214"/>
      <c r="K29" s="379"/>
      <c r="L29" s="100"/>
      <c r="M29" s="183"/>
    </row>
    <row r="30" spans="1:13" x14ac:dyDescent="0.25">
      <c r="C30" s="97"/>
      <c r="D30" s="389"/>
      <c r="E30" s="390"/>
      <c r="F30" s="215"/>
      <c r="K30" s="379"/>
      <c r="L30" s="100"/>
      <c r="M30" s="183"/>
    </row>
    <row r="31" spans="1:13" x14ac:dyDescent="0.25">
      <c r="C31" s="97"/>
      <c r="D31" s="386"/>
      <c r="E31" s="387"/>
      <c r="F31" s="216"/>
      <c r="K31" s="379"/>
      <c r="L31" s="100"/>
      <c r="M31" s="183"/>
    </row>
    <row r="32" spans="1:13" x14ac:dyDescent="0.25">
      <c r="E32" s="217"/>
      <c r="K32" s="379"/>
      <c r="L32" s="100"/>
      <c r="M32" s="183"/>
    </row>
    <row r="33" spans="5:13" x14ac:dyDescent="0.25">
      <c r="E33" s="217"/>
      <c r="K33" s="379"/>
      <c r="L33" s="100"/>
      <c r="M33" s="183"/>
    </row>
    <row r="34" spans="5:13" x14ac:dyDescent="0.25">
      <c r="E34" s="217"/>
      <c r="K34" s="379"/>
      <c r="L34" s="100"/>
      <c r="M34" s="183"/>
    </row>
    <row r="35" spans="5:13" x14ac:dyDescent="0.25">
      <c r="E35" s="217"/>
      <c r="K35" s="379"/>
      <c r="L35" s="100"/>
      <c r="M35" s="183"/>
    </row>
    <row r="36" spans="5:13" x14ac:dyDescent="0.25">
      <c r="E36" s="217"/>
      <c r="K36" s="379"/>
      <c r="L36" s="100"/>
      <c r="M36" s="183"/>
    </row>
    <row r="37" spans="5:13" x14ac:dyDescent="0.25">
      <c r="E37" s="217"/>
      <c r="K37" s="379"/>
      <c r="L37" s="100"/>
    </row>
    <row r="38" spans="5:13" x14ac:dyDescent="0.25">
      <c r="E38" s="217"/>
      <c r="K38" s="379"/>
      <c r="L38" s="100"/>
    </row>
    <row r="39" spans="5:13" x14ac:dyDescent="0.25">
      <c r="K39" s="379"/>
      <c r="L39" s="100"/>
    </row>
    <row r="40" spans="5:13" x14ac:dyDescent="0.25">
      <c r="K40" s="379"/>
      <c r="L40" s="100"/>
    </row>
    <row r="41" spans="5:13" x14ac:dyDescent="0.25">
      <c r="K41" s="379"/>
      <c r="L41" s="100"/>
    </row>
    <row r="42" spans="5:13" x14ac:dyDescent="0.25">
      <c r="L42" s="100"/>
    </row>
  </sheetData>
  <dataConsolidate/>
  <mergeCells count="30">
    <mergeCell ref="A8:B8"/>
    <mergeCell ref="D9:E9"/>
    <mergeCell ref="D8:F8"/>
    <mergeCell ref="D18:F18"/>
    <mergeCell ref="D10:F10"/>
    <mergeCell ref="C3:C27"/>
    <mergeCell ref="A22:B22"/>
    <mergeCell ref="A10:B10"/>
    <mergeCell ref="A12:B12"/>
    <mergeCell ref="A16:B16"/>
    <mergeCell ref="A18:B18"/>
    <mergeCell ref="A20:B20"/>
    <mergeCell ref="A14:B14"/>
    <mergeCell ref="C1:C2"/>
    <mergeCell ref="D27:E27"/>
    <mergeCell ref="D20:F20"/>
    <mergeCell ref="D25:E25"/>
    <mergeCell ref="D26:E26"/>
    <mergeCell ref="D21:E21"/>
    <mergeCell ref="D11:E11"/>
    <mergeCell ref="D15:E15"/>
    <mergeCell ref="D17:E17"/>
    <mergeCell ref="D13:E13"/>
    <mergeCell ref="D23:E23"/>
    <mergeCell ref="D19:E19"/>
    <mergeCell ref="H1:I3"/>
    <mergeCell ref="D1:E1"/>
    <mergeCell ref="D3:E3"/>
    <mergeCell ref="D5:E5"/>
    <mergeCell ref="D7:E7"/>
  </mergeCells>
  <phoneticPr fontId="43" type="noConversion"/>
  <dataValidations count="2">
    <dataValidation type="list" allowBlank="1" showInputMessage="1" showErrorMessage="1" sqref="F19" xr:uid="{00000000-0002-0000-0000-000002000000}">
      <formula1>"Closet Factory,AIG,Old School,WoodWOP"</formula1>
    </dataValidation>
    <dataValidation type="list" allowBlank="1" showInputMessage="1" sqref="B17" xr:uid="{00000000-0002-0000-0000-00000B000000}">
      <formula1>"V9, V23"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 error="Are you sure?" xr:uid="{00000000-0002-0000-0000-00000C000000}">
          <x14:formula1>
            <xm:f>'Data Conversions'!$I$69:$I$71</xm:f>
          </x14:formula1>
          <xm:sqref>B15</xm:sqref>
        </x14:dataValidation>
        <x14:dataValidation type="list" allowBlank="1" showInputMessage="1" showErrorMessage="1" xr:uid="{00000000-0002-0000-0000-000000000000}">
          <x14:formula1>
            <xm:f>'Data Conversions'!$I$29:$I$31</xm:f>
          </x14:formula1>
          <xm:sqref>B13</xm:sqref>
        </x14:dataValidation>
        <x14:dataValidation type="list" allowBlank="1" showInputMessage="1" showErrorMessage="1" xr:uid="{00000000-0002-0000-0000-000001000000}">
          <x14:formula1>
            <xm:f>'Data Conversions'!$I$3:$I$4</xm:f>
          </x14:formula1>
          <xm:sqref>B25 B11 F25 B23 B19 B21</xm:sqref>
        </x14:dataValidation>
        <x14:dataValidation type="list" allowBlank="1" showInputMessage="1" xr:uid="{00000000-0002-0000-0000-000003000000}">
          <x14:formula1>
            <xm:f>'Data Conversions'!$I$47:$I$53</xm:f>
          </x14:formula1>
          <xm:sqref>F21</xm:sqref>
        </x14:dataValidation>
        <x14:dataValidation type="list" allowBlank="1" showInputMessage="1" showErrorMessage="1" xr:uid="{00000000-0002-0000-0000-000004000000}">
          <x14:formula1>
            <xm:f>'Data Conversions'!$I$37:$I$41</xm:f>
          </x14:formula1>
          <xm:sqref>F7</xm:sqref>
        </x14:dataValidation>
        <x14:dataValidation type="list" errorStyle="information" allowBlank="1" showInputMessage="1" showErrorMessage="1" xr:uid="{00000000-0002-0000-0000-00000A000000}">
          <x14:formula1>
            <xm:f>'Data Conversions'!$I$7:$I$16</xm:f>
          </x14:formula1>
          <xm:sqref>F11</xm:sqref>
        </x14:dataValidation>
        <x14:dataValidation type="list" allowBlank="1" showInputMessage="1" showErrorMessage="1" xr:uid="{0DA1BA3B-82C8-4BF1-A1F1-E880E4DB6A86}">
          <x14:formula1>
            <xm:f>'Data Conversions'!$I$59:$I$63</xm:f>
          </x14:formula1>
          <xm:sqref>F23</xm:sqref>
        </x14:dataValidation>
        <x14:dataValidation type="list" allowBlank="1" showInputMessage="1" showErrorMessage="1" xr:uid="{00000000-0002-0000-0000-000005000000}">
          <x14:formula1>
            <xm:f>'Data Conversions'!$I$20:$I$23</xm:f>
          </x14:formula1>
          <xm:sqref>B3</xm:sqref>
        </x14:dataValidation>
        <x14:dataValidation type="list" errorStyle="warning" allowBlank="1" showInputMessage="1" showErrorMessage="1" xr:uid="{F122B00A-4ADB-441F-B68C-07AC66FC54D0}">
          <x14:formula1>
            <xm:f>'Data Conversions'!$I$37:$I$41</xm:f>
          </x14:formula1>
          <xm:sqref>F15</xm:sqref>
        </x14:dataValidation>
        <x14:dataValidation type="list" errorStyle="information" allowBlank="1" showInputMessage="1" showErrorMessage="1" xr:uid="{00000000-0002-0000-0000-000006000000}">
          <x14:formula1>
            <xm:f>'Data Conversions'!$G$1:$G$69</xm:f>
          </x14:formula1>
          <xm:sqref>F1</xm:sqref>
        </x14:dataValidation>
        <x14:dataValidation type="list" errorStyle="warning" allowBlank="1" showErrorMessage="1" error="Not a Stock Color! Please Check With Ross" xr:uid="{E7711687-7325-44B6-B1A8-2699DEEDF626}">
          <x14:formula1>
            <xm:f>'Data Conversions'!$B$1:$B$83</xm:f>
          </x14:formula1>
          <xm:sqref>F5</xm:sqref>
        </x14:dataValidation>
        <x14:dataValidation type="list" errorStyle="warning" allowBlank="1" showInputMessage="1" showErrorMessage="1" xr:uid="{3AC4B485-A2FB-4166-B1E7-CB66B8B0A581}">
          <x14:formula1>
            <xm:f>'Data Conversions'!$B$1:$B$77</xm:f>
          </x14:formula1>
          <xm:sqref>F13</xm:sqref>
        </x14:dataValidation>
        <x14:dataValidation type="list" errorStyle="warning" allowBlank="1" showErrorMessage="1" error="Not a Stock Color!" xr:uid="{E741F197-2520-4B8A-81FD-AB9BED284D75}">
          <x14:formula1>
            <xm:f>'Data Conversions'!$B$1:$B$77</xm:f>
          </x14:formula1>
          <xm:sqref>F9</xm:sqref>
        </x14:dataValidation>
        <x14:dataValidation type="list" errorStyle="warning" showErrorMessage="1" error="Not a Stock Color!" xr:uid="{00000000-0002-0000-0000-000007000000}">
          <x14:formula1>
            <xm:f>'Data Conversions'!$B$1:$B$77</xm:f>
          </x14:formula1>
          <xm:sqref>F17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FD038-FFA1-4C5F-ABC5-FD5DCB755798}">
  <sheetPr codeName="Sheet6"/>
  <dimension ref="A1:J637"/>
  <sheetViews>
    <sheetView showZeros="0" workbookViewId="0">
      <selection activeCell="G1" sqref="G1:H1"/>
    </sheetView>
  </sheetViews>
  <sheetFormatPr defaultColWidth="8.85546875" defaultRowHeight="15" x14ac:dyDescent="0.25"/>
  <cols>
    <col min="1" max="1" width="13" style="2" customWidth="1"/>
    <col min="2" max="2" width="64" bestFit="1" customWidth="1"/>
    <col min="3" max="5" width="12.7109375" customWidth="1"/>
    <col min="9" max="9" width="13.28515625" bestFit="1" customWidth="1"/>
  </cols>
  <sheetData>
    <row r="1" spans="1:10" ht="30.75" customHeight="1" x14ac:dyDescent="0.25">
      <c r="A1" s="2" t="s">
        <v>40</v>
      </c>
      <c r="B1" s="2" t="s">
        <v>41</v>
      </c>
      <c r="C1" s="2" t="s">
        <v>42</v>
      </c>
      <c r="D1" s="2" t="s">
        <v>44</v>
      </c>
      <c r="E1" s="2" t="s">
        <v>39</v>
      </c>
      <c r="G1" s="562">
        <f>SUM(E:E)</f>
        <v>0</v>
      </c>
      <c r="H1" s="563"/>
      <c r="I1" s="72"/>
    </row>
    <row r="2" spans="1:10" ht="15.75" x14ac:dyDescent="0.25">
      <c r="A2" s="2">
        <f>IF('Data Entry'!J2&gt;0,'Data Entry'!K2,'Data Entry'!L2)</f>
        <v>0</v>
      </c>
      <c r="B2" s="1">
        <f>IF('Data Entry'!J2&gt;0,'Data Entry'!L2,'Data Entry'!M2)</f>
        <v>0</v>
      </c>
      <c r="C2" s="1">
        <f>IF('Data Entry'!N2&gt;0,'Data Entry'!N2,'Data Entry'!O2)</f>
        <v>0</v>
      </c>
      <c r="D2" s="47">
        <f>IF('Data Entry'!P2&gt;0,'Data Entry'!P2,'Data Entry'!Q2)</f>
        <v>0</v>
      </c>
      <c r="E2" s="46">
        <f>IF('Data Entry'!J2&gt;0,'Data Entry'!J2,'Data Entry'!K2)</f>
        <v>0</v>
      </c>
      <c r="I2" s="416"/>
      <c r="J2" s="68"/>
    </row>
    <row r="3" spans="1:10" ht="15.75" x14ac:dyDescent="0.25">
      <c r="A3" s="2">
        <f>IF('Data Entry'!J3&gt;0,'Data Entry'!K3,'Data Entry'!L3)</f>
        <v>0</v>
      </c>
      <c r="B3" s="1">
        <f>IF('Data Entry'!J3&gt;0,'Data Entry'!L3,'Data Entry'!M3)</f>
        <v>0</v>
      </c>
      <c r="C3" s="1">
        <f>IF('Data Entry'!N3&gt;0,'Data Entry'!N3,'Data Entry'!O3)</f>
        <v>0</v>
      </c>
      <c r="D3" s="47">
        <f>IF('Data Entry'!P3&gt;0,'Data Entry'!P3,'Data Entry'!Q3)</f>
        <v>0</v>
      </c>
      <c r="E3" s="46">
        <f>IF('Data Entry'!J3&gt;0,'Data Entry'!J3,'Data Entry'!K3)</f>
        <v>0</v>
      </c>
      <c r="I3" s="68"/>
      <c r="J3" s="68"/>
    </row>
    <row r="4" spans="1:10" x14ac:dyDescent="0.25">
      <c r="A4" s="2">
        <f>IF('Data Entry'!J4&gt;0,'Data Entry'!K4,'Data Entry'!L4)</f>
        <v>0</v>
      </c>
      <c r="B4" s="1">
        <f>IF('Data Entry'!J4&gt;0,'Data Entry'!L4,'Data Entry'!M4)</f>
        <v>0</v>
      </c>
      <c r="C4" s="1">
        <f>IF('Data Entry'!N4&gt;0,'Data Entry'!N4,'Data Entry'!O4)</f>
        <v>0</v>
      </c>
      <c r="D4" s="47">
        <f>IF('Data Entry'!P4&gt;0,'Data Entry'!P4,'Data Entry'!Q4)</f>
        <v>0</v>
      </c>
      <c r="E4" s="46">
        <f>IF('Data Entry'!J4&gt;0,'Data Entry'!J4,'Data Entry'!K4)</f>
        <v>0</v>
      </c>
    </row>
    <row r="5" spans="1:10" x14ac:dyDescent="0.25">
      <c r="A5" s="2">
        <f>IF('Data Entry'!J5&gt;0,'Data Entry'!K5,'Data Entry'!L5)</f>
        <v>0</v>
      </c>
      <c r="B5" s="1">
        <f>IF('Data Entry'!J5&gt;0,'Data Entry'!L5,'Data Entry'!M5)</f>
        <v>0</v>
      </c>
      <c r="C5" s="1">
        <f>IF('Data Entry'!N5&gt;0,'Data Entry'!N5,'Data Entry'!O5)</f>
        <v>0</v>
      </c>
      <c r="D5" s="47">
        <f>IF('Data Entry'!P5&gt;0,'Data Entry'!P5,'Data Entry'!Q5)</f>
        <v>0</v>
      </c>
      <c r="E5" s="46">
        <f>IF('Data Entry'!J5&gt;0,'Data Entry'!J5,'Data Entry'!K5)</f>
        <v>0</v>
      </c>
    </row>
    <row r="6" spans="1:10" x14ac:dyDescent="0.25">
      <c r="A6" s="2">
        <f>IF('Data Entry'!J6&gt;0,'Data Entry'!K6,'Data Entry'!L6)</f>
        <v>0</v>
      </c>
      <c r="B6" s="1">
        <f>IF('Data Entry'!J6&gt;0,'Data Entry'!L6,'Data Entry'!M6)</f>
        <v>0</v>
      </c>
      <c r="C6" s="1">
        <f>IF('Data Entry'!N6&gt;0,'Data Entry'!N6,'Data Entry'!O6)</f>
        <v>0</v>
      </c>
      <c r="D6" s="47">
        <f>IF('Data Entry'!P6&gt;0,'Data Entry'!P6,'Data Entry'!Q6)</f>
        <v>0</v>
      </c>
      <c r="E6" s="46">
        <f>IF('Data Entry'!J6&gt;0,'Data Entry'!J6,'Data Entry'!K6)</f>
        <v>0</v>
      </c>
    </row>
    <row r="7" spans="1:10" x14ac:dyDescent="0.25">
      <c r="A7" s="2">
        <f>IF('Data Entry'!J7&gt;0,'Data Entry'!K7,'Data Entry'!L7)</f>
        <v>0</v>
      </c>
      <c r="B7" s="1">
        <f>IF('Data Entry'!J7&gt;0,'Data Entry'!L7,'Data Entry'!M7)</f>
        <v>0</v>
      </c>
      <c r="C7" s="1">
        <f>IF('Data Entry'!N7&gt;0,'Data Entry'!N7,'Data Entry'!O7)</f>
        <v>0</v>
      </c>
      <c r="D7" s="47">
        <f>IF('Data Entry'!P7&gt;0,'Data Entry'!P7,'Data Entry'!Q7)</f>
        <v>0</v>
      </c>
      <c r="E7" s="46">
        <f>IF('Data Entry'!J7&gt;0,'Data Entry'!J7,'Data Entry'!K7)</f>
        <v>0</v>
      </c>
    </row>
    <row r="8" spans="1:10" x14ac:dyDescent="0.25">
      <c r="A8" s="2">
        <f>IF('Data Entry'!J8&gt;0,'Data Entry'!K8,'Data Entry'!L8)</f>
        <v>0</v>
      </c>
      <c r="B8" s="1">
        <f>IF('Data Entry'!J8&gt;0,'Data Entry'!L8,'Data Entry'!M8)</f>
        <v>0</v>
      </c>
      <c r="C8" s="1">
        <f>IF('Data Entry'!N8&gt;0,'Data Entry'!N8,'Data Entry'!O8)</f>
        <v>0</v>
      </c>
      <c r="D8" s="47">
        <f>IF('Data Entry'!P8&gt;0,'Data Entry'!P8,'Data Entry'!Q8)</f>
        <v>0</v>
      </c>
      <c r="E8" s="46">
        <f>IF('Data Entry'!J8&gt;0,'Data Entry'!J8,'Data Entry'!K8)</f>
        <v>0</v>
      </c>
    </row>
    <row r="9" spans="1:10" x14ac:dyDescent="0.25">
      <c r="A9" s="2">
        <f>IF('Data Entry'!J9&gt;0,'Data Entry'!K9,'Data Entry'!L9)</f>
        <v>0</v>
      </c>
      <c r="B9" s="1">
        <f>IF('Data Entry'!J9&gt;0,'Data Entry'!L9,'Data Entry'!M9)</f>
        <v>0</v>
      </c>
      <c r="C9" s="1">
        <f>IF('Data Entry'!N9&gt;0,'Data Entry'!N9,'Data Entry'!O9)</f>
        <v>0</v>
      </c>
      <c r="D9" s="47">
        <f>IF('Data Entry'!P9&gt;0,'Data Entry'!P9,'Data Entry'!Q9)</f>
        <v>0</v>
      </c>
      <c r="E9" s="46">
        <f>IF('Data Entry'!J9&gt;0,'Data Entry'!J9,'Data Entry'!K9)</f>
        <v>0</v>
      </c>
    </row>
    <row r="10" spans="1:10" x14ac:dyDescent="0.25">
      <c r="A10" s="2">
        <f>IF('Data Entry'!J10&gt;0,'Data Entry'!K10,'Data Entry'!L10)</f>
        <v>0</v>
      </c>
      <c r="B10" s="1">
        <f>IF('Data Entry'!J10&gt;0,'Data Entry'!L10,'Data Entry'!M10)</f>
        <v>0</v>
      </c>
      <c r="C10" s="1">
        <f>IF('Data Entry'!N10&gt;0,'Data Entry'!N10,'Data Entry'!O10)</f>
        <v>0</v>
      </c>
      <c r="D10" s="47">
        <f>IF('Data Entry'!P10&gt;0,'Data Entry'!P10,'Data Entry'!Q10)</f>
        <v>0</v>
      </c>
      <c r="E10" s="46">
        <f>IF('Data Entry'!J10&gt;0,'Data Entry'!J10,'Data Entry'!K10)</f>
        <v>0</v>
      </c>
    </row>
    <row r="11" spans="1:10" x14ac:dyDescent="0.25">
      <c r="A11" s="2">
        <f>IF('Data Entry'!J11&gt;0,'Data Entry'!K11,'Data Entry'!L11)</f>
        <v>0</v>
      </c>
      <c r="B11" s="1">
        <f>IF('Data Entry'!J11&gt;0,'Data Entry'!L11,'Data Entry'!M11)</f>
        <v>0</v>
      </c>
      <c r="C11" s="1">
        <f>IF('Data Entry'!N11&gt;0,'Data Entry'!N11,'Data Entry'!O11)</f>
        <v>0</v>
      </c>
      <c r="D11" s="47">
        <f>IF('Data Entry'!P11&gt;0,'Data Entry'!P11,'Data Entry'!Q11)</f>
        <v>0</v>
      </c>
      <c r="E11" s="46">
        <f>IF('Data Entry'!J11&gt;0,'Data Entry'!J11,'Data Entry'!K11)</f>
        <v>0</v>
      </c>
    </row>
    <row r="12" spans="1:10" x14ac:dyDescent="0.25">
      <c r="A12" s="2">
        <f>IF('Data Entry'!J12&gt;0,'Data Entry'!K12,'Data Entry'!L12)</f>
        <v>0</v>
      </c>
      <c r="B12" s="1">
        <f>IF('Data Entry'!J12&gt;0,'Data Entry'!L12,'Data Entry'!M12)</f>
        <v>0</v>
      </c>
      <c r="C12" s="1">
        <f>IF('Data Entry'!N12&gt;0,'Data Entry'!N12,'Data Entry'!O12)</f>
        <v>0</v>
      </c>
      <c r="D12" s="47">
        <f>IF('Data Entry'!P12&gt;0,'Data Entry'!P12,'Data Entry'!Q12)</f>
        <v>0</v>
      </c>
      <c r="E12" s="46">
        <f>IF('Data Entry'!J12&gt;0,'Data Entry'!J12,'Data Entry'!K12)</f>
        <v>0</v>
      </c>
    </row>
    <row r="13" spans="1:10" x14ac:dyDescent="0.25">
      <c r="A13" s="2">
        <f>IF('Data Entry'!J13&gt;0,'Data Entry'!K13,'Data Entry'!L13)</f>
        <v>0</v>
      </c>
      <c r="B13" s="1">
        <f>IF('Data Entry'!J13&gt;0,'Data Entry'!L13,'Data Entry'!M13)</f>
        <v>0</v>
      </c>
      <c r="C13" s="1">
        <f>IF('Data Entry'!N13&gt;0,'Data Entry'!N13,'Data Entry'!O13)</f>
        <v>0</v>
      </c>
      <c r="D13" s="47">
        <f>IF('Data Entry'!P13&gt;0,'Data Entry'!P13,'Data Entry'!Q13)</f>
        <v>0</v>
      </c>
      <c r="E13" s="46">
        <f>IF('Data Entry'!J13&gt;0,'Data Entry'!J13,'Data Entry'!K13)</f>
        <v>0</v>
      </c>
    </row>
    <row r="14" spans="1:10" x14ac:dyDescent="0.25">
      <c r="A14" s="2">
        <f>IF('Data Entry'!J14&gt;0,'Data Entry'!K14,'Data Entry'!L14)</f>
        <v>0</v>
      </c>
      <c r="B14" s="1">
        <f>IF('Data Entry'!J14&gt;0,'Data Entry'!L14,'Data Entry'!M14)</f>
        <v>0</v>
      </c>
      <c r="C14" s="1">
        <f>IF('Data Entry'!N14&gt;0,'Data Entry'!N14,'Data Entry'!O14)</f>
        <v>0</v>
      </c>
      <c r="D14" s="47">
        <f>IF('Data Entry'!P14&gt;0,'Data Entry'!P14,'Data Entry'!Q14)</f>
        <v>0</v>
      </c>
      <c r="E14" s="46">
        <f>IF('Data Entry'!J14&gt;0,'Data Entry'!J14,'Data Entry'!K14)</f>
        <v>0</v>
      </c>
    </row>
    <row r="15" spans="1:10" x14ac:dyDescent="0.25">
      <c r="A15" s="2">
        <f>IF('Data Entry'!J15&gt;0,'Data Entry'!K15,'Data Entry'!L15)</f>
        <v>0</v>
      </c>
      <c r="B15" s="1">
        <f>IF('Data Entry'!J15&gt;0,'Data Entry'!L15,'Data Entry'!M15)</f>
        <v>0</v>
      </c>
      <c r="C15" s="1">
        <f>IF('Data Entry'!N15&gt;0,'Data Entry'!N15,'Data Entry'!O15)</f>
        <v>0</v>
      </c>
      <c r="D15" s="47">
        <f>IF('Data Entry'!P15&gt;0,'Data Entry'!P15,'Data Entry'!Q15)</f>
        <v>0</v>
      </c>
      <c r="E15" s="46">
        <f>IF('Data Entry'!J15&gt;0,'Data Entry'!J15,'Data Entry'!K15)</f>
        <v>0</v>
      </c>
    </row>
    <row r="16" spans="1:10" x14ac:dyDescent="0.25">
      <c r="A16" s="2">
        <f>IF('Data Entry'!J16&gt;0,'Data Entry'!K16,'Data Entry'!L16)</f>
        <v>0</v>
      </c>
      <c r="B16" s="1">
        <f>IF('Data Entry'!J16&gt;0,'Data Entry'!L16,'Data Entry'!M16)</f>
        <v>0</v>
      </c>
      <c r="C16" s="1">
        <f>IF('Data Entry'!N16&gt;0,'Data Entry'!N16,'Data Entry'!O16)</f>
        <v>0</v>
      </c>
      <c r="D16" s="47">
        <f>IF('Data Entry'!P16&gt;0,'Data Entry'!P16,'Data Entry'!Q16)</f>
        <v>0</v>
      </c>
      <c r="E16" s="46">
        <f>IF('Data Entry'!J16&gt;0,'Data Entry'!J16,'Data Entry'!K16)</f>
        <v>0</v>
      </c>
    </row>
    <row r="17" spans="1:5" x14ac:dyDescent="0.25">
      <c r="A17" s="2">
        <f>IF('Data Entry'!J17&gt;0,'Data Entry'!K17,'Data Entry'!L17)</f>
        <v>0</v>
      </c>
      <c r="B17" s="1">
        <f>IF('Data Entry'!J17&gt;0,'Data Entry'!L17,'Data Entry'!M17)</f>
        <v>0</v>
      </c>
      <c r="C17" s="1">
        <f>IF('Data Entry'!N17&gt;0,'Data Entry'!N17,'Data Entry'!O17)</f>
        <v>0</v>
      </c>
      <c r="D17" s="47">
        <f>IF('Data Entry'!P17&gt;0,'Data Entry'!P17,'Data Entry'!Q17)</f>
        <v>0</v>
      </c>
      <c r="E17" s="46">
        <f>IF('Data Entry'!J17&gt;0,'Data Entry'!J17,'Data Entry'!K17)</f>
        <v>0</v>
      </c>
    </row>
    <row r="18" spans="1:5" x14ac:dyDescent="0.25">
      <c r="A18" s="2">
        <f>IF('Data Entry'!J18&gt;0,'Data Entry'!K18,'Data Entry'!L18)</f>
        <v>0</v>
      </c>
      <c r="B18" s="1">
        <f>IF('Data Entry'!J18&gt;0,'Data Entry'!L18,'Data Entry'!M18)</f>
        <v>0</v>
      </c>
      <c r="C18" s="1">
        <f>IF('Data Entry'!N18&gt;0,'Data Entry'!N18,'Data Entry'!O18)</f>
        <v>0</v>
      </c>
      <c r="D18" s="47">
        <f>IF('Data Entry'!P18&gt;0,'Data Entry'!P18,'Data Entry'!Q18)</f>
        <v>0</v>
      </c>
      <c r="E18" s="46">
        <f>IF('Data Entry'!J18&gt;0,'Data Entry'!J18,'Data Entry'!K18)</f>
        <v>0</v>
      </c>
    </row>
    <row r="19" spans="1:5" x14ac:dyDescent="0.25">
      <c r="A19" s="2">
        <f>IF('Data Entry'!J19&gt;0,'Data Entry'!K19,'Data Entry'!L19)</f>
        <v>0</v>
      </c>
      <c r="B19" s="1">
        <f>IF('Data Entry'!J19&gt;0,'Data Entry'!L19,'Data Entry'!M19)</f>
        <v>0</v>
      </c>
      <c r="C19" s="1">
        <f>IF('Data Entry'!N19&gt;0,'Data Entry'!N19,'Data Entry'!O19)</f>
        <v>0</v>
      </c>
      <c r="D19" s="47">
        <f>IF('Data Entry'!P19&gt;0,'Data Entry'!P19,'Data Entry'!Q19)</f>
        <v>0</v>
      </c>
      <c r="E19" s="46">
        <f>IF('Data Entry'!J19&gt;0,'Data Entry'!J19,'Data Entry'!K19)</f>
        <v>0</v>
      </c>
    </row>
    <row r="20" spans="1:5" x14ac:dyDescent="0.25">
      <c r="A20" s="2">
        <f>IF('Data Entry'!J20&gt;0,'Data Entry'!K20,'Data Entry'!L20)</f>
        <v>0</v>
      </c>
      <c r="B20" s="1">
        <f>IF('Data Entry'!J20&gt;0,'Data Entry'!L20,'Data Entry'!M20)</f>
        <v>0</v>
      </c>
      <c r="C20" s="1">
        <f>IF('Data Entry'!N20&gt;0,'Data Entry'!N20,'Data Entry'!O20)</f>
        <v>0</v>
      </c>
      <c r="D20" s="47">
        <f>IF('Data Entry'!P20&gt;0,'Data Entry'!P20,'Data Entry'!Q20)</f>
        <v>0</v>
      </c>
      <c r="E20" s="46">
        <f>IF('Data Entry'!J20&gt;0,'Data Entry'!J20,'Data Entry'!K20)</f>
        <v>0</v>
      </c>
    </row>
    <row r="21" spans="1:5" x14ac:dyDescent="0.25">
      <c r="A21" s="2">
        <f>IF('Data Entry'!J21&gt;0,'Data Entry'!K21,'Data Entry'!L21)</f>
        <v>0</v>
      </c>
      <c r="B21" s="1">
        <f>IF('Data Entry'!J21&gt;0,'Data Entry'!L21,'Data Entry'!M21)</f>
        <v>0</v>
      </c>
      <c r="C21" s="1">
        <f>IF('Data Entry'!N21&gt;0,'Data Entry'!N21,'Data Entry'!O21)</f>
        <v>0</v>
      </c>
      <c r="D21" s="47">
        <f>IF('Data Entry'!P21&gt;0,'Data Entry'!P21,'Data Entry'!Q21)</f>
        <v>0</v>
      </c>
      <c r="E21" s="46">
        <f>IF('Data Entry'!J21&gt;0,'Data Entry'!J21,'Data Entry'!K21)</f>
        <v>0</v>
      </c>
    </row>
    <row r="22" spans="1:5" x14ac:dyDescent="0.25">
      <c r="A22" s="2">
        <f>IF('Data Entry'!J22&gt;0,'Data Entry'!K22,'Data Entry'!L22)</f>
        <v>0</v>
      </c>
      <c r="B22" s="1">
        <f>IF('Data Entry'!J22&gt;0,'Data Entry'!L22,'Data Entry'!M22)</f>
        <v>0</v>
      </c>
      <c r="C22" s="1">
        <f>IF('Data Entry'!N22&gt;0,'Data Entry'!N22,'Data Entry'!O22)</f>
        <v>0</v>
      </c>
      <c r="D22" s="47">
        <f>IF('Data Entry'!P22&gt;0,'Data Entry'!P22,'Data Entry'!Q22)</f>
        <v>0</v>
      </c>
      <c r="E22" s="46">
        <f>IF('Data Entry'!J22&gt;0,'Data Entry'!J22,'Data Entry'!K22)</f>
        <v>0</v>
      </c>
    </row>
    <row r="23" spans="1:5" x14ac:dyDescent="0.25">
      <c r="A23" s="2">
        <f>IF('Data Entry'!J23&gt;0,'Data Entry'!K23,'Data Entry'!L23)</f>
        <v>0</v>
      </c>
      <c r="B23" s="1">
        <f>IF('Data Entry'!J23&gt;0,'Data Entry'!L23,'Data Entry'!M23)</f>
        <v>0</v>
      </c>
      <c r="C23" s="1">
        <f>IF('Data Entry'!N23&gt;0,'Data Entry'!N23,'Data Entry'!O23)</f>
        <v>0</v>
      </c>
      <c r="D23" s="47">
        <f>IF('Data Entry'!P23&gt;0,'Data Entry'!P23,'Data Entry'!Q23)</f>
        <v>0</v>
      </c>
      <c r="E23" s="46">
        <f>IF('Data Entry'!J23&gt;0,'Data Entry'!J23,'Data Entry'!K23)</f>
        <v>0</v>
      </c>
    </row>
    <row r="24" spans="1:5" x14ac:dyDescent="0.25">
      <c r="A24" s="2">
        <f>IF('Data Entry'!J24&gt;0,'Data Entry'!K24,'Data Entry'!L24)</f>
        <v>0</v>
      </c>
      <c r="B24" s="1">
        <f>IF('Data Entry'!J24&gt;0,'Data Entry'!L24,'Data Entry'!M24)</f>
        <v>0</v>
      </c>
      <c r="C24" s="1">
        <f>IF('Data Entry'!N24&gt;0,'Data Entry'!N24,'Data Entry'!O24)</f>
        <v>0</v>
      </c>
      <c r="D24" s="47">
        <f>IF('Data Entry'!P24&gt;0,'Data Entry'!P24,'Data Entry'!Q24)</f>
        <v>0</v>
      </c>
      <c r="E24" s="46">
        <f>IF('Data Entry'!J24&gt;0,'Data Entry'!J24,'Data Entry'!K24)</f>
        <v>0</v>
      </c>
    </row>
    <row r="25" spans="1:5" x14ac:dyDescent="0.25">
      <c r="A25" s="2">
        <f>IF('Data Entry'!J25&gt;0,'Data Entry'!K25,'Data Entry'!L25)</f>
        <v>0</v>
      </c>
      <c r="B25" s="1">
        <f>IF('Data Entry'!J25&gt;0,'Data Entry'!L25,'Data Entry'!M25)</f>
        <v>0</v>
      </c>
      <c r="C25" s="1">
        <f>IF('Data Entry'!N25&gt;0,'Data Entry'!N25,'Data Entry'!O25)</f>
        <v>0</v>
      </c>
      <c r="D25" s="47">
        <f>IF('Data Entry'!P25&gt;0,'Data Entry'!P25,'Data Entry'!Q25)</f>
        <v>0</v>
      </c>
      <c r="E25" s="46">
        <f>IF('Data Entry'!J25&gt;0,'Data Entry'!J25,'Data Entry'!K25)</f>
        <v>0</v>
      </c>
    </row>
    <row r="26" spans="1:5" x14ac:dyDescent="0.25">
      <c r="A26" s="2">
        <f>IF('Data Entry'!J26&gt;0,'Data Entry'!K26,'Data Entry'!L26)</f>
        <v>0</v>
      </c>
      <c r="B26" s="1">
        <f>IF('Data Entry'!J26&gt;0,'Data Entry'!L26,'Data Entry'!M26)</f>
        <v>0</v>
      </c>
      <c r="C26" s="1">
        <f>IF('Data Entry'!N26&gt;0,'Data Entry'!N26,'Data Entry'!O26)</f>
        <v>0</v>
      </c>
      <c r="D26" s="47">
        <f>IF('Data Entry'!P26&gt;0,'Data Entry'!P26,'Data Entry'!Q26)</f>
        <v>0</v>
      </c>
      <c r="E26" s="46">
        <f>IF('Data Entry'!J26&gt;0,'Data Entry'!J26,'Data Entry'!K26)</f>
        <v>0</v>
      </c>
    </row>
    <row r="27" spans="1:5" x14ac:dyDescent="0.25">
      <c r="A27" s="2">
        <f>IF('Data Entry'!J27&gt;0,'Data Entry'!K27,'Data Entry'!L27)</f>
        <v>0</v>
      </c>
      <c r="B27" s="1">
        <f>IF('Data Entry'!J27&gt;0,'Data Entry'!L27,'Data Entry'!M27)</f>
        <v>0</v>
      </c>
      <c r="C27" s="1">
        <f>IF('Data Entry'!N27&gt;0,'Data Entry'!N27,'Data Entry'!O27)</f>
        <v>0</v>
      </c>
      <c r="D27" s="47">
        <f>IF('Data Entry'!P27&gt;0,'Data Entry'!P27,'Data Entry'!Q27)</f>
        <v>0</v>
      </c>
      <c r="E27" s="46">
        <f>IF('Data Entry'!J27&gt;0,'Data Entry'!J27,'Data Entry'!K27)</f>
        <v>0</v>
      </c>
    </row>
    <row r="28" spans="1:5" x14ac:dyDescent="0.25">
      <c r="A28" s="2">
        <f>IF('Data Entry'!J28&gt;0,'Data Entry'!K28,'Data Entry'!L28)</f>
        <v>0</v>
      </c>
      <c r="B28" s="1">
        <f>IF('Data Entry'!J28&gt;0,'Data Entry'!L28,'Data Entry'!M28)</f>
        <v>0</v>
      </c>
      <c r="C28" s="1">
        <f>IF('Data Entry'!N28&gt;0,'Data Entry'!N28,'Data Entry'!O28)</f>
        <v>0</v>
      </c>
      <c r="D28" s="47">
        <f>IF('Data Entry'!P28&gt;0,'Data Entry'!P28,'Data Entry'!Q28)</f>
        <v>0</v>
      </c>
      <c r="E28" s="46">
        <f>IF('Data Entry'!J28&gt;0,'Data Entry'!J28,'Data Entry'!K28)</f>
        <v>0</v>
      </c>
    </row>
    <row r="29" spans="1:5" x14ac:dyDescent="0.25">
      <c r="A29" s="2">
        <f>IF('Data Entry'!J29&gt;0,'Data Entry'!K29,'Data Entry'!L29)</f>
        <v>0</v>
      </c>
      <c r="B29" s="1">
        <f>IF('Data Entry'!J29&gt;0,'Data Entry'!L29,'Data Entry'!M29)</f>
        <v>0</v>
      </c>
      <c r="C29" s="1">
        <f>IF('Data Entry'!N29&gt;0,'Data Entry'!N29,'Data Entry'!O29)</f>
        <v>0</v>
      </c>
      <c r="D29" s="47">
        <f>IF('Data Entry'!P29&gt;0,'Data Entry'!P29,'Data Entry'!Q29)</f>
        <v>0</v>
      </c>
      <c r="E29" s="46">
        <f>IF('Data Entry'!J29&gt;0,'Data Entry'!J29,'Data Entry'!K29)</f>
        <v>0</v>
      </c>
    </row>
    <row r="30" spans="1:5" x14ac:dyDescent="0.25">
      <c r="A30" s="2">
        <f>IF('Data Entry'!J30&gt;0,'Data Entry'!K30,'Data Entry'!L30)</f>
        <v>0</v>
      </c>
      <c r="B30" s="1">
        <f>IF('Data Entry'!J30&gt;0,'Data Entry'!L30,'Data Entry'!M30)</f>
        <v>0</v>
      </c>
      <c r="C30" s="1">
        <f>IF('Data Entry'!N30&gt;0,'Data Entry'!N30,'Data Entry'!O30)</f>
        <v>0</v>
      </c>
      <c r="D30" s="47">
        <f>IF('Data Entry'!P30&gt;0,'Data Entry'!P30,'Data Entry'!Q30)</f>
        <v>0</v>
      </c>
      <c r="E30" s="46">
        <f>IF('Data Entry'!J30&gt;0,'Data Entry'!J30,'Data Entry'!K30)</f>
        <v>0</v>
      </c>
    </row>
    <row r="31" spans="1:5" x14ac:dyDescent="0.25">
      <c r="A31" s="2">
        <f>IF('Data Entry'!J31&gt;0,'Data Entry'!K31,'Data Entry'!L31)</f>
        <v>0</v>
      </c>
      <c r="B31" s="1">
        <f>IF('Data Entry'!J31&gt;0,'Data Entry'!L31,'Data Entry'!M31)</f>
        <v>0</v>
      </c>
      <c r="C31" s="1">
        <f>IF('Data Entry'!N31&gt;0,'Data Entry'!N31,'Data Entry'!O31)</f>
        <v>0</v>
      </c>
      <c r="D31" s="47">
        <f>IF('Data Entry'!P31&gt;0,'Data Entry'!P31,'Data Entry'!Q31)</f>
        <v>0</v>
      </c>
      <c r="E31" s="46">
        <f>IF('Data Entry'!J31&gt;0,'Data Entry'!J31,'Data Entry'!K31)</f>
        <v>0</v>
      </c>
    </row>
    <row r="32" spans="1:5" x14ac:dyDescent="0.25">
      <c r="A32" s="2">
        <f>IF('Data Entry'!J32&gt;0,'Data Entry'!K32,'Data Entry'!L32)</f>
        <v>0</v>
      </c>
      <c r="B32" s="1">
        <f>IF('Data Entry'!J32&gt;0,'Data Entry'!L32,'Data Entry'!M32)</f>
        <v>0</v>
      </c>
      <c r="C32" s="1">
        <f>IF('Data Entry'!N32&gt;0,'Data Entry'!N32,'Data Entry'!O32)</f>
        <v>0</v>
      </c>
      <c r="D32" s="47">
        <f>IF('Data Entry'!P32&gt;0,'Data Entry'!P32,'Data Entry'!Q32)</f>
        <v>0</v>
      </c>
      <c r="E32" s="46">
        <f>IF('Data Entry'!J32&gt;0,'Data Entry'!J32,'Data Entry'!K32)</f>
        <v>0</v>
      </c>
    </row>
    <row r="33" spans="1:5" x14ac:dyDescent="0.25">
      <c r="A33" s="2">
        <f>IF('Data Entry'!J33&gt;0,'Data Entry'!K33,'Data Entry'!L33)</f>
        <v>0</v>
      </c>
      <c r="B33" s="1">
        <f>IF('Data Entry'!J33&gt;0,'Data Entry'!L33,'Data Entry'!M33)</f>
        <v>0</v>
      </c>
      <c r="C33" s="1">
        <f>IF('Data Entry'!N33&gt;0,'Data Entry'!N33,'Data Entry'!O33)</f>
        <v>0</v>
      </c>
      <c r="D33" s="47">
        <f>IF('Data Entry'!P33&gt;0,'Data Entry'!P33,'Data Entry'!Q33)</f>
        <v>0</v>
      </c>
      <c r="E33" s="46">
        <f>IF('Data Entry'!J33&gt;0,'Data Entry'!J33,'Data Entry'!K33)</f>
        <v>0</v>
      </c>
    </row>
    <row r="34" spans="1:5" x14ac:dyDescent="0.25">
      <c r="A34" s="2">
        <f>IF('Data Entry'!J34&gt;0,'Data Entry'!K34,'Data Entry'!L34)</f>
        <v>0</v>
      </c>
      <c r="B34" s="1">
        <f>IF('Data Entry'!J34&gt;0,'Data Entry'!L34,'Data Entry'!M34)</f>
        <v>0</v>
      </c>
      <c r="C34" s="1">
        <f>IF('Data Entry'!N34&gt;0,'Data Entry'!N34,'Data Entry'!O34)</f>
        <v>0</v>
      </c>
      <c r="D34" s="47">
        <f>IF('Data Entry'!P34&gt;0,'Data Entry'!P34,'Data Entry'!Q34)</f>
        <v>0</v>
      </c>
      <c r="E34" s="46">
        <f>IF('Data Entry'!J34&gt;0,'Data Entry'!J34,'Data Entry'!K34)</f>
        <v>0</v>
      </c>
    </row>
    <row r="35" spans="1:5" x14ac:dyDescent="0.25">
      <c r="A35" s="2">
        <f>IF('Data Entry'!J35&gt;0,'Data Entry'!K35,'Data Entry'!L35)</f>
        <v>0</v>
      </c>
      <c r="B35" s="1">
        <f>IF('Data Entry'!J35&gt;0,'Data Entry'!L35,'Data Entry'!M35)</f>
        <v>0</v>
      </c>
      <c r="C35" s="1">
        <f>IF('Data Entry'!N35&gt;0,'Data Entry'!N35,'Data Entry'!O35)</f>
        <v>0</v>
      </c>
      <c r="D35" s="47">
        <f>IF('Data Entry'!P35&gt;0,'Data Entry'!P35,'Data Entry'!Q35)</f>
        <v>0</v>
      </c>
      <c r="E35" s="46">
        <f>IF('Data Entry'!J35&gt;0,'Data Entry'!J35,'Data Entry'!K35)</f>
        <v>0</v>
      </c>
    </row>
    <row r="36" spans="1:5" x14ac:dyDescent="0.25">
      <c r="A36" s="2">
        <f>IF('Data Entry'!J36&gt;0,'Data Entry'!K36,'Data Entry'!L36)</f>
        <v>0</v>
      </c>
      <c r="B36" s="1">
        <f>IF('Data Entry'!J36&gt;0,'Data Entry'!L36,'Data Entry'!M36)</f>
        <v>0</v>
      </c>
      <c r="C36" s="1">
        <f>IF('Data Entry'!N36&gt;0,'Data Entry'!N36,'Data Entry'!O36)</f>
        <v>0</v>
      </c>
      <c r="D36" s="47">
        <f>IF('Data Entry'!P36&gt;0,'Data Entry'!P36,'Data Entry'!Q36)</f>
        <v>0</v>
      </c>
      <c r="E36" s="46">
        <f>IF('Data Entry'!J36&gt;0,'Data Entry'!J36,'Data Entry'!K36)</f>
        <v>0</v>
      </c>
    </row>
    <row r="37" spans="1:5" x14ac:dyDescent="0.25">
      <c r="A37" s="2">
        <f>IF('Data Entry'!J37&gt;0,'Data Entry'!K37,'Data Entry'!L37)</f>
        <v>0</v>
      </c>
      <c r="B37" s="1">
        <f>IF('Data Entry'!J37&gt;0,'Data Entry'!L37,'Data Entry'!M37)</f>
        <v>0</v>
      </c>
      <c r="C37" s="1">
        <f>IF('Data Entry'!N37&gt;0,'Data Entry'!N37,'Data Entry'!O37)</f>
        <v>0</v>
      </c>
      <c r="D37" s="47">
        <f>IF('Data Entry'!P37&gt;0,'Data Entry'!P37,'Data Entry'!Q37)</f>
        <v>0</v>
      </c>
      <c r="E37" s="46">
        <f>IF('Data Entry'!J37&gt;0,'Data Entry'!J37,'Data Entry'!K37)</f>
        <v>0</v>
      </c>
    </row>
    <row r="38" spans="1:5" x14ac:dyDescent="0.25">
      <c r="A38" s="2">
        <f>IF('Data Entry'!J38&gt;0,'Data Entry'!K38,'Data Entry'!L38)</f>
        <v>0</v>
      </c>
      <c r="B38" s="1">
        <f>IF('Data Entry'!J38&gt;0,'Data Entry'!L38,'Data Entry'!M38)</f>
        <v>0</v>
      </c>
      <c r="C38" s="1">
        <f>IF('Data Entry'!N38&gt;0,'Data Entry'!N38,'Data Entry'!O38)</f>
        <v>0</v>
      </c>
      <c r="D38" s="47">
        <f>IF('Data Entry'!P38&gt;0,'Data Entry'!P38,'Data Entry'!Q38)</f>
        <v>0</v>
      </c>
      <c r="E38" s="46">
        <f>IF('Data Entry'!J38&gt;0,'Data Entry'!J38,'Data Entry'!K38)</f>
        <v>0</v>
      </c>
    </row>
    <row r="39" spans="1:5" x14ac:dyDescent="0.25">
      <c r="A39" s="2">
        <f>IF('Data Entry'!J39&gt;0,'Data Entry'!K39,'Data Entry'!L39)</f>
        <v>0</v>
      </c>
      <c r="B39" s="1">
        <f>IF('Data Entry'!J39&gt;0,'Data Entry'!L39,'Data Entry'!M39)</f>
        <v>0</v>
      </c>
      <c r="C39" s="1">
        <f>IF('Data Entry'!N39&gt;0,'Data Entry'!N39,'Data Entry'!O39)</f>
        <v>0</v>
      </c>
      <c r="D39" s="47">
        <f>IF('Data Entry'!P39&gt;0,'Data Entry'!P39,'Data Entry'!Q39)</f>
        <v>0</v>
      </c>
      <c r="E39" s="46">
        <f>IF('Data Entry'!J39&gt;0,'Data Entry'!J39,'Data Entry'!K39)</f>
        <v>0</v>
      </c>
    </row>
    <row r="40" spans="1:5" x14ac:dyDescent="0.25">
      <c r="A40" s="2">
        <f>IF('Data Entry'!J40&gt;0,'Data Entry'!K40,'Data Entry'!L40)</f>
        <v>0</v>
      </c>
      <c r="B40" s="1">
        <f>IF('Data Entry'!J40&gt;0,'Data Entry'!L40,'Data Entry'!M40)</f>
        <v>0</v>
      </c>
      <c r="C40" s="1">
        <f>IF('Data Entry'!N40&gt;0,'Data Entry'!N40,'Data Entry'!O40)</f>
        <v>0</v>
      </c>
      <c r="D40" s="47">
        <f>IF('Data Entry'!P40&gt;0,'Data Entry'!P40,'Data Entry'!Q40)</f>
        <v>0</v>
      </c>
      <c r="E40" s="46">
        <f>IF('Data Entry'!J40&gt;0,'Data Entry'!J40,'Data Entry'!K40)</f>
        <v>0</v>
      </c>
    </row>
    <row r="41" spans="1:5" x14ac:dyDescent="0.25">
      <c r="A41" s="2">
        <f>IF('Data Entry'!J41&gt;0,'Data Entry'!K41,'Data Entry'!L41)</f>
        <v>0</v>
      </c>
      <c r="B41" s="1">
        <f>IF('Data Entry'!J41&gt;0,'Data Entry'!L41,'Data Entry'!M41)</f>
        <v>0</v>
      </c>
      <c r="C41" s="1">
        <f>IF('Data Entry'!N41&gt;0,'Data Entry'!N41,'Data Entry'!O41)</f>
        <v>0</v>
      </c>
      <c r="D41" s="47">
        <f>IF('Data Entry'!P41&gt;0,'Data Entry'!P41,'Data Entry'!Q41)</f>
        <v>0</v>
      </c>
      <c r="E41" s="46">
        <f>IF('Data Entry'!J41&gt;0,'Data Entry'!J41,'Data Entry'!K41)</f>
        <v>0</v>
      </c>
    </row>
    <row r="42" spans="1:5" x14ac:dyDescent="0.25">
      <c r="A42" s="2">
        <f>IF('Data Entry'!J42&gt;0,'Data Entry'!K42,'Data Entry'!L42)</f>
        <v>0</v>
      </c>
      <c r="B42" s="1">
        <f>IF('Data Entry'!J42&gt;0,'Data Entry'!L42,'Data Entry'!M42)</f>
        <v>0</v>
      </c>
      <c r="C42" s="1">
        <f>IF('Data Entry'!N42&gt;0,'Data Entry'!N42,'Data Entry'!O42)</f>
        <v>0</v>
      </c>
      <c r="D42" s="47">
        <f>IF('Data Entry'!P42&gt;0,'Data Entry'!P42,'Data Entry'!Q42)</f>
        <v>0</v>
      </c>
      <c r="E42" s="46">
        <f>IF('Data Entry'!J42&gt;0,'Data Entry'!J42,'Data Entry'!K42)</f>
        <v>0</v>
      </c>
    </row>
    <row r="43" spans="1:5" x14ac:dyDescent="0.25">
      <c r="A43" s="2">
        <f>IF('Data Entry'!J43&gt;0,'Data Entry'!K43,'Data Entry'!L43)</f>
        <v>0</v>
      </c>
      <c r="B43" s="1">
        <f>IF('Data Entry'!J43&gt;0,'Data Entry'!L43,'Data Entry'!M43)</f>
        <v>0</v>
      </c>
      <c r="C43" s="1">
        <f>IF('Data Entry'!N43&gt;0,'Data Entry'!N43,'Data Entry'!O43)</f>
        <v>0</v>
      </c>
      <c r="D43" s="47">
        <f>IF('Data Entry'!P43&gt;0,'Data Entry'!P43,'Data Entry'!Q43)</f>
        <v>0</v>
      </c>
      <c r="E43" s="46">
        <f>IF('Data Entry'!J43&gt;0,'Data Entry'!J43,'Data Entry'!K43)</f>
        <v>0</v>
      </c>
    </row>
    <row r="44" spans="1:5" x14ac:dyDescent="0.25">
      <c r="A44" s="2">
        <f>IF('Data Entry'!J44&gt;0,'Data Entry'!K44,'Data Entry'!L44)</f>
        <v>0</v>
      </c>
      <c r="B44" s="1">
        <f>IF('Data Entry'!J44&gt;0,'Data Entry'!L44,'Data Entry'!M44)</f>
        <v>0</v>
      </c>
      <c r="C44" s="1">
        <f>IF('Data Entry'!N44&gt;0,'Data Entry'!N44,'Data Entry'!O44)</f>
        <v>0</v>
      </c>
      <c r="D44" s="47">
        <f>IF('Data Entry'!P44&gt;0,'Data Entry'!P44,'Data Entry'!Q44)</f>
        <v>0</v>
      </c>
      <c r="E44" s="46">
        <f>IF('Data Entry'!J44&gt;0,'Data Entry'!J44,'Data Entry'!K44)</f>
        <v>0</v>
      </c>
    </row>
    <row r="45" spans="1:5" x14ac:dyDescent="0.25">
      <c r="A45" s="2">
        <f>IF('Data Entry'!J45&gt;0,'Data Entry'!K45,'Data Entry'!L45)</f>
        <v>0</v>
      </c>
      <c r="B45" s="1">
        <f>IF('Data Entry'!J45&gt;0,'Data Entry'!L45,'Data Entry'!M45)</f>
        <v>0</v>
      </c>
      <c r="C45" s="1">
        <f>IF('Data Entry'!N45&gt;0,'Data Entry'!N45,'Data Entry'!O45)</f>
        <v>0</v>
      </c>
      <c r="D45" s="47">
        <f>IF('Data Entry'!P45&gt;0,'Data Entry'!P45,'Data Entry'!Q45)</f>
        <v>0</v>
      </c>
      <c r="E45" s="46">
        <f>IF('Data Entry'!J45&gt;0,'Data Entry'!J45,'Data Entry'!K45)</f>
        <v>0</v>
      </c>
    </row>
    <row r="46" spans="1:5" x14ac:dyDescent="0.25">
      <c r="A46" s="2">
        <f>IF('Data Entry'!J46&gt;0,'Data Entry'!K46,'Data Entry'!L46)</f>
        <v>0</v>
      </c>
      <c r="B46" s="1">
        <f>IF('Data Entry'!J46&gt;0,'Data Entry'!L46,'Data Entry'!M46)</f>
        <v>0</v>
      </c>
      <c r="C46" s="1">
        <f>IF('Data Entry'!N46&gt;0,'Data Entry'!N46,'Data Entry'!O46)</f>
        <v>0</v>
      </c>
      <c r="D46" s="47">
        <f>IF('Data Entry'!P46&gt;0,'Data Entry'!P46,'Data Entry'!Q46)</f>
        <v>0</v>
      </c>
      <c r="E46" s="46">
        <f>IF('Data Entry'!J46&gt;0,'Data Entry'!J46,'Data Entry'!K46)</f>
        <v>0</v>
      </c>
    </row>
    <row r="47" spans="1:5" x14ac:dyDescent="0.25">
      <c r="A47" s="2">
        <f>IF('Data Entry'!J47&gt;0,'Data Entry'!K47,'Data Entry'!L47)</f>
        <v>0</v>
      </c>
      <c r="B47" s="1">
        <f>IF('Data Entry'!J47&gt;0,'Data Entry'!L47,'Data Entry'!M47)</f>
        <v>0</v>
      </c>
      <c r="C47" s="1">
        <f>IF('Data Entry'!N47&gt;0,'Data Entry'!N47,'Data Entry'!O47)</f>
        <v>0</v>
      </c>
      <c r="D47" s="47">
        <f>IF('Data Entry'!P47&gt;0,'Data Entry'!P47,'Data Entry'!Q47)</f>
        <v>0</v>
      </c>
      <c r="E47" s="46">
        <f>IF('Data Entry'!J47&gt;0,'Data Entry'!J47,'Data Entry'!K47)</f>
        <v>0</v>
      </c>
    </row>
    <row r="48" spans="1:5" x14ac:dyDescent="0.25">
      <c r="A48" s="2">
        <f>IF('Data Entry'!J48&gt;0,'Data Entry'!K48,'Data Entry'!L48)</f>
        <v>0</v>
      </c>
      <c r="B48" s="1">
        <f>IF('Data Entry'!J48&gt;0,'Data Entry'!L48,'Data Entry'!M48)</f>
        <v>0</v>
      </c>
      <c r="C48" s="1">
        <f>IF('Data Entry'!N48&gt;0,'Data Entry'!N48,'Data Entry'!O48)</f>
        <v>0</v>
      </c>
      <c r="D48" s="47">
        <f>IF('Data Entry'!P48&gt;0,'Data Entry'!P48,'Data Entry'!Q48)</f>
        <v>0</v>
      </c>
      <c r="E48" s="46">
        <f>IF('Data Entry'!J48&gt;0,'Data Entry'!J48,'Data Entry'!K48)</f>
        <v>0</v>
      </c>
    </row>
    <row r="49" spans="1:5" x14ac:dyDescent="0.25">
      <c r="A49" s="2">
        <f>IF('Data Entry'!J49&gt;0,'Data Entry'!K49,'Data Entry'!L49)</f>
        <v>0</v>
      </c>
      <c r="B49" s="1">
        <f>IF('Data Entry'!J49&gt;0,'Data Entry'!L49,'Data Entry'!M49)</f>
        <v>0</v>
      </c>
      <c r="C49" s="1">
        <f>IF('Data Entry'!N49&gt;0,'Data Entry'!N49,'Data Entry'!O49)</f>
        <v>0</v>
      </c>
      <c r="D49" s="47">
        <f>IF('Data Entry'!P49&gt;0,'Data Entry'!P49,'Data Entry'!Q49)</f>
        <v>0</v>
      </c>
      <c r="E49" s="46">
        <f>IF('Data Entry'!J49&gt;0,'Data Entry'!J49,'Data Entry'!K49)</f>
        <v>0</v>
      </c>
    </row>
    <row r="50" spans="1:5" x14ac:dyDescent="0.25">
      <c r="A50" s="2">
        <f>IF('Data Entry'!J50&gt;0,'Data Entry'!K50,'Data Entry'!L50)</f>
        <v>0</v>
      </c>
      <c r="B50" s="1">
        <f>IF('Data Entry'!J50&gt;0,'Data Entry'!L50,'Data Entry'!M50)</f>
        <v>0</v>
      </c>
      <c r="C50" s="1">
        <f>IF('Data Entry'!N50&gt;0,'Data Entry'!N50,'Data Entry'!O50)</f>
        <v>0</v>
      </c>
      <c r="D50" s="47">
        <f>IF('Data Entry'!P50&gt;0,'Data Entry'!P50,'Data Entry'!Q50)</f>
        <v>0</v>
      </c>
      <c r="E50" s="46">
        <f>IF('Data Entry'!J50&gt;0,'Data Entry'!J50,'Data Entry'!K50)</f>
        <v>0</v>
      </c>
    </row>
    <row r="51" spans="1:5" x14ac:dyDescent="0.25">
      <c r="A51" s="2">
        <f>IF('Data Entry'!J51&gt;0,'Data Entry'!K51,'Data Entry'!L51)</f>
        <v>0</v>
      </c>
      <c r="B51" s="1">
        <f>IF('Data Entry'!J51&gt;0,'Data Entry'!L51,'Data Entry'!M51)</f>
        <v>0</v>
      </c>
      <c r="C51" s="1">
        <f>IF('Data Entry'!N51&gt;0,'Data Entry'!N51,'Data Entry'!O51)</f>
        <v>0</v>
      </c>
      <c r="D51" s="47">
        <f>IF('Data Entry'!P51&gt;0,'Data Entry'!P51,'Data Entry'!Q51)</f>
        <v>0</v>
      </c>
      <c r="E51" s="46">
        <f>IF('Data Entry'!J51&gt;0,'Data Entry'!J51,'Data Entry'!K51)</f>
        <v>0</v>
      </c>
    </row>
    <row r="52" spans="1:5" x14ac:dyDescent="0.25">
      <c r="A52" s="2">
        <f>IF('Data Entry'!J52&gt;0,'Data Entry'!K52,'Data Entry'!L52)</f>
        <v>0</v>
      </c>
      <c r="B52" s="1">
        <f>IF('Data Entry'!J52&gt;0,'Data Entry'!L52,'Data Entry'!M52)</f>
        <v>0</v>
      </c>
      <c r="C52" s="1">
        <f>IF('Data Entry'!N52&gt;0,'Data Entry'!N52,'Data Entry'!O52)</f>
        <v>0</v>
      </c>
      <c r="D52" s="47">
        <f>IF('Data Entry'!P52&gt;0,'Data Entry'!P52,'Data Entry'!Q52)</f>
        <v>0</v>
      </c>
      <c r="E52" s="46">
        <f>IF('Data Entry'!J52&gt;0,'Data Entry'!J52,'Data Entry'!K52)</f>
        <v>0</v>
      </c>
    </row>
    <row r="53" spans="1:5" x14ac:dyDescent="0.25">
      <c r="A53" s="2">
        <f>IF('Data Entry'!J53&gt;0,'Data Entry'!K53,'Data Entry'!L53)</f>
        <v>0</v>
      </c>
      <c r="B53" s="1">
        <f>IF('Data Entry'!J53&gt;0,'Data Entry'!L53,'Data Entry'!M53)</f>
        <v>0</v>
      </c>
      <c r="C53" s="1">
        <f>IF('Data Entry'!N53&gt;0,'Data Entry'!N53,'Data Entry'!O53)</f>
        <v>0</v>
      </c>
      <c r="D53" s="47">
        <f>IF('Data Entry'!P53&gt;0,'Data Entry'!P53,'Data Entry'!Q53)</f>
        <v>0</v>
      </c>
      <c r="E53" s="46">
        <f>IF('Data Entry'!J53&gt;0,'Data Entry'!J53,'Data Entry'!K53)</f>
        <v>0</v>
      </c>
    </row>
    <row r="54" spans="1:5" x14ac:dyDescent="0.25">
      <c r="A54" s="2">
        <f>IF('Data Entry'!J54&gt;0,'Data Entry'!K54,'Data Entry'!L54)</f>
        <v>0</v>
      </c>
      <c r="B54" s="1">
        <f>IF('Data Entry'!J54&gt;0,'Data Entry'!L54,'Data Entry'!M54)</f>
        <v>0</v>
      </c>
      <c r="C54" s="1">
        <f>IF('Data Entry'!N54&gt;0,'Data Entry'!N54,'Data Entry'!O54)</f>
        <v>0</v>
      </c>
      <c r="D54" s="47">
        <f>IF('Data Entry'!P54&gt;0,'Data Entry'!P54,'Data Entry'!Q54)</f>
        <v>0</v>
      </c>
      <c r="E54" s="46">
        <f>IF('Data Entry'!J54&gt;0,'Data Entry'!J54,'Data Entry'!K54)</f>
        <v>0</v>
      </c>
    </row>
    <row r="55" spans="1:5" x14ac:dyDescent="0.25">
      <c r="A55" s="2">
        <f>IF('Data Entry'!J55&gt;0,'Data Entry'!K55,'Data Entry'!L55)</f>
        <v>0</v>
      </c>
      <c r="B55" s="1">
        <f>IF('Data Entry'!J55&gt;0,'Data Entry'!L55,'Data Entry'!M55)</f>
        <v>0</v>
      </c>
      <c r="C55" s="1">
        <f>IF('Data Entry'!N55&gt;0,'Data Entry'!N55,'Data Entry'!O55)</f>
        <v>0</v>
      </c>
      <c r="D55" s="47">
        <f>IF('Data Entry'!P55&gt;0,'Data Entry'!P55,'Data Entry'!Q55)</f>
        <v>0</v>
      </c>
      <c r="E55" s="46">
        <f>IF('Data Entry'!J55&gt;0,'Data Entry'!J55,'Data Entry'!K55)</f>
        <v>0</v>
      </c>
    </row>
    <row r="56" spans="1:5" x14ac:dyDescent="0.25">
      <c r="A56" s="2">
        <f>IF('Data Entry'!J56&gt;0,'Data Entry'!K56,'Data Entry'!L56)</f>
        <v>0</v>
      </c>
      <c r="B56" s="1">
        <f>IF('Data Entry'!J56&gt;0,'Data Entry'!L56,'Data Entry'!M56)</f>
        <v>0</v>
      </c>
      <c r="C56" s="1">
        <f>IF('Data Entry'!N56&gt;0,'Data Entry'!N56,'Data Entry'!O56)</f>
        <v>0</v>
      </c>
      <c r="D56" s="47">
        <f>IF('Data Entry'!P56&gt;0,'Data Entry'!P56,'Data Entry'!Q56)</f>
        <v>0</v>
      </c>
      <c r="E56" s="46">
        <f>IF('Data Entry'!J56&gt;0,'Data Entry'!J56,'Data Entry'!K56)</f>
        <v>0</v>
      </c>
    </row>
    <row r="57" spans="1:5" x14ac:dyDescent="0.25">
      <c r="A57" s="2">
        <f>IF('Data Entry'!J57&gt;0,'Data Entry'!K57,'Data Entry'!L57)</f>
        <v>0</v>
      </c>
      <c r="B57" s="1">
        <f>IF('Data Entry'!J57&gt;0,'Data Entry'!L57,'Data Entry'!M57)</f>
        <v>0</v>
      </c>
      <c r="C57" s="1">
        <f>IF('Data Entry'!N57&gt;0,'Data Entry'!N57,'Data Entry'!O57)</f>
        <v>0</v>
      </c>
      <c r="D57" s="47">
        <f>IF('Data Entry'!P57&gt;0,'Data Entry'!P57,'Data Entry'!Q57)</f>
        <v>0</v>
      </c>
      <c r="E57" s="46">
        <f>IF('Data Entry'!J57&gt;0,'Data Entry'!J57,'Data Entry'!K57)</f>
        <v>0</v>
      </c>
    </row>
    <row r="58" spans="1:5" x14ac:dyDescent="0.25">
      <c r="A58" s="2">
        <f>IF('Data Entry'!J58&gt;0,'Data Entry'!K58,'Data Entry'!L58)</f>
        <v>0</v>
      </c>
      <c r="B58" s="1">
        <f>IF('Data Entry'!J58&gt;0,'Data Entry'!L58,'Data Entry'!M58)</f>
        <v>0</v>
      </c>
      <c r="C58" s="1">
        <f>IF('Data Entry'!N58&gt;0,'Data Entry'!N58,'Data Entry'!O58)</f>
        <v>0</v>
      </c>
      <c r="D58" s="47">
        <f>IF('Data Entry'!P58&gt;0,'Data Entry'!P58,'Data Entry'!Q58)</f>
        <v>0</v>
      </c>
      <c r="E58" s="46">
        <f>IF('Data Entry'!J58&gt;0,'Data Entry'!J58,'Data Entry'!K58)</f>
        <v>0</v>
      </c>
    </row>
    <row r="59" spans="1:5" x14ac:dyDescent="0.25">
      <c r="A59" s="2">
        <f>IF('Data Entry'!J59&gt;0,'Data Entry'!K59,'Data Entry'!L59)</f>
        <v>0</v>
      </c>
      <c r="B59" s="1">
        <f>IF('Data Entry'!J59&gt;0,'Data Entry'!L59,'Data Entry'!M59)</f>
        <v>0</v>
      </c>
      <c r="C59" s="1">
        <f>IF('Data Entry'!N59&gt;0,'Data Entry'!N59,'Data Entry'!O59)</f>
        <v>0</v>
      </c>
      <c r="D59" s="47">
        <f>IF('Data Entry'!P59&gt;0,'Data Entry'!P59,'Data Entry'!Q59)</f>
        <v>0</v>
      </c>
      <c r="E59" s="46">
        <f>IF('Data Entry'!J59&gt;0,'Data Entry'!J59,'Data Entry'!K59)</f>
        <v>0</v>
      </c>
    </row>
    <row r="60" spans="1:5" x14ac:dyDescent="0.25">
      <c r="A60" s="2">
        <f>IF('Data Entry'!J60&gt;0,'Data Entry'!K60,'Data Entry'!L60)</f>
        <v>0</v>
      </c>
      <c r="B60" s="1">
        <f>IF('Data Entry'!J60&gt;0,'Data Entry'!L60,'Data Entry'!M60)</f>
        <v>0</v>
      </c>
      <c r="C60" s="1">
        <f>IF('Data Entry'!N60&gt;0,'Data Entry'!N60,'Data Entry'!O60)</f>
        <v>0</v>
      </c>
      <c r="D60" s="47">
        <f>IF('Data Entry'!P60&gt;0,'Data Entry'!P60,'Data Entry'!Q60)</f>
        <v>0</v>
      </c>
      <c r="E60" s="46">
        <f>IF('Data Entry'!J60&gt;0,'Data Entry'!J60,'Data Entry'!K60)</f>
        <v>0</v>
      </c>
    </row>
    <row r="61" spans="1:5" x14ac:dyDescent="0.25">
      <c r="A61" s="2">
        <f>IF('Data Entry'!J61&gt;0,'Data Entry'!K61,'Data Entry'!L61)</f>
        <v>0</v>
      </c>
      <c r="B61" s="1">
        <f>IF('Data Entry'!J61&gt;0,'Data Entry'!L61,'Data Entry'!M61)</f>
        <v>0</v>
      </c>
      <c r="C61" s="1">
        <f>IF('Data Entry'!N61&gt;0,'Data Entry'!N61,'Data Entry'!O61)</f>
        <v>0</v>
      </c>
      <c r="D61" s="47">
        <f>IF('Data Entry'!P61&gt;0,'Data Entry'!P61,'Data Entry'!Q61)</f>
        <v>0</v>
      </c>
      <c r="E61" s="46">
        <f>IF('Data Entry'!J61&gt;0,'Data Entry'!J61,'Data Entry'!K61)</f>
        <v>0</v>
      </c>
    </row>
    <row r="62" spans="1:5" x14ac:dyDescent="0.25">
      <c r="A62" s="2">
        <f>IF('Data Entry'!J62&gt;0,'Data Entry'!K62,'Data Entry'!L62)</f>
        <v>0</v>
      </c>
      <c r="B62" s="1">
        <f>IF('Data Entry'!J62&gt;0,'Data Entry'!L62,'Data Entry'!M62)</f>
        <v>0</v>
      </c>
      <c r="C62" s="1">
        <f>IF('Data Entry'!N62&gt;0,'Data Entry'!N62,'Data Entry'!O62)</f>
        <v>0</v>
      </c>
      <c r="D62" s="47">
        <f>IF('Data Entry'!P62&gt;0,'Data Entry'!P62,'Data Entry'!Q62)</f>
        <v>0</v>
      </c>
      <c r="E62" s="46">
        <f>IF('Data Entry'!J62&gt;0,'Data Entry'!J62,'Data Entry'!K62)</f>
        <v>0</v>
      </c>
    </row>
    <row r="63" spans="1:5" x14ac:dyDescent="0.25">
      <c r="A63" s="2">
        <f>IF('Data Entry'!J63&gt;0,'Data Entry'!K63,'Data Entry'!L63)</f>
        <v>0</v>
      </c>
      <c r="B63" s="1">
        <f>IF('Data Entry'!J63&gt;0,'Data Entry'!L63,'Data Entry'!M63)</f>
        <v>0</v>
      </c>
      <c r="C63" s="1">
        <f>IF('Data Entry'!N63&gt;0,'Data Entry'!N63,'Data Entry'!O63)</f>
        <v>0</v>
      </c>
      <c r="D63" s="47">
        <f>IF('Data Entry'!P63&gt;0,'Data Entry'!P63,'Data Entry'!Q63)</f>
        <v>0</v>
      </c>
      <c r="E63" s="46">
        <f>IF('Data Entry'!J63&gt;0,'Data Entry'!J63,'Data Entry'!K63)</f>
        <v>0</v>
      </c>
    </row>
    <row r="64" spans="1:5" x14ac:dyDescent="0.25">
      <c r="A64" s="2">
        <f>IF('Data Entry'!J64&gt;0,'Data Entry'!K64,'Data Entry'!L64)</f>
        <v>0</v>
      </c>
      <c r="B64" s="1">
        <f>IF('Data Entry'!J64&gt;0,'Data Entry'!L64,'Data Entry'!M64)</f>
        <v>0</v>
      </c>
      <c r="C64" s="1">
        <f>IF('Data Entry'!N64&gt;0,'Data Entry'!N64,'Data Entry'!O64)</f>
        <v>0</v>
      </c>
      <c r="D64" s="47">
        <f>IF('Data Entry'!P64&gt;0,'Data Entry'!P64,'Data Entry'!Q64)</f>
        <v>0</v>
      </c>
      <c r="E64" s="46">
        <f>IF('Data Entry'!J64&gt;0,'Data Entry'!J64,'Data Entry'!K64)</f>
        <v>0</v>
      </c>
    </row>
    <row r="65" spans="1:5" x14ac:dyDescent="0.25">
      <c r="A65" s="2">
        <f>IF('Data Entry'!J65&gt;0,'Data Entry'!K65,'Data Entry'!L65)</f>
        <v>0</v>
      </c>
      <c r="B65" s="1">
        <f>IF('Data Entry'!J65&gt;0,'Data Entry'!L65,'Data Entry'!M65)</f>
        <v>0</v>
      </c>
      <c r="C65" s="1">
        <f>IF('Data Entry'!N65&gt;0,'Data Entry'!N65,'Data Entry'!O65)</f>
        <v>0</v>
      </c>
      <c r="D65" s="47">
        <f>IF('Data Entry'!P65&gt;0,'Data Entry'!P65,'Data Entry'!Q65)</f>
        <v>0</v>
      </c>
      <c r="E65" s="46">
        <f>IF('Data Entry'!J65&gt;0,'Data Entry'!J65,'Data Entry'!K65)</f>
        <v>0</v>
      </c>
    </row>
    <row r="66" spans="1:5" x14ac:dyDescent="0.25">
      <c r="A66" s="2">
        <f>IF('Data Entry'!J66&gt;0,'Data Entry'!K66,'Data Entry'!L66)</f>
        <v>0</v>
      </c>
      <c r="B66" s="1">
        <f>IF('Data Entry'!J66&gt;0,'Data Entry'!L66,'Data Entry'!M66)</f>
        <v>0</v>
      </c>
      <c r="C66" s="1">
        <f>IF('Data Entry'!N66&gt;0,'Data Entry'!N66,'Data Entry'!O66)</f>
        <v>0</v>
      </c>
      <c r="D66" s="47">
        <f>IF('Data Entry'!P66&gt;0,'Data Entry'!P66,'Data Entry'!Q66)</f>
        <v>0</v>
      </c>
      <c r="E66" s="46">
        <f>IF('Data Entry'!J66&gt;0,'Data Entry'!J66,'Data Entry'!K66)</f>
        <v>0</v>
      </c>
    </row>
    <row r="67" spans="1:5" x14ac:dyDescent="0.25">
      <c r="A67" s="2">
        <f>IF('Data Entry'!J67&gt;0,'Data Entry'!K67,'Data Entry'!L67)</f>
        <v>0</v>
      </c>
      <c r="B67" s="1">
        <f>IF('Data Entry'!J67&gt;0,'Data Entry'!L67,'Data Entry'!M67)</f>
        <v>0</v>
      </c>
      <c r="C67" s="1">
        <f>IF('Data Entry'!N67&gt;0,'Data Entry'!N67,'Data Entry'!O67)</f>
        <v>0</v>
      </c>
      <c r="D67" s="47">
        <f>IF('Data Entry'!P67&gt;0,'Data Entry'!P67,'Data Entry'!Q67)</f>
        <v>0</v>
      </c>
      <c r="E67" s="46">
        <f>IF('Data Entry'!J67&gt;0,'Data Entry'!J67,'Data Entry'!K67)</f>
        <v>0</v>
      </c>
    </row>
    <row r="68" spans="1:5" x14ac:dyDescent="0.25">
      <c r="A68" s="2">
        <f>IF('Data Entry'!J68&gt;0,'Data Entry'!K68,'Data Entry'!L68)</f>
        <v>0</v>
      </c>
      <c r="B68" s="1">
        <f>IF('Data Entry'!J68&gt;0,'Data Entry'!L68,'Data Entry'!M68)</f>
        <v>0</v>
      </c>
      <c r="C68" s="1">
        <f>IF('Data Entry'!N68&gt;0,'Data Entry'!N68,'Data Entry'!O68)</f>
        <v>0</v>
      </c>
      <c r="D68" s="47">
        <f>IF('Data Entry'!P68&gt;0,'Data Entry'!P68,'Data Entry'!Q68)</f>
        <v>0</v>
      </c>
      <c r="E68" s="46">
        <f>IF('Data Entry'!J68&gt;0,'Data Entry'!J68,'Data Entry'!K68)</f>
        <v>0</v>
      </c>
    </row>
    <row r="69" spans="1:5" x14ac:dyDescent="0.25">
      <c r="A69" s="2">
        <f>IF('Data Entry'!J69&gt;0,'Data Entry'!K69,'Data Entry'!L69)</f>
        <v>0</v>
      </c>
      <c r="B69" s="1">
        <f>IF('Data Entry'!J69&gt;0,'Data Entry'!L69,'Data Entry'!M69)</f>
        <v>0</v>
      </c>
      <c r="C69" s="1">
        <f>IF('Data Entry'!N69&gt;0,'Data Entry'!N69,'Data Entry'!O69)</f>
        <v>0</v>
      </c>
      <c r="D69" s="47">
        <f>IF('Data Entry'!P69&gt;0,'Data Entry'!P69,'Data Entry'!Q69)</f>
        <v>0</v>
      </c>
      <c r="E69" s="46">
        <f>IF('Data Entry'!J69&gt;0,'Data Entry'!J69,'Data Entry'!K69)</f>
        <v>0</v>
      </c>
    </row>
    <row r="70" spans="1:5" x14ac:dyDescent="0.25">
      <c r="A70" s="2">
        <f>IF('Data Entry'!J70&gt;0,'Data Entry'!K70,'Data Entry'!L70)</f>
        <v>0</v>
      </c>
      <c r="B70" s="1">
        <f>IF('Data Entry'!J70&gt;0,'Data Entry'!L70,'Data Entry'!M70)</f>
        <v>0</v>
      </c>
      <c r="C70" s="1">
        <f>IF('Data Entry'!N70&gt;0,'Data Entry'!N70,'Data Entry'!O70)</f>
        <v>0</v>
      </c>
      <c r="D70" s="47">
        <f>IF('Data Entry'!P70&gt;0,'Data Entry'!P70,'Data Entry'!Q70)</f>
        <v>0</v>
      </c>
      <c r="E70" s="46">
        <f>IF('Data Entry'!J70&gt;0,'Data Entry'!J70,'Data Entry'!K70)</f>
        <v>0</v>
      </c>
    </row>
    <row r="71" spans="1:5" x14ac:dyDescent="0.25">
      <c r="A71" s="2">
        <f>IF('Data Entry'!J71&gt;0,'Data Entry'!K71,'Data Entry'!L71)</f>
        <v>0</v>
      </c>
      <c r="B71" s="1">
        <f>IF('Data Entry'!J71&gt;0,'Data Entry'!L71,'Data Entry'!M71)</f>
        <v>0</v>
      </c>
      <c r="C71" s="1">
        <f>IF('Data Entry'!N71&gt;0,'Data Entry'!N71,'Data Entry'!O71)</f>
        <v>0</v>
      </c>
      <c r="D71" s="47">
        <f>IF('Data Entry'!P71&gt;0,'Data Entry'!P71,'Data Entry'!Q71)</f>
        <v>0</v>
      </c>
      <c r="E71" s="46">
        <f>IF('Data Entry'!J71&gt;0,'Data Entry'!J71,'Data Entry'!K71)</f>
        <v>0</v>
      </c>
    </row>
    <row r="72" spans="1:5" x14ac:dyDescent="0.25">
      <c r="A72" s="2">
        <f>IF('Data Entry'!J72&gt;0,'Data Entry'!K72,'Data Entry'!L72)</f>
        <v>0</v>
      </c>
      <c r="B72" s="1">
        <f>IF('Data Entry'!J72&gt;0,'Data Entry'!L72,'Data Entry'!M72)</f>
        <v>0</v>
      </c>
      <c r="C72" s="1">
        <f>IF('Data Entry'!N72&gt;0,'Data Entry'!N72,'Data Entry'!O72)</f>
        <v>0</v>
      </c>
      <c r="D72" s="47">
        <f>IF('Data Entry'!P72&gt;0,'Data Entry'!P72,'Data Entry'!Q72)</f>
        <v>0</v>
      </c>
      <c r="E72" s="46">
        <f>IF('Data Entry'!J72&gt;0,'Data Entry'!J72,'Data Entry'!K72)</f>
        <v>0</v>
      </c>
    </row>
    <row r="73" spans="1:5" x14ac:dyDescent="0.25">
      <c r="A73" s="2">
        <f>IF('Data Entry'!J73&gt;0,'Data Entry'!K73,'Data Entry'!L73)</f>
        <v>0</v>
      </c>
      <c r="B73" s="1">
        <f>IF('Data Entry'!J73&gt;0,'Data Entry'!L73,'Data Entry'!M73)</f>
        <v>0</v>
      </c>
      <c r="C73" s="1">
        <f>IF('Data Entry'!N73&gt;0,'Data Entry'!N73,'Data Entry'!O73)</f>
        <v>0</v>
      </c>
      <c r="D73" s="47">
        <f>IF('Data Entry'!P73&gt;0,'Data Entry'!P73,'Data Entry'!Q73)</f>
        <v>0</v>
      </c>
      <c r="E73" s="46">
        <f>IF('Data Entry'!J73&gt;0,'Data Entry'!J73,'Data Entry'!K73)</f>
        <v>0</v>
      </c>
    </row>
    <row r="74" spans="1:5" x14ac:dyDescent="0.25">
      <c r="A74" s="2">
        <f>IF('Data Entry'!J74&gt;0,'Data Entry'!K74,'Data Entry'!L74)</f>
        <v>0</v>
      </c>
      <c r="B74" s="1">
        <f>IF('Data Entry'!J74&gt;0,'Data Entry'!L74,'Data Entry'!M74)</f>
        <v>0</v>
      </c>
      <c r="C74" s="1">
        <f>IF('Data Entry'!N74&gt;0,'Data Entry'!N74,'Data Entry'!O74)</f>
        <v>0</v>
      </c>
      <c r="D74" s="47">
        <f>IF('Data Entry'!P74&gt;0,'Data Entry'!P74,'Data Entry'!Q74)</f>
        <v>0</v>
      </c>
      <c r="E74" s="46">
        <f>IF('Data Entry'!J74&gt;0,'Data Entry'!J74,'Data Entry'!K74)</f>
        <v>0</v>
      </c>
    </row>
    <row r="75" spans="1:5" x14ac:dyDescent="0.25">
      <c r="A75" s="2">
        <f>IF('Data Entry'!J75&gt;0,'Data Entry'!K75,'Data Entry'!L75)</f>
        <v>0</v>
      </c>
      <c r="B75" s="1">
        <f>IF('Data Entry'!J75&gt;0,'Data Entry'!L75,'Data Entry'!M75)</f>
        <v>0</v>
      </c>
      <c r="C75" s="1">
        <f>IF('Data Entry'!N75&gt;0,'Data Entry'!N75,'Data Entry'!O75)</f>
        <v>0</v>
      </c>
      <c r="D75" s="47">
        <f>IF('Data Entry'!P75&gt;0,'Data Entry'!P75,'Data Entry'!Q75)</f>
        <v>0</v>
      </c>
      <c r="E75" s="46">
        <f>IF('Data Entry'!J75&gt;0,'Data Entry'!J75,'Data Entry'!K75)</f>
        <v>0</v>
      </c>
    </row>
    <row r="76" spans="1:5" x14ac:dyDescent="0.25">
      <c r="A76" s="2">
        <f>IF('Data Entry'!J76&gt;0,'Data Entry'!K76,'Data Entry'!L76)</f>
        <v>0</v>
      </c>
      <c r="B76" s="1">
        <f>IF('Data Entry'!J76&gt;0,'Data Entry'!L76,'Data Entry'!M76)</f>
        <v>0</v>
      </c>
      <c r="C76" s="1">
        <f>IF('Data Entry'!N76&gt;0,'Data Entry'!N76,'Data Entry'!O76)</f>
        <v>0</v>
      </c>
      <c r="D76" s="47">
        <f>IF('Data Entry'!P76&gt;0,'Data Entry'!P76,'Data Entry'!Q76)</f>
        <v>0</v>
      </c>
      <c r="E76" s="46">
        <f>IF('Data Entry'!J76&gt;0,'Data Entry'!J76,'Data Entry'!K76)</f>
        <v>0</v>
      </c>
    </row>
    <row r="77" spans="1:5" x14ac:dyDescent="0.25">
      <c r="A77" s="2">
        <f>IF('Data Entry'!J77&gt;0,'Data Entry'!K77,'Data Entry'!L77)</f>
        <v>0</v>
      </c>
      <c r="B77" s="1">
        <f>IF('Data Entry'!J77&gt;0,'Data Entry'!L77,'Data Entry'!M77)</f>
        <v>0</v>
      </c>
      <c r="C77" s="1">
        <f>IF('Data Entry'!N77&gt;0,'Data Entry'!N77,'Data Entry'!O77)</f>
        <v>0</v>
      </c>
      <c r="D77" s="47">
        <f>IF('Data Entry'!P77&gt;0,'Data Entry'!P77,'Data Entry'!Q77)</f>
        <v>0</v>
      </c>
      <c r="E77" s="46">
        <f>IF('Data Entry'!J77&gt;0,'Data Entry'!J77,'Data Entry'!K77)</f>
        <v>0</v>
      </c>
    </row>
    <row r="78" spans="1:5" x14ac:dyDescent="0.25">
      <c r="A78" s="2">
        <f>IF('Data Entry'!J78&gt;0,'Data Entry'!K78,'Data Entry'!L78)</f>
        <v>0</v>
      </c>
      <c r="B78" s="1">
        <f>IF('Data Entry'!J78&gt;0,'Data Entry'!L78,'Data Entry'!M78)</f>
        <v>0</v>
      </c>
      <c r="C78" s="1">
        <f>IF('Data Entry'!N78&gt;0,'Data Entry'!N78,'Data Entry'!O78)</f>
        <v>0</v>
      </c>
      <c r="D78" s="47">
        <f>IF('Data Entry'!P78&gt;0,'Data Entry'!P78,'Data Entry'!Q78)</f>
        <v>0</v>
      </c>
      <c r="E78" s="46">
        <f>IF('Data Entry'!J78&gt;0,'Data Entry'!J78,'Data Entry'!K78)</f>
        <v>0</v>
      </c>
    </row>
    <row r="79" spans="1:5" x14ac:dyDescent="0.25">
      <c r="A79" s="2">
        <f>IF('Data Entry'!J79&gt;0,'Data Entry'!K79,'Data Entry'!L79)</f>
        <v>0</v>
      </c>
      <c r="B79" s="1">
        <f>IF('Data Entry'!J79&gt;0,'Data Entry'!L79,'Data Entry'!M79)</f>
        <v>0</v>
      </c>
      <c r="C79" s="1">
        <f>IF('Data Entry'!N79&gt;0,'Data Entry'!N79,'Data Entry'!O79)</f>
        <v>0</v>
      </c>
      <c r="D79" s="47">
        <f>IF('Data Entry'!P79&gt;0,'Data Entry'!P79,'Data Entry'!Q79)</f>
        <v>0</v>
      </c>
      <c r="E79" s="46">
        <f>IF('Data Entry'!J79&gt;0,'Data Entry'!J79,'Data Entry'!K79)</f>
        <v>0</v>
      </c>
    </row>
    <row r="80" spans="1:5" x14ac:dyDescent="0.25">
      <c r="A80" s="2">
        <f>IF('Data Entry'!J80&gt;0,'Data Entry'!K80,'Data Entry'!L80)</f>
        <v>0</v>
      </c>
      <c r="B80" s="1">
        <f>IF('Data Entry'!J80&gt;0,'Data Entry'!L80,'Data Entry'!M80)</f>
        <v>0</v>
      </c>
      <c r="C80" s="1">
        <f>IF('Data Entry'!N80&gt;0,'Data Entry'!N80,'Data Entry'!O80)</f>
        <v>0</v>
      </c>
      <c r="D80" s="47">
        <f>IF('Data Entry'!P80&gt;0,'Data Entry'!P80,'Data Entry'!Q80)</f>
        <v>0</v>
      </c>
      <c r="E80" s="46">
        <f>IF('Data Entry'!J80&gt;0,'Data Entry'!J80,'Data Entry'!K80)</f>
        <v>0</v>
      </c>
    </row>
    <row r="81" spans="1:5" x14ac:dyDescent="0.25">
      <c r="A81" s="2">
        <f>IF('Data Entry'!J81&gt;0,'Data Entry'!K81,'Data Entry'!L81)</f>
        <v>0</v>
      </c>
      <c r="B81" s="1">
        <f>IF('Data Entry'!J81&gt;0,'Data Entry'!L81,'Data Entry'!M81)</f>
        <v>0</v>
      </c>
      <c r="C81" s="1">
        <f>IF('Data Entry'!N81&gt;0,'Data Entry'!N81,'Data Entry'!O81)</f>
        <v>0</v>
      </c>
      <c r="D81" s="47">
        <f>IF('Data Entry'!P81&gt;0,'Data Entry'!P81,'Data Entry'!Q81)</f>
        <v>0</v>
      </c>
      <c r="E81" s="46">
        <f>IF('Data Entry'!J81&gt;0,'Data Entry'!J81,'Data Entry'!K81)</f>
        <v>0</v>
      </c>
    </row>
    <row r="82" spans="1:5" x14ac:dyDescent="0.25">
      <c r="A82" s="2">
        <f>IF('Data Entry'!J82&gt;0,'Data Entry'!K82,'Data Entry'!L82)</f>
        <v>0</v>
      </c>
      <c r="B82" s="1">
        <f>IF('Data Entry'!J82&gt;0,'Data Entry'!L82,'Data Entry'!M82)</f>
        <v>0</v>
      </c>
      <c r="C82" s="1">
        <f>IF('Data Entry'!N82&gt;0,'Data Entry'!N82,'Data Entry'!O82)</f>
        <v>0</v>
      </c>
      <c r="D82" s="47">
        <f>IF('Data Entry'!P82&gt;0,'Data Entry'!P82,'Data Entry'!Q82)</f>
        <v>0</v>
      </c>
      <c r="E82" s="46">
        <f>IF('Data Entry'!J82&gt;0,'Data Entry'!J82,'Data Entry'!K82)</f>
        <v>0</v>
      </c>
    </row>
    <row r="83" spans="1:5" x14ac:dyDescent="0.25">
      <c r="A83" s="2">
        <f>IF('Data Entry'!J83&gt;0,'Data Entry'!K83,'Data Entry'!L83)</f>
        <v>0</v>
      </c>
      <c r="B83" s="1">
        <f>IF('Data Entry'!J83&gt;0,'Data Entry'!L83,'Data Entry'!M83)</f>
        <v>0</v>
      </c>
      <c r="C83" s="1">
        <f>IF('Data Entry'!N83&gt;0,'Data Entry'!N83,'Data Entry'!O83)</f>
        <v>0</v>
      </c>
      <c r="D83" s="47">
        <f>IF('Data Entry'!P83&gt;0,'Data Entry'!P83,'Data Entry'!Q83)</f>
        <v>0</v>
      </c>
      <c r="E83" s="46">
        <f>IF('Data Entry'!J83&gt;0,'Data Entry'!J83,'Data Entry'!K83)</f>
        <v>0</v>
      </c>
    </row>
    <row r="84" spans="1:5" x14ac:dyDescent="0.25">
      <c r="A84" s="2">
        <f>IF('Data Entry'!J84&gt;0,'Data Entry'!K84,'Data Entry'!L84)</f>
        <v>0</v>
      </c>
      <c r="B84" s="1">
        <f>IF('Data Entry'!J84&gt;0,'Data Entry'!L84,'Data Entry'!M84)</f>
        <v>0</v>
      </c>
      <c r="C84" s="1">
        <f>IF('Data Entry'!N84&gt;0,'Data Entry'!N84,'Data Entry'!O84)</f>
        <v>0</v>
      </c>
      <c r="D84" s="47">
        <f>IF('Data Entry'!P84&gt;0,'Data Entry'!P84,'Data Entry'!Q84)</f>
        <v>0</v>
      </c>
      <c r="E84" s="46">
        <f>IF('Data Entry'!J84&gt;0,'Data Entry'!J84,'Data Entry'!K84)</f>
        <v>0</v>
      </c>
    </row>
    <row r="85" spans="1:5" x14ac:dyDescent="0.25">
      <c r="A85" s="2">
        <f>IF('Data Entry'!J85&gt;0,'Data Entry'!K85,'Data Entry'!L85)</f>
        <v>0</v>
      </c>
      <c r="B85" s="1">
        <f>IF('Data Entry'!J85&gt;0,'Data Entry'!L85,'Data Entry'!M85)</f>
        <v>0</v>
      </c>
      <c r="C85" s="1">
        <f>IF('Data Entry'!N85&gt;0,'Data Entry'!N85,'Data Entry'!O85)</f>
        <v>0</v>
      </c>
      <c r="D85" s="47">
        <f>IF('Data Entry'!P85&gt;0,'Data Entry'!P85,'Data Entry'!Q85)</f>
        <v>0</v>
      </c>
      <c r="E85" s="46">
        <f>IF('Data Entry'!J85&gt;0,'Data Entry'!J85,'Data Entry'!K85)</f>
        <v>0</v>
      </c>
    </row>
    <row r="86" spans="1:5" x14ac:dyDescent="0.25">
      <c r="A86" s="2">
        <f>IF('Data Entry'!J86&gt;0,'Data Entry'!K86,'Data Entry'!L86)</f>
        <v>0</v>
      </c>
      <c r="B86" s="1">
        <f>IF('Data Entry'!J86&gt;0,'Data Entry'!L86,'Data Entry'!M86)</f>
        <v>0</v>
      </c>
      <c r="C86" s="1">
        <f>IF('Data Entry'!N86&gt;0,'Data Entry'!N86,'Data Entry'!O86)</f>
        <v>0</v>
      </c>
      <c r="D86" s="47">
        <f>IF('Data Entry'!P86&gt;0,'Data Entry'!P86,'Data Entry'!Q86)</f>
        <v>0</v>
      </c>
      <c r="E86" s="46">
        <f>IF('Data Entry'!J86&gt;0,'Data Entry'!J86,'Data Entry'!K86)</f>
        <v>0</v>
      </c>
    </row>
    <row r="87" spans="1:5" x14ac:dyDescent="0.25">
      <c r="A87" s="2">
        <f>IF('Data Entry'!J87&gt;0,'Data Entry'!K87,'Data Entry'!L87)</f>
        <v>0</v>
      </c>
      <c r="B87" s="1">
        <f>IF('Data Entry'!J87&gt;0,'Data Entry'!L87,'Data Entry'!M87)</f>
        <v>0</v>
      </c>
      <c r="C87" s="1">
        <f>IF('Data Entry'!N87&gt;0,'Data Entry'!N87,'Data Entry'!O87)</f>
        <v>0</v>
      </c>
      <c r="D87" s="47">
        <f>IF('Data Entry'!P87&gt;0,'Data Entry'!P87,'Data Entry'!Q87)</f>
        <v>0</v>
      </c>
      <c r="E87" s="46">
        <f>IF('Data Entry'!J87&gt;0,'Data Entry'!J87,'Data Entry'!K87)</f>
        <v>0</v>
      </c>
    </row>
    <row r="88" spans="1:5" x14ac:dyDescent="0.25">
      <c r="A88" s="2">
        <f>IF('Data Entry'!J88&gt;0,'Data Entry'!K88,'Data Entry'!L88)</f>
        <v>0</v>
      </c>
      <c r="B88" s="1">
        <f>IF('Data Entry'!J88&gt;0,'Data Entry'!L88,'Data Entry'!M88)</f>
        <v>0</v>
      </c>
      <c r="C88" s="1">
        <f>IF('Data Entry'!N88&gt;0,'Data Entry'!N88,'Data Entry'!O88)</f>
        <v>0</v>
      </c>
      <c r="D88" s="47">
        <f>IF('Data Entry'!P88&gt;0,'Data Entry'!P88,'Data Entry'!Q88)</f>
        <v>0</v>
      </c>
      <c r="E88" s="46">
        <f>IF('Data Entry'!J88&gt;0,'Data Entry'!J88,'Data Entry'!K88)</f>
        <v>0</v>
      </c>
    </row>
    <row r="89" spans="1:5" x14ac:dyDescent="0.25">
      <c r="A89" s="2">
        <f>IF('Data Entry'!J89&gt;0,'Data Entry'!K89,'Data Entry'!L89)</f>
        <v>0</v>
      </c>
      <c r="B89" s="1">
        <f>IF('Data Entry'!J89&gt;0,'Data Entry'!L89,'Data Entry'!M89)</f>
        <v>0</v>
      </c>
      <c r="C89" s="1">
        <f>IF('Data Entry'!N89&gt;0,'Data Entry'!N89,'Data Entry'!O89)</f>
        <v>0</v>
      </c>
      <c r="D89" s="47">
        <f>IF('Data Entry'!P89&gt;0,'Data Entry'!P89,'Data Entry'!Q89)</f>
        <v>0</v>
      </c>
      <c r="E89" s="46">
        <f>IF('Data Entry'!J89&gt;0,'Data Entry'!J89,'Data Entry'!K89)</f>
        <v>0</v>
      </c>
    </row>
    <row r="90" spans="1:5" x14ac:dyDescent="0.25">
      <c r="A90" s="2">
        <f>IF('Data Entry'!J90&gt;0,'Data Entry'!K90,'Data Entry'!L90)</f>
        <v>0</v>
      </c>
      <c r="B90" s="1">
        <f>IF('Data Entry'!J90&gt;0,'Data Entry'!L90,'Data Entry'!M90)</f>
        <v>0</v>
      </c>
      <c r="C90" s="1">
        <f>IF('Data Entry'!N90&gt;0,'Data Entry'!N90,'Data Entry'!O90)</f>
        <v>0</v>
      </c>
      <c r="D90" s="47">
        <f>IF('Data Entry'!P90&gt;0,'Data Entry'!P90,'Data Entry'!Q90)</f>
        <v>0</v>
      </c>
      <c r="E90" s="46">
        <f>IF('Data Entry'!J90&gt;0,'Data Entry'!J90,'Data Entry'!K90)</f>
        <v>0</v>
      </c>
    </row>
    <row r="91" spans="1:5" x14ac:dyDescent="0.25">
      <c r="A91" s="2">
        <f>IF('Data Entry'!J91&gt;0,'Data Entry'!K91,'Data Entry'!L91)</f>
        <v>0</v>
      </c>
      <c r="B91" s="1">
        <f>IF('Data Entry'!J91&gt;0,'Data Entry'!L91,'Data Entry'!M91)</f>
        <v>0</v>
      </c>
      <c r="C91" s="1">
        <f>IF('Data Entry'!N91&gt;0,'Data Entry'!N91,'Data Entry'!O91)</f>
        <v>0</v>
      </c>
      <c r="D91" s="47">
        <f>IF('Data Entry'!P91&gt;0,'Data Entry'!P91,'Data Entry'!Q91)</f>
        <v>0</v>
      </c>
      <c r="E91" s="46">
        <f>IF('Data Entry'!J91&gt;0,'Data Entry'!J91,'Data Entry'!K91)</f>
        <v>0</v>
      </c>
    </row>
    <row r="92" spans="1:5" x14ac:dyDescent="0.25">
      <c r="A92" s="2">
        <f>IF('Data Entry'!J92&gt;0,'Data Entry'!K92,'Data Entry'!L92)</f>
        <v>0</v>
      </c>
      <c r="B92" s="1">
        <f>IF('Data Entry'!J92&gt;0,'Data Entry'!L92,'Data Entry'!M92)</f>
        <v>0</v>
      </c>
      <c r="C92" s="1">
        <f>IF('Data Entry'!N92&gt;0,'Data Entry'!N92,'Data Entry'!O92)</f>
        <v>0</v>
      </c>
      <c r="D92" s="47">
        <f>IF('Data Entry'!P92&gt;0,'Data Entry'!P92,'Data Entry'!Q92)</f>
        <v>0</v>
      </c>
      <c r="E92" s="46">
        <f>IF('Data Entry'!J92&gt;0,'Data Entry'!J92,'Data Entry'!K92)</f>
        <v>0</v>
      </c>
    </row>
    <row r="93" spans="1:5" x14ac:dyDescent="0.25">
      <c r="A93" s="2">
        <f>IF('Data Entry'!J93&gt;0,'Data Entry'!K93,'Data Entry'!L93)</f>
        <v>0</v>
      </c>
      <c r="B93" s="1">
        <f>IF('Data Entry'!J93&gt;0,'Data Entry'!L93,'Data Entry'!M93)</f>
        <v>0</v>
      </c>
      <c r="C93" s="1">
        <f>IF('Data Entry'!N93&gt;0,'Data Entry'!N93,'Data Entry'!O93)</f>
        <v>0</v>
      </c>
      <c r="D93" s="47">
        <f>IF('Data Entry'!P93&gt;0,'Data Entry'!P93,'Data Entry'!Q93)</f>
        <v>0</v>
      </c>
      <c r="E93" s="46">
        <f>IF('Data Entry'!J93&gt;0,'Data Entry'!J93,'Data Entry'!K93)</f>
        <v>0</v>
      </c>
    </row>
    <row r="94" spans="1:5" x14ac:dyDescent="0.25">
      <c r="A94" s="2">
        <f>IF('Data Entry'!J94&gt;0,'Data Entry'!K94,'Data Entry'!L94)</f>
        <v>0</v>
      </c>
      <c r="B94" s="1">
        <f>IF('Data Entry'!J94&gt;0,'Data Entry'!L94,'Data Entry'!M94)</f>
        <v>0</v>
      </c>
      <c r="C94" s="1">
        <f>IF('Data Entry'!N94&gt;0,'Data Entry'!N94,'Data Entry'!O94)</f>
        <v>0</v>
      </c>
      <c r="D94" s="47">
        <f>IF('Data Entry'!P94&gt;0,'Data Entry'!P94,'Data Entry'!Q94)</f>
        <v>0</v>
      </c>
      <c r="E94" s="46">
        <f>IF('Data Entry'!J94&gt;0,'Data Entry'!J94,'Data Entry'!K94)</f>
        <v>0</v>
      </c>
    </row>
    <row r="95" spans="1:5" x14ac:dyDescent="0.25">
      <c r="A95" s="2">
        <f>IF('Data Entry'!J95&gt;0,'Data Entry'!K95,'Data Entry'!L95)</f>
        <v>0</v>
      </c>
      <c r="B95" s="1">
        <f>IF('Data Entry'!J95&gt;0,'Data Entry'!L95,'Data Entry'!M95)</f>
        <v>0</v>
      </c>
      <c r="C95" s="1">
        <f>IF('Data Entry'!N95&gt;0,'Data Entry'!N95,'Data Entry'!O95)</f>
        <v>0</v>
      </c>
      <c r="D95" s="47">
        <f>IF('Data Entry'!P95&gt;0,'Data Entry'!P95,'Data Entry'!Q95)</f>
        <v>0</v>
      </c>
      <c r="E95" s="46">
        <f>IF('Data Entry'!J95&gt;0,'Data Entry'!J95,'Data Entry'!K95)</f>
        <v>0</v>
      </c>
    </row>
    <row r="96" spans="1:5" x14ac:dyDescent="0.25">
      <c r="A96" s="2">
        <f>IF('Data Entry'!J96&gt;0,'Data Entry'!K96,'Data Entry'!L96)</f>
        <v>0</v>
      </c>
      <c r="B96" s="1">
        <f>IF('Data Entry'!J96&gt;0,'Data Entry'!L96,'Data Entry'!M96)</f>
        <v>0</v>
      </c>
      <c r="C96" s="1">
        <f>IF('Data Entry'!N96&gt;0,'Data Entry'!N96,'Data Entry'!O96)</f>
        <v>0</v>
      </c>
      <c r="D96" s="47">
        <f>IF('Data Entry'!P96&gt;0,'Data Entry'!P96,'Data Entry'!Q96)</f>
        <v>0</v>
      </c>
      <c r="E96" s="46">
        <f>IF('Data Entry'!J96&gt;0,'Data Entry'!J96,'Data Entry'!K96)</f>
        <v>0</v>
      </c>
    </row>
    <row r="97" spans="1:5" x14ac:dyDescent="0.25">
      <c r="A97" s="2">
        <f>IF('Data Entry'!J97&gt;0,'Data Entry'!K97,'Data Entry'!L97)</f>
        <v>0</v>
      </c>
      <c r="B97" s="1">
        <f>IF('Data Entry'!J97&gt;0,'Data Entry'!L97,'Data Entry'!M97)</f>
        <v>0</v>
      </c>
      <c r="C97" s="1">
        <f>IF('Data Entry'!N97&gt;0,'Data Entry'!N97,'Data Entry'!O97)</f>
        <v>0</v>
      </c>
      <c r="D97" s="47">
        <f>IF('Data Entry'!P97&gt;0,'Data Entry'!P97,'Data Entry'!Q97)</f>
        <v>0</v>
      </c>
      <c r="E97" s="46">
        <f>IF('Data Entry'!J97&gt;0,'Data Entry'!J97,'Data Entry'!K97)</f>
        <v>0</v>
      </c>
    </row>
    <row r="98" spans="1:5" x14ac:dyDescent="0.25">
      <c r="A98" s="2">
        <f>IF('Data Entry'!J98&gt;0,'Data Entry'!K98,'Data Entry'!L98)</f>
        <v>0</v>
      </c>
      <c r="B98" s="1">
        <f>IF('Data Entry'!J98&gt;0,'Data Entry'!L98,'Data Entry'!M98)</f>
        <v>0</v>
      </c>
      <c r="C98" s="1">
        <f>IF('Data Entry'!N98&gt;0,'Data Entry'!N98,'Data Entry'!O98)</f>
        <v>0</v>
      </c>
      <c r="D98" s="47">
        <f>IF('Data Entry'!P98&gt;0,'Data Entry'!P98,'Data Entry'!Q98)</f>
        <v>0</v>
      </c>
      <c r="E98" s="46">
        <f>IF('Data Entry'!J98&gt;0,'Data Entry'!J98,'Data Entry'!K98)</f>
        <v>0</v>
      </c>
    </row>
    <row r="99" spans="1:5" x14ac:dyDescent="0.25">
      <c r="A99" s="2">
        <f>IF('Data Entry'!J99&gt;0,'Data Entry'!K99,'Data Entry'!L99)</f>
        <v>0</v>
      </c>
      <c r="B99" s="1">
        <f>IF('Data Entry'!J99&gt;0,'Data Entry'!L99,'Data Entry'!M99)</f>
        <v>0</v>
      </c>
      <c r="C99" s="1">
        <f>IF('Data Entry'!N99&gt;0,'Data Entry'!N99,'Data Entry'!O99)</f>
        <v>0</v>
      </c>
      <c r="D99" s="47">
        <f>IF('Data Entry'!P99&gt;0,'Data Entry'!P99,'Data Entry'!Q99)</f>
        <v>0</v>
      </c>
      <c r="E99" s="46">
        <f>IF('Data Entry'!J99&gt;0,'Data Entry'!J99,'Data Entry'!K99)</f>
        <v>0</v>
      </c>
    </row>
    <row r="100" spans="1:5" x14ac:dyDescent="0.25">
      <c r="A100" s="2">
        <f>IF('Data Entry'!J100&gt;0,'Data Entry'!K100,'Data Entry'!L100)</f>
        <v>0</v>
      </c>
      <c r="B100" s="1">
        <f>IF('Data Entry'!J100&gt;0,'Data Entry'!L100,'Data Entry'!M100)</f>
        <v>0</v>
      </c>
      <c r="C100" s="1">
        <f>IF('Data Entry'!N100&gt;0,'Data Entry'!N100,'Data Entry'!O100)</f>
        <v>0</v>
      </c>
      <c r="D100" s="47">
        <f>IF('Data Entry'!P100&gt;0,'Data Entry'!P100,'Data Entry'!Q100)</f>
        <v>0</v>
      </c>
      <c r="E100" s="46">
        <f>IF('Data Entry'!J100&gt;0,'Data Entry'!J100,'Data Entry'!K100)</f>
        <v>0</v>
      </c>
    </row>
    <row r="101" spans="1:5" x14ac:dyDescent="0.25">
      <c r="A101" s="2">
        <f>IF('Data Entry'!J101&gt;0,'Data Entry'!K101,'Data Entry'!L101)</f>
        <v>0</v>
      </c>
      <c r="B101" s="1">
        <f>IF('Data Entry'!J101&gt;0,'Data Entry'!L101,'Data Entry'!M101)</f>
        <v>0</v>
      </c>
      <c r="C101" s="1">
        <f>IF('Data Entry'!N101&gt;0,'Data Entry'!N101,'Data Entry'!O101)</f>
        <v>0</v>
      </c>
      <c r="D101" s="47">
        <f>IF('Data Entry'!P101&gt;0,'Data Entry'!P101,'Data Entry'!Q101)</f>
        <v>0</v>
      </c>
      <c r="E101" s="46">
        <f>IF('Data Entry'!J101&gt;0,'Data Entry'!J101,'Data Entry'!K101)</f>
        <v>0</v>
      </c>
    </row>
    <row r="102" spans="1:5" x14ac:dyDescent="0.25">
      <c r="A102" s="2">
        <f>IF('Data Entry'!J102&gt;0,'Data Entry'!K102,'Data Entry'!L102)</f>
        <v>0</v>
      </c>
      <c r="B102" s="1">
        <f>IF('Data Entry'!J102&gt;0,'Data Entry'!L102,'Data Entry'!M102)</f>
        <v>0</v>
      </c>
      <c r="C102" s="1">
        <f>IF('Data Entry'!N102&gt;0,'Data Entry'!N102,'Data Entry'!O102)</f>
        <v>0</v>
      </c>
      <c r="D102" s="47">
        <f>IF('Data Entry'!P102&gt;0,'Data Entry'!P102,'Data Entry'!Q102)</f>
        <v>0</v>
      </c>
      <c r="E102" s="46">
        <f>IF('Data Entry'!J102&gt;0,'Data Entry'!J102,'Data Entry'!K102)</f>
        <v>0</v>
      </c>
    </row>
    <row r="103" spans="1:5" x14ac:dyDescent="0.25">
      <c r="A103" s="2">
        <f>IF('Data Entry'!J103&gt;0,'Data Entry'!K103,'Data Entry'!L103)</f>
        <v>0</v>
      </c>
      <c r="B103" s="1">
        <f>IF('Data Entry'!J103&gt;0,'Data Entry'!L103,'Data Entry'!M103)</f>
        <v>0</v>
      </c>
      <c r="C103" s="1">
        <f>IF('Data Entry'!N103&gt;0,'Data Entry'!N103,'Data Entry'!O103)</f>
        <v>0</v>
      </c>
      <c r="D103" s="47">
        <f>IF('Data Entry'!P103&gt;0,'Data Entry'!P103,'Data Entry'!Q103)</f>
        <v>0</v>
      </c>
      <c r="E103" s="46">
        <f>IF('Data Entry'!J103&gt;0,'Data Entry'!J103,'Data Entry'!K103)</f>
        <v>0</v>
      </c>
    </row>
    <row r="104" spans="1:5" x14ac:dyDescent="0.25">
      <c r="A104" s="2">
        <f>IF('Data Entry'!J104&gt;0,'Data Entry'!K104,'Data Entry'!L104)</f>
        <v>0</v>
      </c>
      <c r="B104" s="1">
        <f>IF('Data Entry'!J104&gt;0,'Data Entry'!L104,'Data Entry'!M104)</f>
        <v>0</v>
      </c>
      <c r="C104" s="1">
        <f>IF('Data Entry'!N104&gt;0,'Data Entry'!N104,'Data Entry'!O104)</f>
        <v>0</v>
      </c>
      <c r="D104" s="47">
        <f>IF('Data Entry'!P104&gt;0,'Data Entry'!P104,'Data Entry'!Q104)</f>
        <v>0</v>
      </c>
      <c r="E104" s="46">
        <f>IF('Data Entry'!J104&gt;0,'Data Entry'!J104,'Data Entry'!K104)</f>
        <v>0</v>
      </c>
    </row>
    <row r="105" spans="1:5" x14ac:dyDescent="0.25">
      <c r="A105" s="2">
        <f>IF('Data Entry'!J105&gt;0,'Data Entry'!K105,'Data Entry'!L105)</f>
        <v>0</v>
      </c>
      <c r="B105" s="1">
        <f>IF('Data Entry'!J105&gt;0,'Data Entry'!L105,'Data Entry'!M105)</f>
        <v>0</v>
      </c>
      <c r="C105" s="1">
        <f>IF('Data Entry'!N105&gt;0,'Data Entry'!N105,'Data Entry'!O105)</f>
        <v>0</v>
      </c>
      <c r="D105" s="47">
        <f>IF('Data Entry'!P105&gt;0,'Data Entry'!P105,'Data Entry'!Q105)</f>
        <v>0</v>
      </c>
      <c r="E105" s="46">
        <f>IF('Data Entry'!J105&gt;0,'Data Entry'!J105,'Data Entry'!K105)</f>
        <v>0</v>
      </c>
    </row>
    <row r="106" spans="1:5" x14ac:dyDescent="0.25">
      <c r="A106" s="2">
        <f>IF('Data Entry'!J106&gt;0,'Data Entry'!K106,'Data Entry'!L106)</f>
        <v>0</v>
      </c>
      <c r="B106" s="1">
        <f>IF('Data Entry'!J106&gt;0,'Data Entry'!L106,'Data Entry'!M106)</f>
        <v>0</v>
      </c>
      <c r="C106" s="1">
        <f>IF('Data Entry'!N106&gt;0,'Data Entry'!N106,'Data Entry'!O106)</f>
        <v>0</v>
      </c>
      <c r="D106" s="47">
        <f>IF('Data Entry'!P106&gt;0,'Data Entry'!P106,'Data Entry'!Q106)</f>
        <v>0</v>
      </c>
      <c r="E106" s="46">
        <f>IF('Data Entry'!J106&gt;0,'Data Entry'!J106,'Data Entry'!K106)</f>
        <v>0</v>
      </c>
    </row>
    <row r="107" spans="1:5" x14ac:dyDescent="0.25">
      <c r="A107" s="2">
        <f>IF('Data Entry'!J107&gt;0,'Data Entry'!K107,'Data Entry'!L107)</f>
        <v>0</v>
      </c>
      <c r="B107" s="1">
        <f>IF('Data Entry'!J107&gt;0,'Data Entry'!L107,'Data Entry'!M107)</f>
        <v>0</v>
      </c>
      <c r="C107" s="1">
        <f>IF('Data Entry'!N107&gt;0,'Data Entry'!N107,'Data Entry'!O107)</f>
        <v>0</v>
      </c>
      <c r="D107" s="47">
        <f>IF('Data Entry'!P107&gt;0,'Data Entry'!P107,'Data Entry'!Q107)</f>
        <v>0</v>
      </c>
      <c r="E107" s="46">
        <f>IF('Data Entry'!J107&gt;0,'Data Entry'!J107,'Data Entry'!K107)</f>
        <v>0</v>
      </c>
    </row>
    <row r="108" spans="1:5" x14ac:dyDescent="0.25">
      <c r="A108" s="2">
        <f>IF('Data Entry'!J108&gt;0,'Data Entry'!K108,'Data Entry'!L108)</f>
        <v>0</v>
      </c>
      <c r="B108" s="1">
        <f>IF('Data Entry'!J108&gt;0,'Data Entry'!L108,'Data Entry'!M108)</f>
        <v>0</v>
      </c>
      <c r="C108" s="1">
        <f>IF('Data Entry'!N108&gt;0,'Data Entry'!N108,'Data Entry'!O108)</f>
        <v>0</v>
      </c>
      <c r="D108" s="47">
        <f>IF('Data Entry'!P108&gt;0,'Data Entry'!P108,'Data Entry'!Q108)</f>
        <v>0</v>
      </c>
      <c r="E108" s="46">
        <f>IF('Data Entry'!J108&gt;0,'Data Entry'!J108,'Data Entry'!K108)</f>
        <v>0</v>
      </c>
    </row>
    <row r="109" spans="1:5" x14ac:dyDescent="0.25">
      <c r="A109" s="2">
        <f>IF('Data Entry'!J109&gt;0,'Data Entry'!K109,'Data Entry'!L109)</f>
        <v>0</v>
      </c>
      <c r="B109" s="1">
        <f>IF('Data Entry'!J109&gt;0,'Data Entry'!L109,'Data Entry'!M109)</f>
        <v>0</v>
      </c>
      <c r="C109" s="1">
        <f>IF('Data Entry'!N109&gt;0,'Data Entry'!N109,'Data Entry'!O109)</f>
        <v>0</v>
      </c>
      <c r="D109" s="47">
        <f>IF('Data Entry'!P109&gt;0,'Data Entry'!P109,'Data Entry'!Q109)</f>
        <v>0</v>
      </c>
      <c r="E109" s="46">
        <f>IF('Data Entry'!J109&gt;0,'Data Entry'!J109,'Data Entry'!K109)</f>
        <v>0</v>
      </c>
    </row>
    <row r="110" spans="1:5" x14ac:dyDescent="0.25">
      <c r="A110" s="2">
        <f>IF('Data Entry'!J110&gt;0,'Data Entry'!K110,'Data Entry'!L110)</f>
        <v>0</v>
      </c>
      <c r="B110" s="1">
        <f>IF('Data Entry'!J110&gt;0,'Data Entry'!L110,'Data Entry'!M110)</f>
        <v>0</v>
      </c>
      <c r="C110" s="1">
        <f>IF('Data Entry'!N110&gt;0,'Data Entry'!N110,'Data Entry'!O110)</f>
        <v>0</v>
      </c>
      <c r="D110" s="47">
        <f>IF('Data Entry'!P110&gt;0,'Data Entry'!P110,'Data Entry'!Q110)</f>
        <v>0</v>
      </c>
      <c r="E110" s="46">
        <f>IF('Data Entry'!J110&gt;0,'Data Entry'!J110,'Data Entry'!K110)</f>
        <v>0</v>
      </c>
    </row>
    <row r="111" spans="1:5" x14ac:dyDescent="0.25">
      <c r="A111" s="2">
        <f>IF('Data Entry'!J111&gt;0,'Data Entry'!K111,'Data Entry'!L111)</f>
        <v>0</v>
      </c>
      <c r="B111" s="1">
        <f>IF('Data Entry'!J111&gt;0,'Data Entry'!L111,'Data Entry'!M111)</f>
        <v>0</v>
      </c>
      <c r="C111" s="1">
        <f>IF('Data Entry'!N111&gt;0,'Data Entry'!N111,'Data Entry'!O111)</f>
        <v>0</v>
      </c>
      <c r="D111" s="47">
        <f>IF('Data Entry'!P111&gt;0,'Data Entry'!P111,'Data Entry'!Q111)</f>
        <v>0</v>
      </c>
      <c r="E111" s="46">
        <f>IF('Data Entry'!J111&gt;0,'Data Entry'!J111,'Data Entry'!K111)</f>
        <v>0</v>
      </c>
    </row>
    <row r="112" spans="1:5" x14ac:dyDescent="0.25">
      <c r="A112" s="2">
        <f>IF('Data Entry'!J112&gt;0,'Data Entry'!K112,'Data Entry'!L112)</f>
        <v>0</v>
      </c>
      <c r="B112" s="1">
        <f>IF('Data Entry'!J112&gt;0,'Data Entry'!L112,'Data Entry'!M112)</f>
        <v>0</v>
      </c>
      <c r="C112" s="1">
        <f>IF('Data Entry'!N112&gt;0,'Data Entry'!N112,'Data Entry'!O112)</f>
        <v>0</v>
      </c>
      <c r="D112" s="47">
        <f>IF('Data Entry'!P112&gt;0,'Data Entry'!P112,'Data Entry'!Q112)</f>
        <v>0</v>
      </c>
      <c r="E112" s="46">
        <f>IF('Data Entry'!J112&gt;0,'Data Entry'!J112,'Data Entry'!K112)</f>
        <v>0</v>
      </c>
    </row>
    <row r="113" spans="1:5" x14ac:dyDescent="0.25">
      <c r="A113" s="2">
        <f>IF('Data Entry'!J113&gt;0,'Data Entry'!K113,'Data Entry'!L113)</f>
        <v>0</v>
      </c>
      <c r="B113" s="1">
        <f>IF('Data Entry'!J113&gt;0,'Data Entry'!L113,'Data Entry'!M113)</f>
        <v>0</v>
      </c>
      <c r="C113" s="1">
        <f>IF('Data Entry'!N113&gt;0,'Data Entry'!N113,'Data Entry'!O113)</f>
        <v>0</v>
      </c>
      <c r="D113" s="47">
        <f>IF('Data Entry'!P113&gt;0,'Data Entry'!P113,'Data Entry'!Q113)</f>
        <v>0</v>
      </c>
      <c r="E113" s="46">
        <f>IF('Data Entry'!J113&gt;0,'Data Entry'!J113,'Data Entry'!K113)</f>
        <v>0</v>
      </c>
    </row>
    <row r="114" spans="1:5" x14ac:dyDescent="0.25">
      <c r="A114" s="2">
        <f>IF('Data Entry'!J114&gt;0,'Data Entry'!K114,'Data Entry'!L114)</f>
        <v>0</v>
      </c>
      <c r="B114" s="1">
        <f>IF('Data Entry'!J114&gt;0,'Data Entry'!L114,'Data Entry'!M114)</f>
        <v>0</v>
      </c>
      <c r="C114" s="1">
        <f>IF('Data Entry'!N114&gt;0,'Data Entry'!N114,'Data Entry'!O114)</f>
        <v>0</v>
      </c>
      <c r="D114" s="47">
        <f>IF('Data Entry'!P114&gt;0,'Data Entry'!P114,'Data Entry'!Q114)</f>
        <v>0</v>
      </c>
      <c r="E114" s="46">
        <f>IF('Data Entry'!J114&gt;0,'Data Entry'!J114,'Data Entry'!K114)</f>
        <v>0</v>
      </c>
    </row>
    <row r="115" spans="1:5" x14ac:dyDescent="0.25">
      <c r="A115" s="2">
        <f>IF('Data Entry'!J115&gt;0,'Data Entry'!K115,'Data Entry'!L115)</f>
        <v>0</v>
      </c>
      <c r="B115" s="1">
        <f>IF('Data Entry'!J115&gt;0,'Data Entry'!L115,'Data Entry'!M115)</f>
        <v>0</v>
      </c>
      <c r="C115" s="1">
        <f>IF('Data Entry'!N115&gt;0,'Data Entry'!N115,'Data Entry'!O115)</f>
        <v>0</v>
      </c>
      <c r="D115" s="47">
        <f>IF('Data Entry'!P115&gt;0,'Data Entry'!P115,'Data Entry'!Q115)</f>
        <v>0</v>
      </c>
      <c r="E115" s="46">
        <f>IF('Data Entry'!J115&gt;0,'Data Entry'!J115,'Data Entry'!K115)</f>
        <v>0</v>
      </c>
    </row>
    <row r="116" spans="1:5" x14ac:dyDescent="0.25">
      <c r="A116" s="2">
        <f>IF('Data Entry'!J116&gt;0,'Data Entry'!K116,'Data Entry'!L116)</f>
        <v>0</v>
      </c>
      <c r="B116" s="1">
        <f>IF('Data Entry'!J116&gt;0,'Data Entry'!L116,'Data Entry'!M116)</f>
        <v>0</v>
      </c>
      <c r="C116" s="1">
        <f>IF('Data Entry'!N116&gt;0,'Data Entry'!N116,'Data Entry'!O116)</f>
        <v>0</v>
      </c>
      <c r="D116" s="47">
        <f>IF('Data Entry'!P116&gt;0,'Data Entry'!P116,'Data Entry'!Q116)</f>
        <v>0</v>
      </c>
      <c r="E116" s="46">
        <f>IF('Data Entry'!J116&gt;0,'Data Entry'!J116,'Data Entry'!K116)</f>
        <v>0</v>
      </c>
    </row>
    <row r="117" spans="1:5" x14ac:dyDescent="0.25">
      <c r="A117" s="2">
        <f>IF('Data Entry'!J117&gt;0,'Data Entry'!K117,'Data Entry'!L117)</f>
        <v>0</v>
      </c>
      <c r="B117" s="1">
        <f>IF('Data Entry'!J117&gt;0,'Data Entry'!L117,'Data Entry'!M117)</f>
        <v>0</v>
      </c>
      <c r="C117" s="1">
        <f>IF('Data Entry'!N117&gt;0,'Data Entry'!N117,'Data Entry'!O117)</f>
        <v>0</v>
      </c>
      <c r="D117" s="47">
        <f>IF('Data Entry'!P117&gt;0,'Data Entry'!P117,'Data Entry'!Q117)</f>
        <v>0</v>
      </c>
      <c r="E117" s="46">
        <f>IF('Data Entry'!J117&gt;0,'Data Entry'!J117,'Data Entry'!K117)</f>
        <v>0</v>
      </c>
    </row>
    <row r="118" spans="1:5" x14ac:dyDescent="0.25">
      <c r="A118" s="2">
        <f>IF('Data Entry'!J118&gt;0,'Data Entry'!K118,'Data Entry'!L118)</f>
        <v>0</v>
      </c>
      <c r="B118" s="1">
        <f>IF('Data Entry'!J118&gt;0,'Data Entry'!L118,'Data Entry'!M118)</f>
        <v>0</v>
      </c>
      <c r="C118" s="1">
        <f>IF('Data Entry'!N118&gt;0,'Data Entry'!N118,'Data Entry'!O118)</f>
        <v>0</v>
      </c>
      <c r="D118" s="47">
        <f>IF('Data Entry'!P118&gt;0,'Data Entry'!P118,'Data Entry'!Q118)</f>
        <v>0</v>
      </c>
      <c r="E118" s="46">
        <f>IF('Data Entry'!J118&gt;0,'Data Entry'!J118,'Data Entry'!K118)</f>
        <v>0</v>
      </c>
    </row>
    <row r="119" spans="1:5" x14ac:dyDescent="0.25">
      <c r="A119" s="2">
        <f>IF('Data Entry'!J119&gt;0,'Data Entry'!K119,'Data Entry'!L119)</f>
        <v>0</v>
      </c>
      <c r="B119" s="1">
        <f>IF('Data Entry'!J119&gt;0,'Data Entry'!L119,'Data Entry'!M119)</f>
        <v>0</v>
      </c>
      <c r="C119" s="1">
        <f>IF('Data Entry'!N119&gt;0,'Data Entry'!N119,'Data Entry'!O119)</f>
        <v>0</v>
      </c>
      <c r="D119" s="47">
        <f>IF('Data Entry'!P119&gt;0,'Data Entry'!P119,'Data Entry'!Q119)</f>
        <v>0</v>
      </c>
      <c r="E119" s="46">
        <f>IF('Data Entry'!J119&gt;0,'Data Entry'!J119,'Data Entry'!K119)</f>
        <v>0</v>
      </c>
    </row>
    <row r="120" spans="1:5" x14ac:dyDescent="0.25">
      <c r="A120" s="2">
        <f>IF('Data Entry'!J120&gt;0,'Data Entry'!K120,'Data Entry'!L120)</f>
        <v>0</v>
      </c>
      <c r="B120" s="1">
        <f>IF('Data Entry'!J120&gt;0,'Data Entry'!L120,'Data Entry'!M120)</f>
        <v>0</v>
      </c>
      <c r="C120" s="1">
        <f>IF('Data Entry'!N120&gt;0,'Data Entry'!N120,'Data Entry'!O120)</f>
        <v>0</v>
      </c>
      <c r="D120" s="47">
        <f>IF('Data Entry'!P120&gt;0,'Data Entry'!P120,'Data Entry'!Q120)</f>
        <v>0</v>
      </c>
      <c r="E120" s="46">
        <f>IF('Data Entry'!J120&gt;0,'Data Entry'!J120,'Data Entry'!K120)</f>
        <v>0</v>
      </c>
    </row>
    <row r="121" spans="1:5" x14ac:dyDescent="0.25">
      <c r="A121" s="2">
        <f>IF('Data Entry'!J121&gt;0,'Data Entry'!K121,'Data Entry'!L121)</f>
        <v>0</v>
      </c>
      <c r="B121" s="1">
        <f>IF('Data Entry'!J121&gt;0,'Data Entry'!L121,'Data Entry'!M121)</f>
        <v>0</v>
      </c>
      <c r="C121" s="1">
        <f>IF('Data Entry'!N121&gt;0,'Data Entry'!N121,'Data Entry'!O121)</f>
        <v>0</v>
      </c>
      <c r="D121" s="47">
        <f>IF('Data Entry'!P121&gt;0,'Data Entry'!P121,'Data Entry'!Q121)</f>
        <v>0</v>
      </c>
      <c r="E121" s="46">
        <f>IF('Data Entry'!J121&gt;0,'Data Entry'!J121,'Data Entry'!K121)</f>
        <v>0</v>
      </c>
    </row>
    <row r="122" spans="1:5" x14ac:dyDescent="0.25">
      <c r="A122" s="2">
        <f>IF('Data Entry'!J122&gt;0,'Data Entry'!K122,'Data Entry'!L122)</f>
        <v>0</v>
      </c>
      <c r="B122" s="1">
        <f>IF('Data Entry'!J122&gt;0,'Data Entry'!L122,'Data Entry'!M122)</f>
        <v>0</v>
      </c>
      <c r="C122" s="1">
        <f>IF('Data Entry'!N122&gt;0,'Data Entry'!N122,'Data Entry'!O122)</f>
        <v>0</v>
      </c>
      <c r="D122" s="47">
        <f>IF('Data Entry'!P122&gt;0,'Data Entry'!P122,'Data Entry'!Q122)</f>
        <v>0</v>
      </c>
      <c r="E122" s="46">
        <f>IF('Data Entry'!J122&gt;0,'Data Entry'!J122,'Data Entry'!K122)</f>
        <v>0</v>
      </c>
    </row>
    <row r="123" spans="1:5" x14ac:dyDescent="0.25">
      <c r="A123" s="2">
        <f>IF('Data Entry'!J123&gt;0,'Data Entry'!K123,'Data Entry'!L123)</f>
        <v>0</v>
      </c>
      <c r="B123" s="1">
        <f>IF('Data Entry'!J123&gt;0,'Data Entry'!L123,'Data Entry'!M123)</f>
        <v>0</v>
      </c>
      <c r="C123" s="1">
        <f>IF('Data Entry'!N123&gt;0,'Data Entry'!N123,'Data Entry'!O123)</f>
        <v>0</v>
      </c>
      <c r="D123" s="47">
        <f>IF('Data Entry'!P123&gt;0,'Data Entry'!P123,'Data Entry'!Q123)</f>
        <v>0</v>
      </c>
      <c r="E123" s="46">
        <f>IF('Data Entry'!J123&gt;0,'Data Entry'!J123,'Data Entry'!K123)</f>
        <v>0</v>
      </c>
    </row>
    <row r="124" spans="1:5" x14ac:dyDescent="0.25">
      <c r="A124" s="2">
        <f>IF('Data Entry'!J124&gt;0,'Data Entry'!K124,'Data Entry'!L124)</f>
        <v>0</v>
      </c>
      <c r="B124" s="1">
        <f>IF('Data Entry'!J124&gt;0,'Data Entry'!L124,'Data Entry'!M124)</f>
        <v>0</v>
      </c>
      <c r="C124" s="1">
        <f>IF('Data Entry'!N124&gt;0,'Data Entry'!N124,'Data Entry'!O124)</f>
        <v>0</v>
      </c>
      <c r="D124" s="47">
        <f>IF('Data Entry'!P124&gt;0,'Data Entry'!P124,'Data Entry'!Q124)</f>
        <v>0</v>
      </c>
      <c r="E124" s="46">
        <f>IF('Data Entry'!J124&gt;0,'Data Entry'!J124,'Data Entry'!K124)</f>
        <v>0</v>
      </c>
    </row>
    <row r="125" spans="1:5" x14ac:dyDescent="0.25">
      <c r="A125" s="2">
        <f>IF('Data Entry'!J125&gt;0,'Data Entry'!K125,'Data Entry'!L125)</f>
        <v>0</v>
      </c>
      <c r="B125" s="1">
        <f>IF('Data Entry'!J125&gt;0,'Data Entry'!L125,'Data Entry'!M125)</f>
        <v>0</v>
      </c>
      <c r="C125" s="1">
        <f>IF('Data Entry'!N125&gt;0,'Data Entry'!N125,'Data Entry'!O125)</f>
        <v>0</v>
      </c>
      <c r="D125" s="47">
        <f>IF('Data Entry'!P125&gt;0,'Data Entry'!P125,'Data Entry'!Q125)</f>
        <v>0</v>
      </c>
      <c r="E125" s="46">
        <f>IF('Data Entry'!J125&gt;0,'Data Entry'!J125,'Data Entry'!K125)</f>
        <v>0</v>
      </c>
    </row>
    <row r="126" spans="1:5" x14ac:dyDescent="0.25">
      <c r="A126" s="2">
        <f>IF('Data Entry'!J126&gt;0,'Data Entry'!K126,'Data Entry'!L126)</f>
        <v>0</v>
      </c>
      <c r="B126" s="1">
        <f>IF('Data Entry'!J126&gt;0,'Data Entry'!L126,'Data Entry'!M126)</f>
        <v>0</v>
      </c>
      <c r="C126" s="1">
        <f>IF('Data Entry'!N126&gt;0,'Data Entry'!N126,'Data Entry'!O126)</f>
        <v>0</v>
      </c>
      <c r="D126" s="47">
        <f>IF('Data Entry'!P126&gt;0,'Data Entry'!P126,'Data Entry'!Q126)</f>
        <v>0</v>
      </c>
      <c r="E126" s="46">
        <f>IF('Data Entry'!J126&gt;0,'Data Entry'!J126,'Data Entry'!K126)</f>
        <v>0</v>
      </c>
    </row>
    <row r="127" spans="1:5" x14ac:dyDescent="0.25">
      <c r="A127" s="2">
        <f>IF('Data Entry'!J127&gt;0,'Data Entry'!K127,'Data Entry'!L127)</f>
        <v>0</v>
      </c>
      <c r="B127" s="1">
        <f>IF('Data Entry'!J127&gt;0,'Data Entry'!L127,'Data Entry'!M127)</f>
        <v>0</v>
      </c>
      <c r="C127" s="1">
        <f>IF('Data Entry'!N127&gt;0,'Data Entry'!N127,'Data Entry'!O127)</f>
        <v>0</v>
      </c>
      <c r="D127" s="47">
        <f>IF('Data Entry'!P127&gt;0,'Data Entry'!P127,'Data Entry'!Q127)</f>
        <v>0</v>
      </c>
      <c r="E127" s="46">
        <f>IF('Data Entry'!J127&gt;0,'Data Entry'!J127,'Data Entry'!K127)</f>
        <v>0</v>
      </c>
    </row>
    <row r="128" spans="1:5" x14ac:dyDescent="0.25">
      <c r="A128" s="2">
        <f>IF('Data Entry'!J128&gt;0,'Data Entry'!K128,'Data Entry'!L128)</f>
        <v>0</v>
      </c>
      <c r="B128" s="1">
        <f>IF('Data Entry'!J128&gt;0,'Data Entry'!L128,'Data Entry'!M128)</f>
        <v>0</v>
      </c>
      <c r="C128" s="1">
        <f>IF('Data Entry'!N128&gt;0,'Data Entry'!N128,'Data Entry'!O128)</f>
        <v>0</v>
      </c>
      <c r="D128" s="47">
        <f>IF('Data Entry'!P128&gt;0,'Data Entry'!P128,'Data Entry'!Q128)</f>
        <v>0</v>
      </c>
      <c r="E128" s="46">
        <f>IF('Data Entry'!J128&gt;0,'Data Entry'!J128,'Data Entry'!K128)</f>
        <v>0</v>
      </c>
    </row>
    <row r="129" spans="1:5" x14ac:dyDescent="0.25">
      <c r="A129" s="2">
        <f>IF('Data Entry'!J129&gt;0,'Data Entry'!K129,'Data Entry'!L129)</f>
        <v>0</v>
      </c>
      <c r="B129" s="1">
        <f>IF('Data Entry'!J129&gt;0,'Data Entry'!L129,'Data Entry'!M129)</f>
        <v>0</v>
      </c>
      <c r="C129" s="1">
        <f>IF('Data Entry'!N129&gt;0,'Data Entry'!N129,'Data Entry'!O129)</f>
        <v>0</v>
      </c>
      <c r="D129" s="47">
        <f>IF('Data Entry'!P129&gt;0,'Data Entry'!P129,'Data Entry'!Q129)</f>
        <v>0</v>
      </c>
      <c r="E129" s="46">
        <f>IF('Data Entry'!J129&gt;0,'Data Entry'!J129,'Data Entry'!K129)</f>
        <v>0</v>
      </c>
    </row>
    <row r="130" spans="1:5" x14ac:dyDescent="0.25">
      <c r="A130" s="2">
        <f>IF('Data Entry'!J130&gt;0,'Data Entry'!K130,'Data Entry'!L130)</f>
        <v>0</v>
      </c>
      <c r="B130" s="1">
        <f>IF('Data Entry'!J130&gt;0,'Data Entry'!L130,'Data Entry'!M130)</f>
        <v>0</v>
      </c>
      <c r="C130" s="1">
        <f>IF('Data Entry'!N130&gt;0,'Data Entry'!N130,'Data Entry'!O130)</f>
        <v>0</v>
      </c>
      <c r="D130" s="47">
        <f>IF('Data Entry'!P130&gt;0,'Data Entry'!P130,'Data Entry'!Q130)</f>
        <v>0</v>
      </c>
      <c r="E130" s="46">
        <f>IF('Data Entry'!J130&gt;0,'Data Entry'!J130,'Data Entry'!K130)</f>
        <v>0</v>
      </c>
    </row>
    <row r="131" spans="1:5" x14ac:dyDescent="0.25">
      <c r="A131" s="2">
        <f>IF('Data Entry'!J131&gt;0,'Data Entry'!K131,'Data Entry'!L131)</f>
        <v>0</v>
      </c>
      <c r="B131" s="1">
        <f>IF('Data Entry'!J131&gt;0,'Data Entry'!L131,'Data Entry'!M131)</f>
        <v>0</v>
      </c>
      <c r="C131" s="1">
        <f>IF('Data Entry'!N131&gt;0,'Data Entry'!N131,'Data Entry'!O131)</f>
        <v>0</v>
      </c>
      <c r="D131" s="47">
        <f>IF('Data Entry'!P131&gt;0,'Data Entry'!P131,'Data Entry'!Q131)</f>
        <v>0</v>
      </c>
      <c r="E131" s="46">
        <f>IF('Data Entry'!J131&gt;0,'Data Entry'!J131,'Data Entry'!K131)</f>
        <v>0</v>
      </c>
    </row>
    <row r="132" spans="1:5" x14ac:dyDescent="0.25">
      <c r="A132" s="2">
        <f>IF('Data Entry'!J132&gt;0,'Data Entry'!K132,'Data Entry'!L132)</f>
        <v>0</v>
      </c>
      <c r="B132" s="1">
        <f>IF('Data Entry'!J132&gt;0,'Data Entry'!L132,'Data Entry'!M132)</f>
        <v>0</v>
      </c>
      <c r="C132" s="1">
        <f>IF('Data Entry'!N132&gt;0,'Data Entry'!N132,'Data Entry'!O132)</f>
        <v>0</v>
      </c>
      <c r="D132" s="47">
        <f>IF('Data Entry'!P132&gt;0,'Data Entry'!P132,'Data Entry'!Q132)</f>
        <v>0</v>
      </c>
      <c r="E132" s="46">
        <f>IF('Data Entry'!J132&gt;0,'Data Entry'!J132,'Data Entry'!K132)</f>
        <v>0</v>
      </c>
    </row>
    <row r="133" spans="1:5" x14ac:dyDescent="0.25">
      <c r="A133" s="2">
        <f>IF('Data Entry'!J133&gt;0,'Data Entry'!K133,'Data Entry'!L133)</f>
        <v>0</v>
      </c>
      <c r="B133" s="1">
        <f>IF('Data Entry'!J133&gt;0,'Data Entry'!L133,'Data Entry'!M133)</f>
        <v>0</v>
      </c>
      <c r="C133" s="1">
        <f>IF('Data Entry'!N133&gt;0,'Data Entry'!N133,'Data Entry'!O133)</f>
        <v>0</v>
      </c>
      <c r="D133" s="47">
        <f>IF('Data Entry'!P133&gt;0,'Data Entry'!P133,'Data Entry'!Q133)</f>
        <v>0</v>
      </c>
      <c r="E133" s="46">
        <f>IF('Data Entry'!J133&gt;0,'Data Entry'!J133,'Data Entry'!K133)</f>
        <v>0</v>
      </c>
    </row>
    <row r="134" spans="1:5" x14ac:dyDescent="0.25">
      <c r="A134" s="2">
        <f>IF('Data Entry'!J134&gt;0,'Data Entry'!K134,'Data Entry'!L134)</f>
        <v>0</v>
      </c>
      <c r="B134" s="1">
        <f>IF('Data Entry'!J134&gt;0,'Data Entry'!L134,'Data Entry'!M134)</f>
        <v>0</v>
      </c>
      <c r="C134" s="1">
        <f>IF('Data Entry'!N134&gt;0,'Data Entry'!N134,'Data Entry'!O134)</f>
        <v>0</v>
      </c>
      <c r="D134" s="47">
        <f>IF('Data Entry'!P134&gt;0,'Data Entry'!P134,'Data Entry'!Q134)</f>
        <v>0</v>
      </c>
      <c r="E134" s="46">
        <f>IF('Data Entry'!J134&gt;0,'Data Entry'!J134,'Data Entry'!K134)</f>
        <v>0</v>
      </c>
    </row>
    <row r="135" spans="1:5" x14ac:dyDescent="0.25">
      <c r="A135" s="2">
        <f>IF('Data Entry'!J135&gt;0,'Data Entry'!K135,'Data Entry'!L135)</f>
        <v>0</v>
      </c>
      <c r="B135" s="1">
        <f>IF('Data Entry'!J135&gt;0,'Data Entry'!L135,'Data Entry'!M135)</f>
        <v>0</v>
      </c>
      <c r="C135" s="1">
        <f>IF('Data Entry'!N135&gt;0,'Data Entry'!N135,'Data Entry'!O135)</f>
        <v>0</v>
      </c>
      <c r="D135" s="47">
        <f>IF('Data Entry'!P135&gt;0,'Data Entry'!P135,'Data Entry'!Q135)</f>
        <v>0</v>
      </c>
      <c r="E135" s="46">
        <f>IF('Data Entry'!J135&gt;0,'Data Entry'!J135,'Data Entry'!K135)</f>
        <v>0</v>
      </c>
    </row>
    <row r="136" spans="1:5" x14ac:dyDescent="0.25">
      <c r="A136" s="2">
        <f>IF('Data Entry'!J136&gt;0,'Data Entry'!K136,'Data Entry'!L136)</f>
        <v>0</v>
      </c>
      <c r="B136" s="1">
        <f>IF('Data Entry'!J136&gt;0,'Data Entry'!L136,'Data Entry'!M136)</f>
        <v>0</v>
      </c>
      <c r="C136" s="1">
        <f>IF('Data Entry'!N136&gt;0,'Data Entry'!N136,'Data Entry'!O136)</f>
        <v>0</v>
      </c>
      <c r="D136" s="47">
        <f>IF('Data Entry'!P136&gt;0,'Data Entry'!P136,'Data Entry'!Q136)</f>
        <v>0</v>
      </c>
      <c r="E136" s="46">
        <f>IF('Data Entry'!J136&gt;0,'Data Entry'!J136,'Data Entry'!K136)</f>
        <v>0</v>
      </c>
    </row>
    <row r="137" spans="1:5" x14ac:dyDescent="0.25">
      <c r="A137" s="2">
        <f>IF('Data Entry'!J137&gt;0,'Data Entry'!K137,'Data Entry'!L137)</f>
        <v>0</v>
      </c>
      <c r="B137" s="1">
        <f>IF('Data Entry'!J137&gt;0,'Data Entry'!L137,'Data Entry'!M137)</f>
        <v>0</v>
      </c>
      <c r="C137" s="1">
        <f>IF('Data Entry'!N137&gt;0,'Data Entry'!N137,'Data Entry'!O137)</f>
        <v>0</v>
      </c>
      <c r="D137" s="47">
        <f>IF('Data Entry'!P137&gt;0,'Data Entry'!P137,'Data Entry'!Q137)</f>
        <v>0</v>
      </c>
      <c r="E137" s="46">
        <f>IF('Data Entry'!J137&gt;0,'Data Entry'!J137,'Data Entry'!K137)</f>
        <v>0</v>
      </c>
    </row>
    <row r="138" spans="1:5" x14ac:dyDescent="0.25">
      <c r="A138" s="2">
        <f>IF('Data Entry'!J138&gt;0,'Data Entry'!K138,'Data Entry'!L138)</f>
        <v>0</v>
      </c>
      <c r="B138" s="1">
        <f>IF('Data Entry'!J138&gt;0,'Data Entry'!L138,'Data Entry'!M138)</f>
        <v>0</v>
      </c>
      <c r="C138" s="1">
        <f>IF('Data Entry'!N138&gt;0,'Data Entry'!N138,'Data Entry'!O138)</f>
        <v>0</v>
      </c>
      <c r="D138" s="47">
        <f>IF('Data Entry'!P138&gt;0,'Data Entry'!P138,'Data Entry'!Q138)</f>
        <v>0</v>
      </c>
      <c r="E138" s="46">
        <f>IF('Data Entry'!J138&gt;0,'Data Entry'!J138,'Data Entry'!K138)</f>
        <v>0</v>
      </c>
    </row>
    <row r="139" spans="1:5" x14ac:dyDescent="0.25">
      <c r="A139" s="2">
        <f>IF('Data Entry'!J139&gt;0,'Data Entry'!K139,'Data Entry'!L139)</f>
        <v>0</v>
      </c>
      <c r="B139" s="1">
        <f>IF('Data Entry'!J139&gt;0,'Data Entry'!L139,'Data Entry'!M139)</f>
        <v>0</v>
      </c>
      <c r="C139" s="1">
        <f>IF('Data Entry'!N139&gt;0,'Data Entry'!N139,'Data Entry'!O139)</f>
        <v>0</v>
      </c>
      <c r="D139" s="47">
        <f>IF('Data Entry'!P139&gt;0,'Data Entry'!P139,'Data Entry'!Q139)</f>
        <v>0</v>
      </c>
      <c r="E139" s="46">
        <f>IF('Data Entry'!J139&gt;0,'Data Entry'!J139,'Data Entry'!K139)</f>
        <v>0</v>
      </c>
    </row>
    <row r="140" spans="1:5" x14ac:dyDescent="0.25">
      <c r="A140" s="2">
        <f>IF('Data Entry'!J140&gt;0,'Data Entry'!K140,'Data Entry'!L140)</f>
        <v>0</v>
      </c>
      <c r="B140" s="1">
        <f>IF('Data Entry'!J140&gt;0,'Data Entry'!L140,'Data Entry'!M140)</f>
        <v>0</v>
      </c>
      <c r="C140" s="1">
        <f>IF('Data Entry'!N140&gt;0,'Data Entry'!N140,'Data Entry'!O140)</f>
        <v>0</v>
      </c>
      <c r="D140" s="47">
        <f>IF('Data Entry'!P140&gt;0,'Data Entry'!P140,'Data Entry'!Q140)</f>
        <v>0</v>
      </c>
      <c r="E140" s="46">
        <f>IF('Data Entry'!J140&gt;0,'Data Entry'!J140,'Data Entry'!K140)</f>
        <v>0</v>
      </c>
    </row>
    <row r="141" spans="1:5" x14ac:dyDescent="0.25">
      <c r="A141" s="2">
        <f>IF('Data Entry'!J141&gt;0,'Data Entry'!K141,'Data Entry'!L141)</f>
        <v>0</v>
      </c>
      <c r="B141" s="1">
        <f>IF('Data Entry'!J141&gt;0,'Data Entry'!L141,'Data Entry'!M141)</f>
        <v>0</v>
      </c>
      <c r="C141" s="1">
        <f>IF('Data Entry'!N141&gt;0,'Data Entry'!N141,'Data Entry'!O141)</f>
        <v>0</v>
      </c>
      <c r="D141" s="47">
        <f>IF('Data Entry'!P141&gt;0,'Data Entry'!P141,'Data Entry'!Q141)</f>
        <v>0</v>
      </c>
      <c r="E141" s="46">
        <f>IF('Data Entry'!J141&gt;0,'Data Entry'!J141,'Data Entry'!K141)</f>
        <v>0</v>
      </c>
    </row>
    <row r="142" spans="1:5" x14ac:dyDescent="0.25">
      <c r="A142" s="2">
        <f>IF('Data Entry'!J142&gt;0,'Data Entry'!K142,'Data Entry'!L142)</f>
        <v>0</v>
      </c>
      <c r="B142" s="1">
        <f>IF('Data Entry'!J142&gt;0,'Data Entry'!L142,'Data Entry'!M142)</f>
        <v>0</v>
      </c>
      <c r="C142" s="1">
        <f>IF('Data Entry'!N142&gt;0,'Data Entry'!N142,'Data Entry'!O142)</f>
        <v>0</v>
      </c>
      <c r="D142" s="47">
        <f>IF('Data Entry'!P142&gt;0,'Data Entry'!P142,'Data Entry'!Q142)</f>
        <v>0</v>
      </c>
      <c r="E142" s="46">
        <f>IF('Data Entry'!J142&gt;0,'Data Entry'!J142,'Data Entry'!K142)</f>
        <v>0</v>
      </c>
    </row>
    <row r="143" spans="1:5" x14ac:dyDescent="0.25">
      <c r="A143" s="2">
        <f>IF('Data Entry'!J143&gt;0,'Data Entry'!K143,'Data Entry'!L143)</f>
        <v>0</v>
      </c>
      <c r="B143" s="1">
        <f>IF('Data Entry'!J143&gt;0,'Data Entry'!L143,'Data Entry'!M143)</f>
        <v>0</v>
      </c>
      <c r="C143" s="1">
        <f>IF('Data Entry'!N143&gt;0,'Data Entry'!N143,'Data Entry'!O143)</f>
        <v>0</v>
      </c>
      <c r="D143" s="47">
        <f>IF('Data Entry'!P143&gt;0,'Data Entry'!P143,'Data Entry'!Q143)</f>
        <v>0</v>
      </c>
      <c r="E143" s="46">
        <f>IF('Data Entry'!J143&gt;0,'Data Entry'!J143,'Data Entry'!K143)</f>
        <v>0</v>
      </c>
    </row>
    <row r="144" spans="1:5" x14ac:dyDescent="0.25">
      <c r="A144" s="2">
        <f>IF('Data Entry'!J144&gt;0,'Data Entry'!K144,'Data Entry'!L144)</f>
        <v>0</v>
      </c>
      <c r="B144" s="1">
        <f>IF('Data Entry'!J144&gt;0,'Data Entry'!L144,'Data Entry'!M144)</f>
        <v>0</v>
      </c>
      <c r="C144" s="1">
        <f>IF('Data Entry'!N144&gt;0,'Data Entry'!N144,'Data Entry'!O144)</f>
        <v>0</v>
      </c>
      <c r="D144" s="47">
        <f>IF('Data Entry'!P144&gt;0,'Data Entry'!P144,'Data Entry'!Q144)</f>
        <v>0</v>
      </c>
      <c r="E144" s="46">
        <f>IF('Data Entry'!J144&gt;0,'Data Entry'!J144,'Data Entry'!K144)</f>
        <v>0</v>
      </c>
    </row>
    <row r="145" spans="1:5" x14ac:dyDescent="0.25">
      <c r="A145" s="2">
        <f>IF('Data Entry'!J145&gt;0,'Data Entry'!K145,'Data Entry'!L145)</f>
        <v>0</v>
      </c>
      <c r="B145" s="1">
        <f>IF('Data Entry'!J145&gt;0,'Data Entry'!L145,'Data Entry'!M145)</f>
        <v>0</v>
      </c>
      <c r="C145" s="1">
        <f>IF('Data Entry'!N145&gt;0,'Data Entry'!N145,'Data Entry'!O145)</f>
        <v>0</v>
      </c>
      <c r="D145" s="47">
        <f>IF('Data Entry'!P145&gt;0,'Data Entry'!P145,'Data Entry'!Q145)</f>
        <v>0</v>
      </c>
      <c r="E145" s="46">
        <f>IF('Data Entry'!J145&gt;0,'Data Entry'!J145,'Data Entry'!K145)</f>
        <v>0</v>
      </c>
    </row>
    <row r="146" spans="1:5" x14ac:dyDescent="0.25">
      <c r="A146" s="2">
        <f>IF('Data Entry'!J146&gt;0,'Data Entry'!K146,'Data Entry'!L146)</f>
        <v>0</v>
      </c>
      <c r="B146" s="1">
        <f>IF('Data Entry'!J146&gt;0,'Data Entry'!L146,'Data Entry'!M146)</f>
        <v>0</v>
      </c>
      <c r="C146" s="1">
        <f>IF('Data Entry'!N146&gt;0,'Data Entry'!N146,'Data Entry'!O146)</f>
        <v>0</v>
      </c>
      <c r="D146" s="47">
        <f>IF('Data Entry'!P146&gt;0,'Data Entry'!P146,'Data Entry'!Q146)</f>
        <v>0</v>
      </c>
      <c r="E146" s="46">
        <f>IF('Data Entry'!J146&gt;0,'Data Entry'!J146,'Data Entry'!K146)</f>
        <v>0</v>
      </c>
    </row>
    <row r="147" spans="1:5" x14ac:dyDescent="0.25">
      <c r="A147" s="2">
        <f>IF('Data Entry'!J147&gt;0,'Data Entry'!K147,'Data Entry'!L147)</f>
        <v>0</v>
      </c>
      <c r="B147" s="1">
        <f>IF('Data Entry'!J147&gt;0,'Data Entry'!L147,'Data Entry'!M147)</f>
        <v>0</v>
      </c>
      <c r="C147" s="1">
        <f>IF('Data Entry'!N147&gt;0,'Data Entry'!N147,'Data Entry'!O147)</f>
        <v>0</v>
      </c>
      <c r="D147" s="47">
        <f>IF('Data Entry'!P147&gt;0,'Data Entry'!P147,'Data Entry'!Q147)</f>
        <v>0</v>
      </c>
      <c r="E147" s="46">
        <f>IF('Data Entry'!J147&gt;0,'Data Entry'!J147,'Data Entry'!K147)</f>
        <v>0</v>
      </c>
    </row>
    <row r="148" spans="1:5" x14ac:dyDescent="0.25">
      <c r="A148" s="2">
        <f>IF('Data Entry'!J148&gt;0,'Data Entry'!K148,'Data Entry'!L148)</f>
        <v>0</v>
      </c>
      <c r="B148" s="1">
        <f>IF('Data Entry'!J148&gt;0,'Data Entry'!L148,'Data Entry'!M148)</f>
        <v>0</v>
      </c>
      <c r="C148" s="1">
        <f>IF('Data Entry'!N148&gt;0,'Data Entry'!N148,'Data Entry'!O148)</f>
        <v>0</v>
      </c>
      <c r="D148" s="47">
        <f>IF('Data Entry'!P148&gt;0,'Data Entry'!P148,'Data Entry'!Q148)</f>
        <v>0</v>
      </c>
      <c r="E148" s="46">
        <f>IF('Data Entry'!J148&gt;0,'Data Entry'!J148,'Data Entry'!K148)</f>
        <v>0</v>
      </c>
    </row>
    <row r="149" spans="1:5" x14ac:dyDescent="0.25">
      <c r="A149" s="2">
        <f>IF('Data Entry'!J149&gt;0,'Data Entry'!K149,'Data Entry'!L149)</f>
        <v>0</v>
      </c>
      <c r="B149" s="1">
        <f>IF('Data Entry'!J149&gt;0,'Data Entry'!L149,'Data Entry'!M149)</f>
        <v>0</v>
      </c>
      <c r="C149" s="1">
        <f>IF('Data Entry'!N149&gt;0,'Data Entry'!N149,'Data Entry'!O149)</f>
        <v>0</v>
      </c>
      <c r="D149" s="47">
        <f>IF('Data Entry'!P149&gt;0,'Data Entry'!P149,'Data Entry'!Q149)</f>
        <v>0</v>
      </c>
      <c r="E149" s="46">
        <f>IF('Data Entry'!J149&gt;0,'Data Entry'!J149,'Data Entry'!K149)</f>
        <v>0</v>
      </c>
    </row>
    <row r="150" spans="1:5" x14ac:dyDescent="0.25">
      <c r="A150" s="2">
        <f>IF('Data Entry'!J150&gt;0,'Data Entry'!K150,'Data Entry'!L150)</f>
        <v>0</v>
      </c>
      <c r="B150" s="1">
        <f>IF('Data Entry'!J150&gt;0,'Data Entry'!L150,'Data Entry'!M150)</f>
        <v>0</v>
      </c>
      <c r="C150" s="1">
        <f>IF('Data Entry'!N150&gt;0,'Data Entry'!N150,'Data Entry'!O150)</f>
        <v>0</v>
      </c>
      <c r="D150" s="47">
        <f>IF('Data Entry'!P150&gt;0,'Data Entry'!P150,'Data Entry'!Q150)</f>
        <v>0</v>
      </c>
      <c r="E150" s="46">
        <f>IF('Data Entry'!J150&gt;0,'Data Entry'!J150,'Data Entry'!K150)</f>
        <v>0</v>
      </c>
    </row>
    <row r="151" spans="1:5" x14ac:dyDescent="0.25">
      <c r="A151" s="2">
        <f>IF('Data Entry'!J151&gt;0,'Data Entry'!K151,'Data Entry'!L151)</f>
        <v>0</v>
      </c>
      <c r="B151" s="1">
        <f>IF('Data Entry'!J151&gt;0,'Data Entry'!L151,'Data Entry'!M151)</f>
        <v>0</v>
      </c>
      <c r="C151" s="1">
        <f>IF('Data Entry'!N151&gt;0,'Data Entry'!N151,'Data Entry'!O151)</f>
        <v>0</v>
      </c>
      <c r="D151" s="47">
        <f>IF('Data Entry'!P151&gt;0,'Data Entry'!P151,'Data Entry'!Q151)</f>
        <v>0</v>
      </c>
      <c r="E151" s="46">
        <f>IF('Data Entry'!J151&gt;0,'Data Entry'!J151,'Data Entry'!K151)</f>
        <v>0</v>
      </c>
    </row>
    <row r="152" spans="1:5" x14ac:dyDescent="0.25">
      <c r="A152" s="2">
        <f>IF('Data Entry'!J152&gt;0,'Data Entry'!K152,'Data Entry'!L152)</f>
        <v>0</v>
      </c>
      <c r="B152" s="1">
        <f>IF('Data Entry'!J152&gt;0,'Data Entry'!L152,'Data Entry'!M152)</f>
        <v>0</v>
      </c>
      <c r="C152" s="1">
        <f>IF('Data Entry'!N152&gt;0,'Data Entry'!N152,'Data Entry'!O152)</f>
        <v>0</v>
      </c>
      <c r="D152" s="47">
        <f>IF('Data Entry'!P152&gt;0,'Data Entry'!P152,'Data Entry'!Q152)</f>
        <v>0</v>
      </c>
      <c r="E152" s="46">
        <f>IF('Data Entry'!J152&gt;0,'Data Entry'!J152,'Data Entry'!K152)</f>
        <v>0</v>
      </c>
    </row>
    <row r="153" spans="1:5" x14ac:dyDescent="0.25">
      <c r="A153" s="2">
        <f>IF('Data Entry'!J153&gt;0,'Data Entry'!K153,'Data Entry'!L153)</f>
        <v>0</v>
      </c>
      <c r="B153" s="1">
        <f>IF('Data Entry'!J153&gt;0,'Data Entry'!L153,'Data Entry'!M153)</f>
        <v>0</v>
      </c>
      <c r="C153" s="1">
        <f>IF('Data Entry'!N153&gt;0,'Data Entry'!N153,'Data Entry'!O153)</f>
        <v>0</v>
      </c>
      <c r="D153" s="47">
        <f>IF('Data Entry'!P153&gt;0,'Data Entry'!P153,'Data Entry'!Q153)</f>
        <v>0</v>
      </c>
      <c r="E153" s="46">
        <f>IF('Data Entry'!J153&gt;0,'Data Entry'!J153,'Data Entry'!K153)</f>
        <v>0</v>
      </c>
    </row>
    <row r="154" spans="1:5" x14ac:dyDescent="0.25">
      <c r="A154" s="2">
        <f>IF('Data Entry'!J154&gt;0,'Data Entry'!K154,'Data Entry'!L154)</f>
        <v>0</v>
      </c>
      <c r="B154" s="1">
        <f>IF('Data Entry'!J154&gt;0,'Data Entry'!L154,'Data Entry'!M154)</f>
        <v>0</v>
      </c>
      <c r="C154" s="1">
        <f>IF('Data Entry'!N154&gt;0,'Data Entry'!N154,'Data Entry'!O154)</f>
        <v>0</v>
      </c>
      <c r="D154" s="47">
        <f>IF('Data Entry'!P154&gt;0,'Data Entry'!P154,'Data Entry'!Q154)</f>
        <v>0</v>
      </c>
      <c r="E154" s="46">
        <f>IF('Data Entry'!J154&gt;0,'Data Entry'!J154,'Data Entry'!K154)</f>
        <v>0</v>
      </c>
    </row>
    <row r="155" spans="1:5" x14ac:dyDescent="0.25">
      <c r="A155" s="2">
        <f>IF('Data Entry'!J155&gt;0,'Data Entry'!K155,'Data Entry'!L155)</f>
        <v>0</v>
      </c>
      <c r="B155" s="1">
        <f>IF('Data Entry'!J155&gt;0,'Data Entry'!L155,'Data Entry'!M155)</f>
        <v>0</v>
      </c>
      <c r="C155" s="1">
        <f>IF('Data Entry'!N155&gt;0,'Data Entry'!N155,'Data Entry'!O155)</f>
        <v>0</v>
      </c>
      <c r="D155" s="47">
        <f>IF('Data Entry'!P155&gt;0,'Data Entry'!P155,'Data Entry'!Q155)</f>
        <v>0</v>
      </c>
      <c r="E155" s="46">
        <f>IF('Data Entry'!J155&gt;0,'Data Entry'!J155,'Data Entry'!K155)</f>
        <v>0</v>
      </c>
    </row>
    <row r="156" spans="1:5" x14ac:dyDescent="0.25">
      <c r="A156" s="2">
        <f>IF('Data Entry'!J156&gt;0,'Data Entry'!K156,'Data Entry'!L156)</f>
        <v>0</v>
      </c>
      <c r="B156" s="1">
        <f>IF('Data Entry'!J156&gt;0,'Data Entry'!L156,'Data Entry'!M156)</f>
        <v>0</v>
      </c>
      <c r="C156" s="1">
        <f>IF('Data Entry'!N156&gt;0,'Data Entry'!N156,'Data Entry'!O156)</f>
        <v>0</v>
      </c>
      <c r="D156" s="47">
        <f>IF('Data Entry'!P156&gt;0,'Data Entry'!P156,'Data Entry'!Q156)</f>
        <v>0</v>
      </c>
      <c r="E156" s="46">
        <f>IF('Data Entry'!J156&gt;0,'Data Entry'!J156,'Data Entry'!K156)</f>
        <v>0</v>
      </c>
    </row>
    <row r="157" spans="1:5" x14ac:dyDescent="0.25">
      <c r="A157" s="2">
        <f>IF('Data Entry'!J157&gt;0,'Data Entry'!K157,'Data Entry'!L157)</f>
        <v>0</v>
      </c>
      <c r="B157" s="1">
        <f>IF('Data Entry'!J157&gt;0,'Data Entry'!L157,'Data Entry'!M157)</f>
        <v>0</v>
      </c>
      <c r="C157" s="1">
        <f>IF('Data Entry'!N157&gt;0,'Data Entry'!N157,'Data Entry'!O157)</f>
        <v>0</v>
      </c>
      <c r="D157" s="47">
        <f>IF('Data Entry'!P157&gt;0,'Data Entry'!P157,'Data Entry'!Q157)</f>
        <v>0</v>
      </c>
      <c r="E157" s="46">
        <f>IF('Data Entry'!J157&gt;0,'Data Entry'!J157,'Data Entry'!K157)</f>
        <v>0</v>
      </c>
    </row>
    <row r="158" spans="1:5" x14ac:dyDescent="0.25">
      <c r="A158" s="2">
        <f>IF('Data Entry'!J158&gt;0,'Data Entry'!K158,'Data Entry'!L158)</f>
        <v>0</v>
      </c>
      <c r="B158" s="1">
        <f>IF('Data Entry'!J158&gt;0,'Data Entry'!L158,'Data Entry'!M158)</f>
        <v>0</v>
      </c>
      <c r="C158" s="1">
        <f>IF('Data Entry'!N158&gt;0,'Data Entry'!N158,'Data Entry'!O158)</f>
        <v>0</v>
      </c>
      <c r="D158" s="47">
        <f>IF('Data Entry'!P158&gt;0,'Data Entry'!P158,'Data Entry'!Q158)</f>
        <v>0</v>
      </c>
      <c r="E158" s="46">
        <f>IF('Data Entry'!J158&gt;0,'Data Entry'!J158,'Data Entry'!K158)</f>
        <v>0</v>
      </c>
    </row>
    <row r="159" spans="1:5" x14ac:dyDescent="0.25">
      <c r="A159" s="2">
        <f>IF('Data Entry'!J159&gt;0,'Data Entry'!K159,'Data Entry'!L159)</f>
        <v>0</v>
      </c>
      <c r="B159" s="1">
        <f>IF('Data Entry'!J159&gt;0,'Data Entry'!L159,'Data Entry'!M159)</f>
        <v>0</v>
      </c>
      <c r="C159" s="1">
        <f>IF('Data Entry'!N159&gt;0,'Data Entry'!N159,'Data Entry'!O159)</f>
        <v>0</v>
      </c>
      <c r="D159" s="47">
        <f>IF('Data Entry'!P159&gt;0,'Data Entry'!P159,'Data Entry'!Q159)</f>
        <v>0</v>
      </c>
      <c r="E159" s="46">
        <f>IF('Data Entry'!J159&gt;0,'Data Entry'!J159,'Data Entry'!K159)</f>
        <v>0</v>
      </c>
    </row>
    <row r="160" spans="1:5" x14ac:dyDescent="0.25">
      <c r="A160" s="2">
        <f>IF('Data Entry'!J160&gt;0,'Data Entry'!K160,'Data Entry'!L160)</f>
        <v>0</v>
      </c>
      <c r="B160" s="1">
        <f>IF('Data Entry'!J160&gt;0,'Data Entry'!L160,'Data Entry'!M160)</f>
        <v>0</v>
      </c>
      <c r="C160" s="1">
        <f>IF('Data Entry'!N160&gt;0,'Data Entry'!N160,'Data Entry'!O160)</f>
        <v>0</v>
      </c>
      <c r="D160" s="47">
        <f>IF('Data Entry'!P160&gt;0,'Data Entry'!P160,'Data Entry'!Q160)</f>
        <v>0</v>
      </c>
      <c r="E160" s="46">
        <f>IF('Data Entry'!J160&gt;0,'Data Entry'!J160,'Data Entry'!K160)</f>
        <v>0</v>
      </c>
    </row>
    <row r="161" spans="1:5" x14ac:dyDescent="0.25">
      <c r="A161" s="2">
        <f>IF('Data Entry'!J161&gt;0,'Data Entry'!K161,'Data Entry'!L161)</f>
        <v>0</v>
      </c>
      <c r="B161" s="1">
        <f>IF('Data Entry'!J161&gt;0,'Data Entry'!L161,'Data Entry'!M161)</f>
        <v>0</v>
      </c>
      <c r="C161" s="1">
        <f>IF('Data Entry'!N161&gt;0,'Data Entry'!N161,'Data Entry'!O161)</f>
        <v>0</v>
      </c>
      <c r="D161" s="47">
        <f>IF('Data Entry'!P161&gt;0,'Data Entry'!P161,'Data Entry'!Q161)</f>
        <v>0</v>
      </c>
      <c r="E161" s="46">
        <f>IF('Data Entry'!J161&gt;0,'Data Entry'!J161,'Data Entry'!K161)</f>
        <v>0</v>
      </c>
    </row>
    <row r="162" spans="1:5" x14ac:dyDescent="0.25">
      <c r="A162" s="2">
        <f>IF('Data Entry'!J162&gt;0,'Data Entry'!K162,'Data Entry'!L162)</f>
        <v>0</v>
      </c>
      <c r="B162" s="1">
        <f>IF('Data Entry'!J162&gt;0,'Data Entry'!L162,'Data Entry'!M162)</f>
        <v>0</v>
      </c>
      <c r="C162" s="1">
        <f>IF('Data Entry'!N162&gt;0,'Data Entry'!N162,'Data Entry'!O162)</f>
        <v>0</v>
      </c>
      <c r="D162" s="47">
        <f>IF('Data Entry'!P162&gt;0,'Data Entry'!P162,'Data Entry'!Q162)</f>
        <v>0</v>
      </c>
      <c r="E162" s="46">
        <f>IF('Data Entry'!J162&gt;0,'Data Entry'!J162,'Data Entry'!K162)</f>
        <v>0</v>
      </c>
    </row>
    <row r="163" spans="1:5" x14ac:dyDescent="0.25">
      <c r="A163" s="2">
        <f>IF('Data Entry'!J163&gt;0,'Data Entry'!K163,'Data Entry'!L163)</f>
        <v>0</v>
      </c>
      <c r="B163" s="1">
        <f>IF('Data Entry'!J163&gt;0,'Data Entry'!L163,'Data Entry'!M163)</f>
        <v>0</v>
      </c>
      <c r="C163" s="1">
        <f>IF('Data Entry'!N163&gt;0,'Data Entry'!N163,'Data Entry'!O163)</f>
        <v>0</v>
      </c>
      <c r="D163" s="47">
        <f>IF('Data Entry'!P163&gt;0,'Data Entry'!P163,'Data Entry'!Q163)</f>
        <v>0</v>
      </c>
      <c r="E163" s="46">
        <f>IF('Data Entry'!J163&gt;0,'Data Entry'!J163,'Data Entry'!K163)</f>
        <v>0</v>
      </c>
    </row>
    <row r="164" spans="1:5" x14ac:dyDescent="0.25">
      <c r="A164" s="2">
        <f>IF('Data Entry'!J164&gt;0,'Data Entry'!K164,'Data Entry'!L164)</f>
        <v>0</v>
      </c>
      <c r="B164" s="1">
        <f>IF('Data Entry'!J164&gt;0,'Data Entry'!L164,'Data Entry'!M164)</f>
        <v>0</v>
      </c>
      <c r="C164" s="1">
        <f>IF('Data Entry'!N164&gt;0,'Data Entry'!N164,'Data Entry'!O164)</f>
        <v>0</v>
      </c>
      <c r="D164" s="47">
        <f>IF('Data Entry'!P164&gt;0,'Data Entry'!P164,'Data Entry'!Q164)</f>
        <v>0</v>
      </c>
      <c r="E164" s="46">
        <f>IF('Data Entry'!J164&gt;0,'Data Entry'!J164,'Data Entry'!K164)</f>
        <v>0</v>
      </c>
    </row>
    <row r="165" spans="1:5" x14ac:dyDescent="0.25">
      <c r="A165" s="2">
        <f>IF('Data Entry'!J165&gt;0,'Data Entry'!K165,'Data Entry'!L165)</f>
        <v>0</v>
      </c>
      <c r="B165" s="1">
        <f>IF('Data Entry'!J165&gt;0,'Data Entry'!L165,'Data Entry'!M165)</f>
        <v>0</v>
      </c>
      <c r="C165" s="1">
        <f>IF('Data Entry'!N165&gt;0,'Data Entry'!N165,'Data Entry'!O165)</f>
        <v>0</v>
      </c>
      <c r="D165" s="47">
        <f>IF('Data Entry'!P165&gt;0,'Data Entry'!P165,'Data Entry'!Q165)</f>
        <v>0</v>
      </c>
      <c r="E165" s="46">
        <f>IF('Data Entry'!J165&gt;0,'Data Entry'!J165,'Data Entry'!K165)</f>
        <v>0</v>
      </c>
    </row>
    <row r="166" spans="1:5" x14ac:dyDescent="0.25">
      <c r="A166" s="2">
        <f>IF('Data Entry'!J166&gt;0,'Data Entry'!K166,'Data Entry'!L166)</f>
        <v>0</v>
      </c>
      <c r="B166" s="1">
        <f>IF('Data Entry'!J166&gt;0,'Data Entry'!L166,'Data Entry'!M166)</f>
        <v>0</v>
      </c>
      <c r="C166" s="1">
        <f>IF('Data Entry'!N166&gt;0,'Data Entry'!N166,'Data Entry'!O166)</f>
        <v>0</v>
      </c>
      <c r="D166" s="47">
        <f>IF('Data Entry'!P166&gt;0,'Data Entry'!P166,'Data Entry'!Q166)</f>
        <v>0</v>
      </c>
      <c r="E166" s="46">
        <f>IF('Data Entry'!J166&gt;0,'Data Entry'!J166,'Data Entry'!K166)</f>
        <v>0</v>
      </c>
    </row>
    <row r="167" spans="1:5" x14ac:dyDescent="0.25">
      <c r="A167" s="2">
        <f>IF('Data Entry'!J167&gt;0,'Data Entry'!K167,'Data Entry'!L167)</f>
        <v>0</v>
      </c>
      <c r="B167" s="1">
        <f>IF('Data Entry'!J167&gt;0,'Data Entry'!L167,'Data Entry'!M167)</f>
        <v>0</v>
      </c>
      <c r="C167" s="1">
        <f>IF('Data Entry'!N167&gt;0,'Data Entry'!N167,'Data Entry'!O167)</f>
        <v>0</v>
      </c>
      <c r="D167" s="47">
        <f>IF('Data Entry'!P167&gt;0,'Data Entry'!P167,'Data Entry'!Q167)</f>
        <v>0</v>
      </c>
      <c r="E167" s="46">
        <f>IF('Data Entry'!J167&gt;0,'Data Entry'!J167,'Data Entry'!K167)</f>
        <v>0</v>
      </c>
    </row>
    <row r="168" spans="1:5" x14ac:dyDescent="0.25">
      <c r="A168" s="2">
        <f>IF('Data Entry'!J168&gt;0,'Data Entry'!K168,'Data Entry'!L168)</f>
        <v>0</v>
      </c>
      <c r="B168" s="1">
        <f>IF('Data Entry'!J168&gt;0,'Data Entry'!L168,'Data Entry'!M168)</f>
        <v>0</v>
      </c>
      <c r="C168" s="1">
        <f>IF('Data Entry'!N168&gt;0,'Data Entry'!N168,'Data Entry'!O168)</f>
        <v>0</v>
      </c>
      <c r="D168" s="47">
        <f>IF('Data Entry'!P168&gt;0,'Data Entry'!P168,'Data Entry'!Q168)</f>
        <v>0</v>
      </c>
      <c r="E168" s="46">
        <f>IF('Data Entry'!J168&gt;0,'Data Entry'!J168,'Data Entry'!K168)</f>
        <v>0</v>
      </c>
    </row>
    <row r="169" spans="1:5" x14ac:dyDescent="0.25">
      <c r="A169" s="2">
        <f>IF('Data Entry'!J169&gt;0,'Data Entry'!K169,'Data Entry'!L169)</f>
        <v>0</v>
      </c>
      <c r="B169" s="1">
        <f>IF('Data Entry'!J169&gt;0,'Data Entry'!L169,'Data Entry'!M169)</f>
        <v>0</v>
      </c>
      <c r="C169" s="1">
        <f>IF('Data Entry'!N169&gt;0,'Data Entry'!N169,'Data Entry'!O169)</f>
        <v>0</v>
      </c>
      <c r="D169" s="47">
        <f>IF('Data Entry'!P169&gt;0,'Data Entry'!P169,'Data Entry'!Q169)</f>
        <v>0</v>
      </c>
      <c r="E169" s="46">
        <f>IF('Data Entry'!J169&gt;0,'Data Entry'!J169,'Data Entry'!K169)</f>
        <v>0</v>
      </c>
    </row>
    <row r="170" spans="1:5" x14ac:dyDescent="0.25">
      <c r="A170" s="2">
        <f>IF('Data Entry'!J170&gt;0,'Data Entry'!K170,'Data Entry'!L170)</f>
        <v>0</v>
      </c>
      <c r="B170" s="1">
        <f>IF('Data Entry'!J170&gt;0,'Data Entry'!L170,'Data Entry'!M170)</f>
        <v>0</v>
      </c>
      <c r="C170" s="1">
        <f>IF('Data Entry'!N170&gt;0,'Data Entry'!N170,'Data Entry'!O170)</f>
        <v>0</v>
      </c>
      <c r="D170" s="47">
        <f>IF('Data Entry'!P170&gt;0,'Data Entry'!P170,'Data Entry'!Q170)</f>
        <v>0</v>
      </c>
      <c r="E170" s="46">
        <f>IF('Data Entry'!J170&gt;0,'Data Entry'!J170,'Data Entry'!K170)</f>
        <v>0</v>
      </c>
    </row>
    <row r="171" spans="1:5" x14ac:dyDescent="0.25">
      <c r="A171" s="2">
        <f>IF('Data Entry'!J171&gt;0,'Data Entry'!K171,'Data Entry'!L171)</f>
        <v>0</v>
      </c>
      <c r="B171" s="1">
        <f>IF('Data Entry'!J171&gt;0,'Data Entry'!L171,'Data Entry'!M171)</f>
        <v>0</v>
      </c>
      <c r="C171" s="1">
        <f>IF('Data Entry'!N171&gt;0,'Data Entry'!N171,'Data Entry'!O171)</f>
        <v>0</v>
      </c>
      <c r="D171" s="47">
        <f>IF('Data Entry'!P171&gt;0,'Data Entry'!P171,'Data Entry'!Q171)</f>
        <v>0</v>
      </c>
      <c r="E171" s="46">
        <f>IF('Data Entry'!J171&gt;0,'Data Entry'!J171,'Data Entry'!K171)</f>
        <v>0</v>
      </c>
    </row>
    <row r="172" spans="1:5" x14ac:dyDescent="0.25">
      <c r="A172" s="2">
        <f>IF('Data Entry'!J172&gt;0,'Data Entry'!K172,'Data Entry'!L172)</f>
        <v>0</v>
      </c>
      <c r="B172" s="1">
        <f>IF('Data Entry'!J172&gt;0,'Data Entry'!L172,'Data Entry'!M172)</f>
        <v>0</v>
      </c>
      <c r="C172" s="1">
        <f>IF('Data Entry'!N172&gt;0,'Data Entry'!N172,'Data Entry'!O172)</f>
        <v>0</v>
      </c>
      <c r="D172" s="47">
        <f>IF('Data Entry'!P172&gt;0,'Data Entry'!P172,'Data Entry'!Q172)</f>
        <v>0</v>
      </c>
      <c r="E172" s="46">
        <f>IF('Data Entry'!J172&gt;0,'Data Entry'!J172,'Data Entry'!K172)</f>
        <v>0</v>
      </c>
    </row>
    <row r="173" spans="1:5" x14ac:dyDescent="0.25">
      <c r="A173" s="2">
        <f>IF('Data Entry'!J173&gt;0,'Data Entry'!K173,'Data Entry'!L173)</f>
        <v>0</v>
      </c>
      <c r="B173" s="1">
        <f>IF('Data Entry'!J173&gt;0,'Data Entry'!L173,'Data Entry'!M173)</f>
        <v>0</v>
      </c>
      <c r="C173" s="1">
        <f>IF('Data Entry'!N173&gt;0,'Data Entry'!N173,'Data Entry'!O173)</f>
        <v>0</v>
      </c>
      <c r="D173" s="47">
        <f>IF('Data Entry'!P173&gt;0,'Data Entry'!P173,'Data Entry'!Q173)</f>
        <v>0</v>
      </c>
      <c r="E173" s="46">
        <f>IF('Data Entry'!J173&gt;0,'Data Entry'!J173,'Data Entry'!K173)</f>
        <v>0</v>
      </c>
    </row>
    <row r="174" spans="1:5" x14ac:dyDescent="0.25">
      <c r="A174" s="2">
        <f>IF('Data Entry'!J174&gt;0,'Data Entry'!K174,'Data Entry'!L174)</f>
        <v>0</v>
      </c>
      <c r="B174" s="1">
        <f>IF('Data Entry'!J174&gt;0,'Data Entry'!L174,'Data Entry'!M174)</f>
        <v>0</v>
      </c>
      <c r="C174" s="1">
        <f>IF('Data Entry'!N174&gt;0,'Data Entry'!N174,'Data Entry'!O174)</f>
        <v>0</v>
      </c>
      <c r="D174" s="47">
        <f>IF('Data Entry'!P174&gt;0,'Data Entry'!P174,'Data Entry'!Q174)</f>
        <v>0</v>
      </c>
      <c r="E174" s="46">
        <f>IF('Data Entry'!J174&gt;0,'Data Entry'!J174,'Data Entry'!K174)</f>
        <v>0</v>
      </c>
    </row>
    <row r="175" spans="1:5" x14ac:dyDescent="0.25">
      <c r="A175" s="2">
        <f>IF('Data Entry'!J175&gt;0,'Data Entry'!K175,'Data Entry'!L175)</f>
        <v>0</v>
      </c>
      <c r="B175" s="1">
        <f>IF('Data Entry'!J175&gt;0,'Data Entry'!L175,'Data Entry'!M175)</f>
        <v>0</v>
      </c>
      <c r="C175" s="1">
        <f>IF('Data Entry'!N175&gt;0,'Data Entry'!N175,'Data Entry'!O175)</f>
        <v>0</v>
      </c>
      <c r="D175" s="47">
        <f>IF('Data Entry'!P175&gt;0,'Data Entry'!P175,'Data Entry'!Q175)</f>
        <v>0</v>
      </c>
      <c r="E175" s="46">
        <f>IF('Data Entry'!J175&gt;0,'Data Entry'!J175,'Data Entry'!K175)</f>
        <v>0</v>
      </c>
    </row>
    <row r="176" spans="1:5" x14ac:dyDescent="0.25">
      <c r="A176" s="2">
        <f>IF('Data Entry'!J176&gt;0,'Data Entry'!K176,'Data Entry'!L176)</f>
        <v>0</v>
      </c>
      <c r="B176" s="1">
        <f>IF('Data Entry'!J176&gt;0,'Data Entry'!L176,'Data Entry'!M176)</f>
        <v>0</v>
      </c>
      <c r="C176" s="1">
        <f>IF('Data Entry'!N176&gt;0,'Data Entry'!N176,'Data Entry'!O176)</f>
        <v>0</v>
      </c>
      <c r="D176" s="47">
        <f>IF('Data Entry'!P176&gt;0,'Data Entry'!P176,'Data Entry'!Q176)</f>
        <v>0</v>
      </c>
      <c r="E176" s="46">
        <f>IF('Data Entry'!J176&gt;0,'Data Entry'!J176,'Data Entry'!K176)</f>
        <v>0</v>
      </c>
    </row>
    <row r="177" spans="1:5" x14ac:dyDescent="0.25">
      <c r="A177" s="2">
        <f>IF('Data Entry'!J177&gt;0,'Data Entry'!K177,'Data Entry'!L177)</f>
        <v>0</v>
      </c>
      <c r="B177" s="1">
        <f>IF('Data Entry'!J177&gt;0,'Data Entry'!L177,'Data Entry'!M177)</f>
        <v>0</v>
      </c>
      <c r="C177" s="1">
        <f>IF('Data Entry'!N177&gt;0,'Data Entry'!N177,'Data Entry'!O177)</f>
        <v>0</v>
      </c>
      <c r="D177" s="47">
        <f>IF('Data Entry'!P177&gt;0,'Data Entry'!P177,'Data Entry'!Q177)</f>
        <v>0</v>
      </c>
      <c r="E177" s="46">
        <f>IF('Data Entry'!J177&gt;0,'Data Entry'!J177,'Data Entry'!K177)</f>
        <v>0</v>
      </c>
    </row>
    <row r="178" spans="1:5" x14ac:dyDescent="0.25">
      <c r="A178" s="2">
        <f>IF('Data Entry'!J178&gt;0,'Data Entry'!K178,'Data Entry'!L178)</f>
        <v>0</v>
      </c>
      <c r="B178" s="1">
        <f>IF('Data Entry'!J178&gt;0,'Data Entry'!L178,'Data Entry'!M178)</f>
        <v>0</v>
      </c>
      <c r="C178" s="1">
        <f>IF('Data Entry'!N178&gt;0,'Data Entry'!N178,'Data Entry'!O178)</f>
        <v>0</v>
      </c>
      <c r="D178" s="47">
        <f>IF('Data Entry'!P178&gt;0,'Data Entry'!P178,'Data Entry'!Q178)</f>
        <v>0</v>
      </c>
      <c r="E178" s="46">
        <f>IF('Data Entry'!J178&gt;0,'Data Entry'!J178,'Data Entry'!K178)</f>
        <v>0</v>
      </c>
    </row>
    <row r="179" spans="1:5" x14ac:dyDescent="0.25">
      <c r="A179" s="2">
        <f>IF('Data Entry'!J179&gt;0,'Data Entry'!K179,'Data Entry'!L179)</f>
        <v>0</v>
      </c>
      <c r="B179" s="1">
        <f>IF('Data Entry'!J179&gt;0,'Data Entry'!L179,'Data Entry'!M179)</f>
        <v>0</v>
      </c>
      <c r="C179" s="1">
        <f>IF('Data Entry'!N179&gt;0,'Data Entry'!N179,'Data Entry'!O179)</f>
        <v>0</v>
      </c>
      <c r="D179" s="47">
        <f>IF('Data Entry'!P179&gt;0,'Data Entry'!P179,'Data Entry'!Q179)</f>
        <v>0</v>
      </c>
      <c r="E179" s="46">
        <f>IF('Data Entry'!J179&gt;0,'Data Entry'!J179,'Data Entry'!K179)</f>
        <v>0</v>
      </c>
    </row>
    <row r="180" spans="1:5" x14ac:dyDescent="0.25">
      <c r="A180" s="2">
        <f>IF('Data Entry'!J180&gt;0,'Data Entry'!K180,'Data Entry'!L180)</f>
        <v>0</v>
      </c>
      <c r="B180" s="1">
        <f>IF('Data Entry'!J180&gt;0,'Data Entry'!L180,'Data Entry'!M180)</f>
        <v>0</v>
      </c>
      <c r="C180" s="1">
        <f>IF('Data Entry'!N180&gt;0,'Data Entry'!N180,'Data Entry'!O180)</f>
        <v>0</v>
      </c>
      <c r="D180" s="47">
        <f>IF('Data Entry'!P180&gt;0,'Data Entry'!P180,'Data Entry'!Q180)</f>
        <v>0</v>
      </c>
      <c r="E180" s="46">
        <f>IF('Data Entry'!J180&gt;0,'Data Entry'!J180,'Data Entry'!K180)</f>
        <v>0</v>
      </c>
    </row>
    <row r="181" spans="1:5" x14ac:dyDescent="0.25">
      <c r="A181" s="2">
        <f>IF('Data Entry'!J181&gt;0,'Data Entry'!K181,'Data Entry'!L181)</f>
        <v>0</v>
      </c>
      <c r="B181" s="1">
        <f>IF('Data Entry'!J181&gt;0,'Data Entry'!L181,'Data Entry'!M181)</f>
        <v>0</v>
      </c>
      <c r="C181" s="1">
        <f>IF('Data Entry'!N181&gt;0,'Data Entry'!N181,'Data Entry'!O181)</f>
        <v>0</v>
      </c>
      <c r="D181" s="47">
        <f>IF('Data Entry'!P181&gt;0,'Data Entry'!P181,'Data Entry'!Q181)</f>
        <v>0</v>
      </c>
      <c r="E181" s="46">
        <f>IF('Data Entry'!J181&gt;0,'Data Entry'!J181,'Data Entry'!K181)</f>
        <v>0</v>
      </c>
    </row>
    <row r="182" spans="1:5" x14ac:dyDescent="0.25">
      <c r="A182" s="2">
        <f>IF('Data Entry'!J182&gt;0,'Data Entry'!K182,'Data Entry'!L182)</f>
        <v>0</v>
      </c>
      <c r="B182" s="1">
        <f>IF('Data Entry'!J182&gt;0,'Data Entry'!L182,'Data Entry'!M182)</f>
        <v>0</v>
      </c>
      <c r="C182" s="1">
        <f>IF('Data Entry'!N182&gt;0,'Data Entry'!N182,'Data Entry'!O182)</f>
        <v>0</v>
      </c>
      <c r="D182" s="47">
        <f>IF('Data Entry'!P182&gt;0,'Data Entry'!P182,'Data Entry'!Q182)</f>
        <v>0</v>
      </c>
      <c r="E182" s="46">
        <f>IF('Data Entry'!J182&gt;0,'Data Entry'!J182,'Data Entry'!K182)</f>
        <v>0</v>
      </c>
    </row>
    <row r="183" spans="1:5" x14ac:dyDescent="0.25">
      <c r="A183" s="2">
        <f>IF('Data Entry'!J183&gt;0,'Data Entry'!K183,'Data Entry'!L183)</f>
        <v>0</v>
      </c>
      <c r="B183" s="1">
        <f>IF('Data Entry'!J183&gt;0,'Data Entry'!L183,'Data Entry'!M183)</f>
        <v>0</v>
      </c>
      <c r="C183" s="1">
        <f>IF('Data Entry'!N183&gt;0,'Data Entry'!N183,'Data Entry'!O183)</f>
        <v>0</v>
      </c>
      <c r="D183" s="47">
        <f>IF('Data Entry'!P183&gt;0,'Data Entry'!P183,'Data Entry'!Q183)</f>
        <v>0</v>
      </c>
      <c r="E183" s="46">
        <f>IF('Data Entry'!J183&gt;0,'Data Entry'!J183,'Data Entry'!K183)</f>
        <v>0</v>
      </c>
    </row>
    <row r="184" spans="1:5" x14ac:dyDescent="0.25">
      <c r="A184" s="2">
        <f>IF('Data Entry'!J184&gt;0,'Data Entry'!K184,'Data Entry'!L184)</f>
        <v>0</v>
      </c>
      <c r="B184" s="1">
        <f>IF('Data Entry'!J184&gt;0,'Data Entry'!L184,'Data Entry'!M184)</f>
        <v>0</v>
      </c>
      <c r="C184" s="1">
        <f>IF('Data Entry'!N184&gt;0,'Data Entry'!N184,'Data Entry'!O184)</f>
        <v>0</v>
      </c>
      <c r="D184" s="47">
        <f>IF('Data Entry'!P184&gt;0,'Data Entry'!P184,'Data Entry'!Q184)</f>
        <v>0</v>
      </c>
      <c r="E184" s="46">
        <f>IF('Data Entry'!J184&gt;0,'Data Entry'!J184,'Data Entry'!K184)</f>
        <v>0</v>
      </c>
    </row>
    <row r="185" spans="1:5" x14ac:dyDescent="0.25">
      <c r="A185" s="2">
        <f>IF('Data Entry'!J185&gt;0,'Data Entry'!K185,'Data Entry'!L185)</f>
        <v>0</v>
      </c>
      <c r="B185" s="1">
        <f>IF('Data Entry'!J185&gt;0,'Data Entry'!L185,'Data Entry'!M185)</f>
        <v>0</v>
      </c>
      <c r="C185" s="1">
        <f>IF('Data Entry'!N185&gt;0,'Data Entry'!N185,'Data Entry'!O185)</f>
        <v>0</v>
      </c>
      <c r="D185" s="47">
        <f>IF('Data Entry'!P185&gt;0,'Data Entry'!P185,'Data Entry'!Q185)</f>
        <v>0</v>
      </c>
      <c r="E185" s="46">
        <f>IF('Data Entry'!J185&gt;0,'Data Entry'!J185,'Data Entry'!K185)</f>
        <v>0</v>
      </c>
    </row>
    <row r="186" spans="1:5" x14ac:dyDescent="0.25">
      <c r="A186" s="2">
        <f>IF('Data Entry'!J186&gt;0,'Data Entry'!K186,'Data Entry'!L186)</f>
        <v>0</v>
      </c>
      <c r="B186" s="1">
        <f>IF('Data Entry'!J186&gt;0,'Data Entry'!L186,'Data Entry'!M186)</f>
        <v>0</v>
      </c>
      <c r="C186" s="1">
        <f>IF('Data Entry'!N186&gt;0,'Data Entry'!N186,'Data Entry'!O186)</f>
        <v>0</v>
      </c>
      <c r="D186" s="47">
        <f>IF('Data Entry'!P186&gt;0,'Data Entry'!P186,'Data Entry'!Q186)</f>
        <v>0</v>
      </c>
      <c r="E186" s="46">
        <f>IF('Data Entry'!J186&gt;0,'Data Entry'!J186,'Data Entry'!K186)</f>
        <v>0</v>
      </c>
    </row>
    <row r="187" spans="1:5" x14ac:dyDescent="0.25">
      <c r="A187" s="2">
        <f>IF('Data Entry'!J187&gt;0,'Data Entry'!K187,'Data Entry'!L187)</f>
        <v>0</v>
      </c>
      <c r="B187" s="1">
        <f>IF('Data Entry'!J187&gt;0,'Data Entry'!L187,'Data Entry'!M187)</f>
        <v>0</v>
      </c>
      <c r="C187" s="1">
        <f>IF('Data Entry'!N187&gt;0,'Data Entry'!N187,'Data Entry'!O187)</f>
        <v>0</v>
      </c>
      <c r="D187" s="47">
        <f>IF('Data Entry'!P187&gt;0,'Data Entry'!P187,'Data Entry'!Q187)</f>
        <v>0</v>
      </c>
      <c r="E187" s="46">
        <f>IF('Data Entry'!J187&gt;0,'Data Entry'!J187,'Data Entry'!K187)</f>
        <v>0</v>
      </c>
    </row>
    <row r="188" spans="1:5" x14ac:dyDescent="0.25">
      <c r="A188" s="2">
        <f>IF('Data Entry'!J188&gt;0,'Data Entry'!K188,'Data Entry'!L188)</f>
        <v>0</v>
      </c>
      <c r="B188" s="1">
        <f>IF('Data Entry'!J188&gt;0,'Data Entry'!L188,'Data Entry'!M188)</f>
        <v>0</v>
      </c>
      <c r="C188" s="1">
        <f>IF('Data Entry'!N188&gt;0,'Data Entry'!N188,'Data Entry'!O188)</f>
        <v>0</v>
      </c>
      <c r="D188" s="47">
        <f>IF('Data Entry'!P188&gt;0,'Data Entry'!P188,'Data Entry'!Q188)</f>
        <v>0</v>
      </c>
      <c r="E188" s="46">
        <f>IF('Data Entry'!J188&gt;0,'Data Entry'!J188,'Data Entry'!K188)</f>
        <v>0</v>
      </c>
    </row>
    <row r="189" spans="1:5" x14ac:dyDescent="0.25">
      <c r="A189" s="2">
        <f>IF('Data Entry'!J189&gt;0,'Data Entry'!K189,'Data Entry'!L189)</f>
        <v>0</v>
      </c>
      <c r="B189" s="1">
        <f>IF('Data Entry'!J189&gt;0,'Data Entry'!L189,'Data Entry'!M189)</f>
        <v>0</v>
      </c>
      <c r="C189" s="1">
        <f>IF('Data Entry'!N189&gt;0,'Data Entry'!N189,'Data Entry'!O189)</f>
        <v>0</v>
      </c>
      <c r="D189" s="47">
        <f>IF('Data Entry'!P189&gt;0,'Data Entry'!P189,'Data Entry'!Q189)</f>
        <v>0</v>
      </c>
      <c r="E189" s="46">
        <f>IF('Data Entry'!J189&gt;0,'Data Entry'!J189,'Data Entry'!K189)</f>
        <v>0</v>
      </c>
    </row>
    <row r="190" spans="1:5" x14ac:dyDescent="0.25">
      <c r="A190" s="2">
        <f>IF('Data Entry'!J190&gt;0,'Data Entry'!K190,'Data Entry'!L190)</f>
        <v>0</v>
      </c>
      <c r="B190" s="1">
        <f>IF('Data Entry'!J190&gt;0,'Data Entry'!L190,'Data Entry'!M190)</f>
        <v>0</v>
      </c>
      <c r="C190" s="1">
        <f>IF('Data Entry'!N190&gt;0,'Data Entry'!N190,'Data Entry'!O190)</f>
        <v>0</v>
      </c>
      <c r="D190" s="47">
        <f>IF('Data Entry'!P190&gt;0,'Data Entry'!P190,'Data Entry'!Q190)</f>
        <v>0</v>
      </c>
      <c r="E190" s="46">
        <f>IF('Data Entry'!J190&gt;0,'Data Entry'!J190,'Data Entry'!K190)</f>
        <v>0</v>
      </c>
    </row>
    <row r="191" spans="1:5" x14ac:dyDescent="0.25">
      <c r="A191" s="2">
        <f>IF('Data Entry'!J191&gt;0,'Data Entry'!K191,'Data Entry'!L191)</f>
        <v>0</v>
      </c>
      <c r="B191" s="1">
        <f>IF('Data Entry'!J191&gt;0,'Data Entry'!L191,'Data Entry'!M191)</f>
        <v>0</v>
      </c>
      <c r="C191" s="1">
        <f>IF('Data Entry'!N191&gt;0,'Data Entry'!N191,'Data Entry'!O191)</f>
        <v>0</v>
      </c>
      <c r="D191" s="47">
        <f>IF('Data Entry'!P191&gt;0,'Data Entry'!P191,'Data Entry'!Q191)</f>
        <v>0</v>
      </c>
      <c r="E191" s="46">
        <f>IF('Data Entry'!J191&gt;0,'Data Entry'!J191,'Data Entry'!K191)</f>
        <v>0</v>
      </c>
    </row>
    <row r="192" spans="1:5" x14ac:dyDescent="0.25">
      <c r="A192" s="2">
        <f>IF('Data Entry'!J192&gt;0,'Data Entry'!K192,'Data Entry'!L192)</f>
        <v>0</v>
      </c>
      <c r="B192" s="1">
        <f>IF('Data Entry'!J192&gt;0,'Data Entry'!L192,'Data Entry'!M192)</f>
        <v>0</v>
      </c>
      <c r="C192" s="1">
        <f>IF('Data Entry'!N192&gt;0,'Data Entry'!N192,'Data Entry'!O192)</f>
        <v>0</v>
      </c>
      <c r="D192" s="47">
        <f>IF('Data Entry'!P192&gt;0,'Data Entry'!P192,'Data Entry'!Q192)</f>
        <v>0</v>
      </c>
      <c r="E192" s="46">
        <f>IF('Data Entry'!J192&gt;0,'Data Entry'!J192,'Data Entry'!K192)</f>
        <v>0</v>
      </c>
    </row>
    <row r="193" spans="1:5" x14ac:dyDescent="0.25">
      <c r="A193" s="2">
        <f>IF('Data Entry'!J193&gt;0,'Data Entry'!K193,'Data Entry'!L193)</f>
        <v>0</v>
      </c>
      <c r="B193" s="1">
        <f>IF('Data Entry'!J193&gt;0,'Data Entry'!L193,'Data Entry'!M193)</f>
        <v>0</v>
      </c>
      <c r="C193" s="1">
        <f>IF('Data Entry'!N193&gt;0,'Data Entry'!N193,'Data Entry'!O193)</f>
        <v>0</v>
      </c>
      <c r="D193" s="47">
        <f>IF('Data Entry'!P193&gt;0,'Data Entry'!P193,'Data Entry'!Q193)</f>
        <v>0</v>
      </c>
      <c r="E193" s="46">
        <f>IF('Data Entry'!J193&gt;0,'Data Entry'!J193,'Data Entry'!K193)</f>
        <v>0</v>
      </c>
    </row>
    <row r="194" spans="1:5" x14ac:dyDescent="0.25">
      <c r="A194" s="2">
        <f>IF('Data Entry'!J194&gt;0,'Data Entry'!K194,'Data Entry'!L194)</f>
        <v>0</v>
      </c>
      <c r="B194" s="1">
        <f>IF('Data Entry'!J194&gt;0,'Data Entry'!L194,'Data Entry'!M194)</f>
        <v>0</v>
      </c>
      <c r="C194" s="1">
        <f>IF('Data Entry'!N194&gt;0,'Data Entry'!N194,'Data Entry'!O194)</f>
        <v>0</v>
      </c>
      <c r="D194" s="47">
        <f>IF('Data Entry'!P194&gt;0,'Data Entry'!P194,'Data Entry'!Q194)</f>
        <v>0</v>
      </c>
      <c r="E194" s="46">
        <f>IF('Data Entry'!J194&gt;0,'Data Entry'!J194,'Data Entry'!K194)</f>
        <v>0</v>
      </c>
    </row>
    <row r="195" spans="1:5" x14ac:dyDescent="0.25">
      <c r="A195" s="2">
        <f>IF('Data Entry'!J195&gt;0,'Data Entry'!K195,'Data Entry'!L195)</f>
        <v>0</v>
      </c>
      <c r="B195" s="1">
        <f>IF('Data Entry'!J195&gt;0,'Data Entry'!L195,'Data Entry'!M195)</f>
        <v>0</v>
      </c>
      <c r="C195" s="1">
        <f>IF('Data Entry'!N195&gt;0,'Data Entry'!N195,'Data Entry'!O195)</f>
        <v>0</v>
      </c>
      <c r="D195" s="47">
        <f>IF('Data Entry'!P195&gt;0,'Data Entry'!P195,'Data Entry'!Q195)</f>
        <v>0</v>
      </c>
      <c r="E195" s="46">
        <f>IF('Data Entry'!J195&gt;0,'Data Entry'!J195,'Data Entry'!K195)</f>
        <v>0</v>
      </c>
    </row>
    <row r="196" spans="1:5" x14ac:dyDescent="0.25">
      <c r="A196" s="2">
        <f>IF('Data Entry'!J196&gt;0,'Data Entry'!K196,'Data Entry'!L196)</f>
        <v>0</v>
      </c>
      <c r="B196" s="1">
        <f>IF('Data Entry'!J196&gt;0,'Data Entry'!L196,'Data Entry'!M196)</f>
        <v>0</v>
      </c>
      <c r="C196" s="1">
        <f>IF('Data Entry'!N196&gt;0,'Data Entry'!N196,'Data Entry'!O196)</f>
        <v>0</v>
      </c>
      <c r="D196" s="47">
        <f>IF('Data Entry'!P196&gt;0,'Data Entry'!P196,'Data Entry'!Q196)</f>
        <v>0</v>
      </c>
      <c r="E196" s="46">
        <f>IF('Data Entry'!J196&gt;0,'Data Entry'!J196,'Data Entry'!K196)</f>
        <v>0</v>
      </c>
    </row>
    <row r="197" spans="1:5" x14ac:dyDescent="0.25">
      <c r="A197" s="2">
        <f>IF('Data Entry'!J197&gt;0,'Data Entry'!K197,'Data Entry'!L197)</f>
        <v>0</v>
      </c>
      <c r="B197" s="1">
        <f>IF('Data Entry'!J197&gt;0,'Data Entry'!L197,'Data Entry'!M197)</f>
        <v>0</v>
      </c>
      <c r="C197" s="1">
        <f>IF('Data Entry'!N197&gt;0,'Data Entry'!N197,'Data Entry'!O197)</f>
        <v>0</v>
      </c>
      <c r="D197" s="47">
        <f>IF('Data Entry'!P197&gt;0,'Data Entry'!P197,'Data Entry'!Q197)</f>
        <v>0</v>
      </c>
      <c r="E197" s="46">
        <f>IF('Data Entry'!J197&gt;0,'Data Entry'!J197,'Data Entry'!K197)</f>
        <v>0</v>
      </c>
    </row>
    <row r="198" spans="1:5" x14ac:dyDescent="0.25">
      <c r="A198" s="2">
        <f>IF('Data Entry'!J198&gt;0,'Data Entry'!K198,'Data Entry'!L198)</f>
        <v>0</v>
      </c>
      <c r="B198" s="1">
        <f>IF('Data Entry'!J198&gt;0,'Data Entry'!L198,'Data Entry'!M198)</f>
        <v>0</v>
      </c>
      <c r="C198" s="1">
        <f>IF('Data Entry'!N198&gt;0,'Data Entry'!N198,'Data Entry'!O198)</f>
        <v>0</v>
      </c>
      <c r="D198" s="47">
        <f>IF('Data Entry'!P198&gt;0,'Data Entry'!P198,'Data Entry'!Q198)</f>
        <v>0</v>
      </c>
      <c r="E198" s="46">
        <f>IF('Data Entry'!J198&gt;0,'Data Entry'!J198,'Data Entry'!K198)</f>
        <v>0</v>
      </c>
    </row>
    <row r="199" spans="1:5" x14ac:dyDescent="0.25">
      <c r="A199" s="2">
        <f>IF('Data Entry'!J199&gt;0,'Data Entry'!K199,'Data Entry'!L199)</f>
        <v>0</v>
      </c>
      <c r="B199" s="1">
        <f>IF('Data Entry'!J199&gt;0,'Data Entry'!L199,'Data Entry'!M199)</f>
        <v>0</v>
      </c>
      <c r="C199" s="1">
        <f>IF('Data Entry'!N199&gt;0,'Data Entry'!N199,'Data Entry'!O199)</f>
        <v>0</v>
      </c>
      <c r="D199" s="47">
        <f>IF('Data Entry'!P199&gt;0,'Data Entry'!P199,'Data Entry'!Q199)</f>
        <v>0</v>
      </c>
      <c r="E199" s="46">
        <f>IF('Data Entry'!J199&gt;0,'Data Entry'!J199,'Data Entry'!K199)</f>
        <v>0</v>
      </c>
    </row>
    <row r="200" spans="1:5" x14ac:dyDescent="0.25">
      <c r="A200" s="2">
        <f>IF('Data Entry'!J200&gt;0,'Data Entry'!K200,'Data Entry'!L200)</f>
        <v>0</v>
      </c>
      <c r="B200" s="1">
        <f>IF('Data Entry'!J200&gt;0,'Data Entry'!L200,'Data Entry'!M200)</f>
        <v>0</v>
      </c>
      <c r="C200" s="1">
        <f>IF('Data Entry'!N200&gt;0,'Data Entry'!N200,'Data Entry'!O200)</f>
        <v>0</v>
      </c>
      <c r="D200" s="47">
        <f>IF('Data Entry'!P200&gt;0,'Data Entry'!P200,'Data Entry'!Q200)</f>
        <v>0</v>
      </c>
      <c r="E200" s="46">
        <f>IF('Data Entry'!J200&gt;0,'Data Entry'!J200,'Data Entry'!K200)</f>
        <v>0</v>
      </c>
    </row>
    <row r="201" spans="1:5" x14ac:dyDescent="0.25">
      <c r="A201" s="2">
        <f>IF('Data Entry'!J201&gt;0,'Data Entry'!K201,'Data Entry'!L201)</f>
        <v>0</v>
      </c>
      <c r="B201" s="1">
        <f>IF('Data Entry'!J201&gt;0,'Data Entry'!L201,'Data Entry'!M201)</f>
        <v>0</v>
      </c>
      <c r="C201" s="1">
        <f>IF('Data Entry'!N201&gt;0,'Data Entry'!N201,'Data Entry'!O201)</f>
        <v>0</v>
      </c>
      <c r="D201" s="47">
        <f>IF('Data Entry'!P201&gt;0,'Data Entry'!P201,'Data Entry'!Q201)</f>
        <v>0</v>
      </c>
      <c r="E201" s="46">
        <f>IF('Data Entry'!J201&gt;0,'Data Entry'!J201,'Data Entry'!K201)</f>
        <v>0</v>
      </c>
    </row>
    <row r="202" spans="1:5" x14ac:dyDescent="0.25">
      <c r="A202" s="2">
        <f>IF('Data Entry'!J202&gt;0,'Data Entry'!K202,'Data Entry'!L202)</f>
        <v>0</v>
      </c>
      <c r="B202" s="1">
        <f>IF('Data Entry'!J202&gt;0,'Data Entry'!L202,'Data Entry'!M202)</f>
        <v>0</v>
      </c>
      <c r="C202" s="1">
        <f>IF('Data Entry'!N202&gt;0,'Data Entry'!N202,'Data Entry'!O202)</f>
        <v>0</v>
      </c>
      <c r="D202" s="47">
        <f>IF('Data Entry'!P202&gt;0,'Data Entry'!P202,'Data Entry'!Q202)</f>
        <v>0</v>
      </c>
      <c r="E202" s="46">
        <f>IF('Data Entry'!J202&gt;0,'Data Entry'!J202,'Data Entry'!K202)</f>
        <v>0</v>
      </c>
    </row>
    <row r="203" spans="1:5" x14ac:dyDescent="0.25">
      <c r="A203" s="2">
        <f>IF('Data Entry'!J203&gt;0,'Data Entry'!K203,'Data Entry'!L203)</f>
        <v>0</v>
      </c>
      <c r="B203" s="1">
        <f>IF('Data Entry'!J203&gt;0,'Data Entry'!L203,'Data Entry'!M203)</f>
        <v>0</v>
      </c>
      <c r="C203" s="1">
        <f>IF('Data Entry'!N203&gt;0,'Data Entry'!N203,'Data Entry'!O203)</f>
        <v>0</v>
      </c>
      <c r="D203" s="47">
        <f>IF('Data Entry'!P203&gt;0,'Data Entry'!P203,'Data Entry'!Q203)</f>
        <v>0</v>
      </c>
      <c r="E203" s="46">
        <f>IF('Data Entry'!J203&gt;0,'Data Entry'!J203,'Data Entry'!K203)</f>
        <v>0</v>
      </c>
    </row>
    <row r="204" spans="1:5" x14ac:dyDescent="0.25">
      <c r="A204" s="2">
        <f>IF('Data Entry'!J204&gt;0,'Data Entry'!K204,'Data Entry'!L204)</f>
        <v>0</v>
      </c>
      <c r="B204" s="1">
        <f>IF('Data Entry'!J204&gt;0,'Data Entry'!L204,'Data Entry'!M204)</f>
        <v>0</v>
      </c>
      <c r="C204" s="1">
        <f>IF('Data Entry'!N204&gt;0,'Data Entry'!N204,'Data Entry'!O204)</f>
        <v>0</v>
      </c>
      <c r="D204" s="47">
        <f>IF('Data Entry'!P204&gt;0,'Data Entry'!P204,'Data Entry'!Q204)</f>
        <v>0</v>
      </c>
      <c r="E204" s="46">
        <f>IF('Data Entry'!J204&gt;0,'Data Entry'!J204,'Data Entry'!K204)</f>
        <v>0</v>
      </c>
    </row>
    <row r="205" spans="1:5" x14ac:dyDescent="0.25">
      <c r="A205" s="2">
        <f>IF('Data Entry'!J205&gt;0,'Data Entry'!K205,'Data Entry'!L205)</f>
        <v>0</v>
      </c>
      <c r="B205" s="1">
        <f>IF('Data Entry'!J205&gt;0,'Data Entry'!L205,'Data Entry'!M205)</f>
        <v>0</v>
      </c>
      <c r="C205" s="1">
        <f>IF('Data Entry'!N205&gt;0,'Data Entry'!N205,'Data Entry'!O205)</f>
        <v>0</v>
      </c>
      <c r="D205" s="47">
        <f>IF('Data Entry'!P205&gt;0,'Data Entry'!P205,'Data Entry'!Q205)</f>
        <v>0</v>
      </c>
      <c r="E205" s="46">
        <f>IF('Data Entry'!J205&gt;0,'Data Entry'!J205,'Data Entry'!K205)</f>
        <v>0</v>
      </c>
    </row>
    <row r="206" spans="1:5" x14ac:dyDescent="0.25">
      <c r="A206" s="2">
        <f>IF('Data Entry'!J206&gt;0,'Data Entry'!K206,'Data Entry'!L206)</f>
        <v>0</v>
      </c>
      <c r="B206" s="1">
        <f>IF('Data Entry'!J206&gt;0,'Data Entry'!L206,'Data Entry'!M206)</f>
        <v>0</v>
      </c>
      <c r="C206" s="1">
        <f>IF('Data Entry'!N206&gt;0,'Data Entry'!N206,'Data Entry'!O206)</f>
        <v>0</v>
      </c>
      <c r="D206" s="47">
        <f>IF('Data Entry'!P206&gt;0,'Data Entry'!P206,'Data Entry'!Q206)</f>
        <v>0</v>
      </c>
      <c r="E206" s="46">
        <f>IF('Data Entry'!J206&gt;0,'Data Entry'!J206,'Data Entry'!K206)</f>
        <v>0</v>
      </c>
    </row>
    <row r="207" spans="1:5" x14ac:dyDescent="0.25">
      <c r="A207" s="2">
        <f>IF('Data Entry'!J207&gt;0,'Data Entry'!K207,'Data Entry'!L207)</f>
        <v>0</v>
      </c>
      <c r="B207" s="1">
        <f>IF('Data Entry'!J207&gt;0,'Data Entry'!L207,'Data Entry'!M207)</f>
        <v>0</v>
      </c>
      <c r="C207" s="1">
        <f>IF('Data Entry'!N207&gt;0,'Data Entry'!N207,'Data Entry'!O207)</f>
        <v>0</v>
      </c>
      <c r="D207" s="47">
        <f>IF('Data Entry'!P207&gt;0,'Data Entry'!P207,'Data Entry'!Q207)</f>
        <v>0</v>
      </c>
      <c r="E207" s="46">
        <f>IF('Data Entry'!J207&gt;0,'Data Entry'!J207,'Data Entry'!K207)</f>
        <v>0</v>
      </c>
    </row>
    <row r="208" spans="1:5" x14ac:dyDescent="0.25">
      <c r="A208" s="2">
        <f>IF('Data Entry'!J208&gt;0,'Data Entry'!K208,'Data Entry'!L208)</f>
        <v>0</v>
      </c>
      <c r="B208" s="1">
        <f>IF('Data Entry'!J208&gt;0,'Data Entry'!L208,'Data Entry'!M208)</f>
        <v>0</v>
      </c>
      <c r="C208" s="1">
        <f>IF('Data Entry'!N208&gt;0,'Data Entry'!N208,'Data Entry'!O208)</f>
        <v>0</v>
      </c>
      <c r="D208" s="47">
        <f>IF('Data Entry'!P208&gt;0,'Data Entry'!P208,'Data Entry'!Q208)</f>
        <v>0</v>
      </c>
      <c r="E208" s="46">
        <f>IF('Data Entry'!J208&gt;0,'Data Entry'!J208,'Data Entry'!K208)</f>
        <v>0</v>
      </c>
    </row>
    <row r="209" spans="1:5" x14ac:dyDescent="0.25">
      <c r="A209" s="2">
        <f>IF('Data Entry'!J209&gt;0,'Data Entry'!K209,'Data Entry'!L209)</f>
        <v>0</v>
      </c>
      <c r="B209" s="1">
        <f>IF('Data Entry'!J209&gt;0,'Data Entry'!L209,'Data Entry'!M209)</f>
        <v>0</v>
      </c>
      <c r="C209" s="1">
        <f>IF('Data Entry'!N209&gt;0,'Data Entry'!N209,'Data Entry'!O209)</f>
        <v>0</v>
      </c>
      <c r="D209" s="47">
        <f>IF('Data Entry'!P209&gt;0,'Data Entry'!P209,'Data Entry'!Q209)</f>
        <v>0</v>
      </c>
      <c r="E209" s="46">
        <f>IF('Data Entry'!J209&gt;0,'Data Entry'!J209,'Data Entry'!K209)</f>
        <v>0</v>
      </c>
    </row>
    <row r="210" spans="1:5" x14ac:dyDescent="0.25">
      <c r="A210" s="2">
        <f>IF('Data Entry'!J210&gt;0,'Data Entry'!K210,'Data Entry'!L210)</f>
        <v>0</v>
      </c>
      <c r="B210" s="1">
        <f>IF('Data Entry'!J210&gt;0,'Data Entry'!L210,'Data Entry'!M210)</f>
        <v>0</v>
      </c>
      <c r="C210" s="1">
        <f>IF('Data Entry'!N210&gt;0,'Data Entry'!N210,'Data Entry'!O210)</f>
        <v>0</v>
      </c>
      <c r="D210" s="47">
        <f>IF('Data Entry'!P210&gt;0,'Data Entry'!P210,'Data Entry'!Q210)</f>
        <v>0</v>
      </c>
      <c r="E210" s="46">
        <f>IF('Data Entry'!J210&gt;0,'Data Entry'!J210,'Data Entry'!K210)</f>
        <v>0</v>
      </c>
    </row>
    <row r="211" spans="1:5" x14ac:dyDescent="0.25">
      <c r="A211" s="2">
        <f>IF('Data Entry'!J211&gt;0,'Data Entry'!K211,'Data Entry'!L211)</f>
        <v>0</v>
      </c>
      <c r="B211" s="1">
        <f>IF('Data Entry'!J211&gt;0,'Data Entry'!L211,'Data Entry'!M211)</f>
        <v>0</v>
      </c>
      <c r="C211" s="1">
        <f>IF('Data Entry'!N211&gt;0,'Data Entry'!N211,'Data Entry'!O211)</f>
        <v>0</v>
      </c>
      <c r="D211" s="47">
        <f>IF('Data Entry'!P211&gt;0,'Data Entry'!P211,'Data Entry'!Q211)</f>
        <v>0</v>
      </c>
      <c r="E211" s="46">
        <f>IF('Data Entry'!J211&gt;0,'Data Entry'!J211,'Data Entry'!K211)</f>
        <v>0</v>
      </c>
    </row>
    <row r="212" spans="1:5" x14ac:dyDescent="0.25">
      <c r="A212" s="2">
        <f>IF('Data Entry'!J212&gt;0,'Data Entry'!K212,'Data Entry'!L212)</f>
        <v>0</v>
      </c>
      <c r="B212" s="1">
        <f>IF('Data Entry'!J212&gt;0,'Data Entry'!L212,'Data Entry'!M212)</f>
        <v>0</v>
      </c>
      <c r="C212" s="1">
        <f>IF('Data Entry'!N212&gt;0,'Data Entry'!N212,'Data Entry'!O212)</f>
        <v>0</v>
      </c>
      <c r="D212" s="47">
        <f>IF('Data Entry'!P212&gt;0,'Data Entry'!P212,'Data Entry'!Q212)</f>
        <v>0</v>
      </c>
      <c r="E212" s="46">
        <f>IF('Data Entry'!J212&gt;0,'Data Entry'!J212,'Data Entry'!K212)</f>
        <v>0</v>
      </c>
    </row>
    <row r="213" spans="1:5" x14ac:dyDescent="0.25">
      <c r="A213" s="2">
        <f>IF('Data Entry'!J213&gt;0,'Data Entry'!K213,'Data Entry'!L213)</f>
        <v>0</v>
      </c>
      <c r="B213" s="1">
        <f>IF('Data Entry'!J213&gt;0,'Data Entry'!L213,'Data Entry'!M213)</f>
        <v>0</v>
      </c>
      <c r="C213" s="1">
        <f>IF('Data Entry'!N213&gt;0,'Data Entry'!N213,'Data Entry'!O213)</f>
        <v>0</v>
      </c>
      <c r="D213" s="47">
        <f>IF('Data Entry'!P213&gt;0,'Data Entry'!P213,'Data Entry'!Q213)</f>
        <v>0</v>
      </c>
      <c r="E213" s="46">
        <f>IF('Data Entry'!J213&gt;0,'Data Entry'!J213,'Data Entry'!K213)</f>
        <v>0</v>
      </c>
    </row>
    <row r="214" spans="1:5" x14ac:dyDescent="0.25">
      <c r="A214" s="2">
        <f>IF('Data Entry'!J214&gt;0,'Data Entry'!K214,'Data Entry'!L214)</f>
        <v>0</v>
      </c>
      <c r="B214" s="1">
        <f>IF('Data Entry'!J214&gt;0,'Data Entry'!L214,'Data Entry'!M214)</f>
        <v>0</v>
      </c>
      <c r="C214" s="1">
        <f>IF('Data Entry'!N214&gt;0,'Data Entry'!N214,'Data Entry'!O214)</f>
        <v>0</v>
      </c>
      <c r="D214" s="47">
        <f>IF('Data Entry'!P214&gt;0,'Data Entry'!P214,'Data Entry'!Q214)</f>
        <v>0</v>
      </c>
      <c r="E214" s="46">
        <f>IF('Data Entry'!J214&gt;0,'Data Entry'!J214,'Data Entry'!K214)</f>
        <v>0</v>
      </c>
    </row>
    <row r="215" spans="1:5" x14ac:dyDescent="0.25">
      <c r="A215" s="2">
        <f>IF('Data Entry'!J215&gt;0,'Data Entry'!K215,'Data Entry'!L215)</f>
        <v>0</v>
      </c>
      <c r="B215" s="1">
        <f>IF('Data Entry'!J215&gt;0,'Data Entry'!L215,'Data Entry'!M215)</f>
        <v>0</v>
      </c>
      <c r="C215" s="1">
        <f>IF('Data Entry'!N215&gt;0,'Data Entry'!N215,'Data Entry'!O215)</f>
        <v>0</v>
      </c>
      <c r="D215" s="47">
        <f>IF('Data Entry'!P215&gt;0,'Data Entry'!P215,'Data Entry'!Q215)</f>
        <v>0</v>
      </c>
      <c r="E215" s="46">
        <f>IF('Data Entry'!J215&gt;0,'Data Entry'!J215,'Data Entry'!K215)</f>
        <v>0</v>
      </c>
    </row>
    <row r="216" spans="1:5" x14ac:dyDescent="0.25">
      <c r="A216" s="2">
        <f>IF('Data Entry'!J216&gt;0,'Data Entry'!K216,'Data Entry'!L216)</f>
        <v>0</v>
      </c>
      <c r="B216" s="1">
        <f>IF('Data Entry'!J216&gt;0,'Data Entry'!L216,'Data Entry'!M216)</f>
        <v>0</v>
      </c>
      <c r="C216" s="1">
        <f>IF('Data Entry'!N216&gt;0,'Data Entry'!N216,'Data Entry'!O216)</f>
        <v>0</v>
      </c>
      <c r="D216" s="47">
        <f>IF('Data Entry'!P216&gt;0,'Data Entry'!P216,'Data Entry'!Q216)</f>
        <v>0</v>
      </c>
      <c r="E216" s="46">
        <f>IF('Data Entry'!J216&gt;0,'Data Entry'!J216,'Data Entry'!K216)</f>
        <v>0</v>
      </c>
    </row>
    <row r="217" spans="1:5" x14ac:dyDescent="0.25">
      <c r="A217" s="2">
        <f>IF('Data Entry'!J217&gt;0,'Data Entry'!K217,'Data Entry'!L217)</f>
        <v>0</v>
      </c>
      <c r="B217" s="1">
        <f>IF('Data Entry'!J217&gt;0,'Data Entry'!L217,'Data Entry'!M217)</f>
        <v>0</v>
      </c>
      <c r="C217" s="1">
        <f>IF('Data Entry'!N217&gt;0,'Data Entry'!N217,'Data Entry'!O217)</f>
        <v>0</v>
      </c>
      <c r="D217" s="47">
        <f>IF('Data Entry'!P217&gt;0,'Data Entry'!P217,'Data Entry'!Q217)</f>
        <v>0</v>
      </c>
      <c r="E217" s="46">
        <f>IF('Data Entry'!J217&gt;0,'Data Entry'!J217,'Data Entry'!K217)</f>
        <v>0</v>
      </c>
    </row>
    <row r="218" spans="1:5" x14ac:dyDescent="0.25">
      <c r="A218" s="2">
        <f>IF('Data Entry'!J218&gt;0,'Data Entry'!K218,'Data Entry'!L218)</f>
        <v>0</v>
      </c>
      <c r="B218" s="1">
        <f>IF('Data Entry'!J218&gt;0,'Data Entry'!L218,'Data Entry'!M218)</f>
        <v>0</v>
      </c>
      <c r="C218" s="1">
        <f>IF('Data Entry'!N218&gt;0,'Data Entry'!N218,'Data Entry'!O218)</f>
        <v>0</v>
      </c>
      <c r="D218" s="47">
        <f>IF('Data Entry'!P218&gt;0,'Data Entry'!P218,'Data Entry'!Q218)</f>
        <v>0</v>
      </c>
      <c r="E218" s="46">
        <f>IF('Data Entry'!J218&gt;0,'Data Entry'!J218,'Data Entry'!K218)</f>
        <v>0</v>
      </c>
    </row>
    <row r="219" spans="1:5" x14ac:dyDescent="0.25">
      <c r="A219" s="2">
        <f>IF('Data Entry'!J219&gt;0,'Data Entry'!K219,'Data Entry'!L219)</f>
        <v>0</v>
      </c>
      <c r="B219" s="1">
        <f>IF('Data Entry'!J219&gt;0,'Data Entry'!L219,'Data Entry'!M219)</f>
        <v>0</v>
      </c>
      <c r="C219" s="1">
        <f>IF('Data Entry'!N219&gt;0,'Data Entry'!N219,'Data Entry'!O219)</f>
        <v>0</v>
      </c>
      <c r="D219" s="47">
        <f>IF('Data Entry'!P219&gt;0,'Data Entry'!P219,'Data Entry'!Q219)</f>
        <v>0</v>
      </c>
      <c r="E219" s="46">
        <f>IF('Data Entry'!J219&gt;0,'Data Entry'!J219,'Data Entry'!K219)</f>
        <v>0</v>
      </c>
    </row>
    <row r="220" spans="1:5" x14ac:dyDescent="0.25">
      <c r="A220" s="2">
        <f>IF('Data Entry'!J220&gt;0,'Data Entry'!K220,'Data Entry'!L220)</f>
        <v>0</v>
      </c>
      <c r="B220" s="1">
        <f>IF('Data Entry'!J220&gt;0,'Data Entry'!L220,'Data Entry'!M220)</f>
        <v>0</v>
      </c>
      <c r="C220" s="1">
        <f>IF('Data Entry'!N220&gt;0,'Data Entry'!N220,'Data Entry'!O220)</f>
        <v>0</v>
      </c>
      <c r="D220" s="47">
        <f>IF('Data Entry'!P220&gt;0,'Data Entry'!P220,'Data Entry'!Q220)</f>
        <v>0</v>
      </c>
      <c r="E220" s="46">
        <f>IF('Data Entry'!J220&gt;0,'Data Entry'!J220,'Data Entry'!K220)</f>
        <v>0</v>
      </c>
    </row>
    <row r="221" spans="1:5" x14ac:dyDescent="0.25">
      <c r="A221" s="2">
        <f>IF('Data Entry'!J221&gt;0,'Data Entry'!K221,'Data Entry'!L221)</f>
        <v>0</v>
      </c>
      <c r="B221" s="1">
        <f>IF('Data Entry'!J221&gt;0,'Data Entry'!L221,'Data Entry'!M221)</f>
        <v>0</v>
      </c>
      <c r="C221" s="1">
        <f>IF('Data Entry'!N221&gt;0,'Data Entry'!N221,'Data Entry'!O221)</f>
        <v>0</v>
      </c>
      <c r="D221" s="47">
        <f>IF('Data Entry'!P221&gt;0,'Data Entry'!P221,'Data Entry'!Q221)</f>
        <v>0</v>
      </c>
      <c r="E221" s="46">
        <f>IF('Data Entry'!J221&gt;0,'Data Entry'!J221,'Data Entry'!K221)</f>
        <v>0</v>
      </c>
    </row>
    <row r="222" spans="1:5" x14ac:dyDescent="0.25">
      <c r="A222" s="2">
        <f>IF('Data Entry'!J222&gt;0,'Data Entry'!K222,'Data Entry'!L222)</f>
        <v>0</v>
      </c>
      <c r="B222" s="1">
        <f>IF('Data Entry'!J222&gt;0,'Data Entry'!L222,'Data Entry'!M222)</f>
        <v>0</v>
      </c>
      <c r="C222" s="1">
        <f>IF('Data Entry'!N222&gt;0,'Data Entry'!N222,'Data Entry'!O222)</f>
        <v>0</v>
      </c>
      <c r="D222" s="47">
        <f>IF('Data Entry'!P222&gt;0,'Data Entry'!P222,'Data Entry'!Q222)</f>
        <v>0</v>
      </c>
      <c r="E222" s="46">
        <f>IF('Data Entry'!J222&gt;0,'Data Entry'!J222,'Data Entry'!K222)</f>
        <v>0</v>
      </c>
    </row>
    <row r="223" spans="1:5" x14ac:dyDescent="0.25">
      <c r="A223" s="2">
        <f>IF('Data Entry'!J223&gt;0,'Data Entry'!K223,'Data Entry'!L223)</f>
        <v>0</v>
      </c>
      <c r="B223" s="1">
        <f>IF('Data Entry'!J223&gt;0,'Data Entry'!L223,'Data Entry'!M223)</f>
        <v>0</v>
      </c>
      <c r="C223" s="1">
        <f>IF('Data Entry'!N223&gt;0,'Data Entry'!N223,'Data Entry'!O223)</f>
        <v>0</v>
      </c>
      <c r="D223" s="47">
        <f>IF('Data Entry'!P223&gt;0,'Data Entry'!P223,'Data Entry'!Q223)</f>
        <v>0</v>
      </c>
      <c r="E223" s="46">
        <f>IF('Data Entry'!J223&gt;0,'Data Entry'!J223,'Data Entry'!K223)</f>
        <v>0</v>
      </c>
    </row>
    <row r="224" spans="1:5" x14ac:dyDescent="0.25">
      <c r="A224" s="2">
        <f>IF('Data Entry'!J224&gt;0,'Data Entry'!K224,'Data Entry'!L224)</f>
        <v>0</v>
      </c>
      <c r="B224" s="1">
        <f>IF('Data Entry'!J224&gt;0,'Data Entry'!L224,'Data Entry'!M224)</f>
        <v>0</v>
      </c>
      <c r="C224" s="1">
        <f>IF('Data Entry'!N224&gt;0,'Data Entry'!N224,'Data Entry'!O224)</f>
        <v>0</v>
      </c>
      <c r="D224" s="47">
        <f>IF('Data Entry'!P224&gt;0,'Data Entry'!P224,'Data Entry'!Q224)</f>
        <v>0</v>
      </c>
      <c r="E224" s="46">
        <f>IF('Data Entry'!J224&gt;0,'Data Entry'!J224,'Data Entry'!K224)</f>
        <v>0</v>
      </c>
    </row>
    <row r="225" spans="1:5" x14ac:dyDescent="0.25">
      <c r="A225" s="2">
        <f>IF('Data Entry'!J225&gt;0,'Data Entry'!K225,'Data Entry'!L225)</f>
        <v>0</v>
      </c>
      <c r="B225" s="1">
        <f>IF('Data Entry'!J225&gt;0,'Data Entry'!L225,'Data Entry'!M225)</f>
        <v>0</v>
      </c>
      <c r="C225" s="1">
        <f>IF('Data Entry'!N225&gt;0,'Data Entry'!N225,'Data Entry'!O225)</f>
        <v>0</v>
      </c>
      <c r="D225" s="47">
        <f>IF('Data Entry'!P225&gt;0,'Data Entry'!P225,'Data Entry'!Q225)</f>
        <v>0</v>
      </c>
      <c r="E225" s="46">
        <f>IF('Data Entry'!J225&gt;0,'Data Entry'!J225,'Data Entry'!K225)</f>
        <v>0</v>
      </c>
    </row>
    <row r="226" spans="1:5" x14ac:dyDescent="0.25">
      <c r="A226" s="2">
        <f>IF('Data Entry'!J226&gt;0,'Data Entry'!K226,'Data Entry'!L226)</f>
        <v>0</v>
      </c>
      <c r="B226" s="1">
        <f>IF('Data Entry'!J226&gt;0,'Data Entry'!L226,'Data Entry'!M226)</f>
        <v>0</v>
      </c>
      <c r="C226" s="1">
        <f>IF('Data Entry'!N226&gt;0,'Data Entry'!N226,'Data Entry'!O226)</f>
        <v>0</v>
      </c>
      <c r="D226" s="47">
        <f>IF('Data Entry'!P226&gt;0,'Data Entry'!P226,'Data Entry'!Q226)</f>
        <v>0</v>
      </c>
      <c r="E226" s="46">
        <f>IF('Data Entry'!J226&gt;0,'Data Entry'!J226,'Data Entry'!K226)</f>
        <v>0</v>
      </c>
    </row>
    <row r="227" spans="1:5" x14ac:dyDescent="0.25">
      <c r="A227" s="2">
        <f>IF('Data Entry'!J227&gt;0,'Data Entry'!K227,'Data Entry'!L227)</f>
        <v>0</v>
      </c>
      <c r="B227" s="1">
        <f>IF('Data Entry'!J227&gt;0,'Data Entry'!L227,'Data Entry'!M227)</f>
        <v>0</v>
      </c>
      <c r="C227" s="1">
        <f>IF('Data Entry'!N227&gt;0,'Data Entry'!N227,'Data Entry'!O227)</f>
        <v>0</v>
      </c>
      <c r="D227" s="47">
        <f>IF('Data Entry'!P227&gt;0,'Data Entry'!P227,'Data Entry'!Q227)</f>
        <v>0</v>
      </c>
      <c r="E227" s="46">
        <f>IF('Data Entry'!J227&gt;0,'Data Entry'!J227,'Data Entry'!K227)</f>
        <v>0</v>
      </c>
    </row>
    <row r="228" spans="1:5" x14ac:dyDescent="0.25">
      <c r="A228" s="2">
        <f>IF('Data Entry'!J228&gt;0,'Data Entry'!K228,'Data Entry'!L228)</f>
        <v>0</v>
      </c>
      <c r="B228" s="1">
        <f>IF('Data Entry'!J228&gt;0,'Data Entry'!L228,'Data Entry'!M228)</f>
        <v>0</v>
      </c>
      <c r="C228" s="1">
        <f>IF('Data Entry'!N228&gt;0,'Data Entry'!N228,'Data Entry'!O228)</f>
        <v>0</v>
      </c>
      <c r="D228" s="47">
        <f>IF('Data Entry'!P228&gt;0,'Data Entry'!P228,'Data Entry'!Q228)</f>
        <v>0</v>
      </c>
      <c r="E228" s="46">
        <f>IF('Data Entry'!J228&gt;0,'Data Entry'!J228,'Data Entry'!K228)</f>
        <v>0</v>
      </c>
    </row>
    <row r="229" spans="1:5" x14ac:dyDescent="0.25">
      <c r="A229" s="2">
        <f>IF('Data Entry'!J229&gt;0,'Data Entry'!K229,'Data Entry'!L229)</f>
        <v>0</v>
      </c>
      <c r="B229" s="1">
        <f>IF('Data Entry'!J229&gt;0,'Data Entry'!L229,'Data Entry'!M229)</f>
        <v>0</v>
      </c>
      <c r="C229" s="1">
        <f>IF('Data Entry'!N229&gt;0,'Data Entry'!N229,'Data Entry'!O229)</f>
        <v>0</v>
      </c>
      <c r="D229" s="47">
        <f>IF('Data Entry'!P229&gt;0,'Data Entry'!P229,'Data Entry'!Q229)</f>
        <v>0</v>
      </c>
      <c r="E229" s="46">
        <f>IF('Data Entry'!J229&gt;0,'Data Entry'!J229,'Data Entry'!K229)</f>
        <v>0</v>
      </c>
    </row>
    <row r="230" spans="1:5" x14ac:dyDescent="0.25">
      <c r="A230" s="2">
        <f>IF('Data Entry'!J230&gt;0,'Data Entry'!K230,'Data Entry'!L230)</f>
        <v>0</v>
      </c>
      <c r="B230" s="1">
        <f>IF('Data Entry'!J230&gt;0,'Data Entry'!L230,'Data Entry'!M230)</f>
        <v>0</v>
      </c>
      <c r="C230" s="1">
        <f>IF('Data Entry'!N230&gt;0,'Data Entry'!N230,'Data Entry'!O230)</f>
        <v>0</v>
      </c>
      <c r="D230" s="47">
        <f>IF('Data Entry'!P230&gt;0,'Data Entry'!P230,'Data Entry'!Q230)</f>
        <v>0</v>
      </c>
      <c r="E230" s="46">
        <f>IF('Data Entry'!J230&gt;0,'Data Entry'!J230,'Data Entry'!K230)</f>
        <v>0</v>
      </c>
    </row>
    <row r="231" spans="1:5" x14ac:dyDescent="0.25">
      <c r="A231" s="2">
        <f>IF('Data Entry'!J231&gt;0,'Data Entry'!K231,'Data Entry'!L231)</f>
        <v>0</v>
      </c>
      <c r="B231" s="1">
        <f>IF('Data Entry'!J231&gt;0,'Data Entry'!L231,'Data Entry'!M231)</f>
        <v>0</v>
      </c>
      <c r="C231" s="1">
        <f>IF('Data Entry'!N231&gt;0,'Data Entry'!N231,'Data Entry'!O231)</f>
        <v>0</v>
      </c>
      <c r="D231" s="47">
        <f>IF('Data Entry'!P231&gt;0,'Data Entry'!P231,'Data Entry'!Q231)</f>
        <v>0</v>
      </c>
      <c r="E231" s="46">
        <f>IF('Data Entry'!J231&gt;0,'Data Entry'!J231,'Data Entry'!K231)</f>
        <v>0</v>
      </c>
    </row>
    <row r="232" spans="1:5" x14ac:dyDescent="0.25">
      <c r="A232" s="2">
        <f>IF('Data Entry'!J232&gt;0,'Data Entry'!K232,'Data Entry'!L232)</f>
        <v>0</v>
      </c>
      <c r="B232" s="1">
        <f>IF('Data Entry'!J232&gt;0,'Data Entry'!L232,'Data Entry'!M232)</f>
        <v>0</v>
      </c>
      <c r="C232" s="1">
        <f>IF('Data Entry'!N232&gt;0,'Data Entry'!N232,'Data Entry'!O232)</f>
        <v>0</v>
      </c>
      <c r="D232" s="47">
        <f>IF('Data Entry'!P232&gt;0,'Data Entry'!P232,'Data Entry'!Q232)</f>
        <v>0</v>
      </c>
      <c r="E232" s="46">
        <f>IF('Data Entry'!J232&gt;0,'Data Entry'!J232,'Data Entry'!K232)</f>
        <v>0</v>
      </c>
    </row>
    <row r="233" spans="1:5" x14ac:dyDescent="0.25">
      <c r="A233" s="2">
        <f>IF('Data Entry'!J233&gt;0,'Data Entry'!K233,'Data Entry'!L233)</f>
        <v>0</v>
      </c>
      <c r="B233" s="1">
        <f>IF('Data Entry'!J233&gt;0,'Data Entry'!L233,'Data Entry'!M233)</f>
        <v>0</v>
      </c>
      <c r="C233" s="1">
        <f>IF('Data Entry'!N233&gt;0,'Data Entry'!N233,'Data Entry'!O233)</f>
        <v>0</v>
      </c>
      <c r="D233" s="47">
        <f>IF('Data Entry'!P233&gt;0,'Data Entry'!P233,'Data Entry'!Q233)</f>
        <v>0</v>
      </c>
      <c r="E233" s="46">
        <f>IF('Data Entry'!J233&gt;0,'Data Entry'!J233,'Data Entry'!K233)</f>
        <v>0</v>
      </c>
    </row>
    <row r="234" spans="1:5" x14ac:dyDescent="0.25">
      <c r="A234" s="2">
        <f>IF('Data Entry'!J234&gt;0,'Data Entry'!K234,'Data Entry'!L234)</f>
        <v>0</v>
      </c>
      <c r="B234" s="1">
        <f>IF('Data Entry'!J234&gt;0,'Data Entry'!L234,'Data Entry'!M234)</f>
        <v>0</v>
      </c>
      <c r="C234" s="1">
        <f>IF('Data Entry'!N234&gt;0,'Data Entry'!N234,'Data Entry'!O234)</f>
        <v>0</v>
      </c>
      <c r="D234" s="47">
        <f>IF('Data Entry'!P234&gt;0,'Data Entry'!P234,'Data Entry'!Q234)</f>
        <v>0</v>
      </c>
      <c r="E234" s="46">
        <f>IF('Data Entry'!J234&gt;0,'Data Entry'!J234,'Data Entry'!K234)</f>
        <v>0</v>
      </c>
    </row>
    <row r="235" spans="1:5" x14ac:dyDescent="0.25">
      <c r="A235" s="2">
        <f>IF('Data Entry'!J235&gt;0,'Data Entry'!K235,'Data Entry'!L235)</f>
        <v>0</v>
      </c>
      <c r="B235" s="1">
        <f>IF('Data Entry'!J235&gt;0,'Data Entry'!L235,'Data Entry'!M235)</f>
        <v>0</v>
      </c>
      <c r="C235" s="1">
        <f>IF('Data Entry'!N235&gt;0,'Data Entry'!N235,'Data Entry'!O235)</f>
        <v>0</v>
      </c>
      <c r="D235" s="47">
        <f>IF('Data Entry'!P235&gt;0,'Data Entry'!P235,'Data Entry'!Q235)</f>
        <v>0</v>
      </c>
      <c r="E235" s="46">
        <f>IF('Data Entry'!J235&gt;0,'Data Entry'!J235,'Data Entry'!K235)</f>
        <v>0</v>
      </c>
    </row>
    <row r="236" spans="1:5" x14ac:dyDescent="0.25">
      <c r="A236" s="2">
        <f>IF('Data Entry'!J236&gt;0,'Data Entry'!K236,'Data Entry'!L236)</f>
        <v>0</v>
      </c>
      <c r="B236" s="1">
        <f>IF('Data Entry'!J236&gt;0,'Data Entry'!L236,'Data Entry'!M236)</f>
        <v>0</v>
      </c>
      <c r="C236" s="1">
        <f>IF('Data Entry'!N236&gt;0,'Data Entry'!N236,'Data Entry'!O236)</f>
        <v>0</v>
      </c>
      <c r="D236" s="47">
        <f>IF('Data Entry'!P236&gt;0,'Data Entry'!P236,'Data Entry'!Q236)</f>
        <v>0</v>
      </c>
      <c r="E236" s="46">
        <f>IF('Data Entry'!J236&gt;0,'Data Entry'!J236,'Data Entry'!K236)</f>
        <v>0</v>
      </c>
    </row>
    <row r="237" spans="1:5" x14ac:dyDescent="0.25">
      <c r="A237" s="2">
        <f>IF('Data Entry'!J237&gt;0,'Data Entry'!K237,'Data Entry'!L237)</f>
        <v>0</v>
      </c>
      <c r="B237" s="1">
        <f>IF('Data Entry'!J237&gt;0,'Data Entry'!L237,'Data Entry'!M237)</f>
        <v>0</v>
      </c>
      <c r="C237" s="1">
        <f>IF('Data Entry'!N237&gt;0,'Data Entry'!N237,'Data Entry'!O237)</f>
        <v>0</v>
      </c>
      <c r="D237" s="47">
        <f>IF('Data Entry'!P237&gt;0,'Data Entry'!P237,'Data Entry'!Q237)</f>
        <v>0</v>
      </c>
      <c r="E237" s="46">
        <f>IF('Data Entry'!J237&gt;0,'Data Entry'!J237,'Data Entry'!K237)</f>
        <v>0</v>
      </c>
    </row>
    <row r="238" spans="1:5" x14ac:dyDescent="0.25">
      <c r="A238" s="2">
        <f>IF('Data Entry'!J238&gt;0,'Data Entry'!K238,'Data Entry'!L238)</f>
        <v>0</v>
      </c>
      <c r="B238" s="1">
        <f>IF('Data Entry'!J238&gt;0,'Data Entry'!L238,'Data Entry'!M238)</f>
        <v>0</v>
      </c>
      <c r="C238" s="1">
        <f>IF('Data Entry'!N238&gt;0,'Data Entry'!N238,'Data Entry'!O238)</f>
        <v>0</v>
      </c>
      <c r="D238" s="47">
        <f>IF('Data Entry'!P238&gt;0,'Data Entry'!P238,'Data Entry'!Q238)</f>
        <v>0</v>
      </c>
      <c r="E238" s="46">
        <f>IF('Data Entry'!J238&gt;0,'Data Entry'!J238,'Data Entry'!K238)</f>
        <v>0</v>
      </c>
    </row>
    <row r="239" spans="1:5" x14ac:dyDescent="0.25">
      <c r="A239" s="2">
        <f>IF('Data Entry'!J239&gt;0,'Data Entry'!K239,'Data Entry'!L239)</f>
        <v>0</v>
      </c>
      <c r="B239" s="1">
        <f>IF('Data Entry'!J239&gt;0,'Data Entry'!L239,'Data Entry'!M239)</f>
        <v>0</v>
      </c>
      <c r="C239" s="1">
        <f>IF('Data Entry'!N239&gt;0,'Data Entry'!N239,'Data Entry'!O239)</f>
        <v>0</v>
      </c>
      <c r="D239" s="47">
        <f>IF('Data Entry'!P239&gt;0,'Data Entry'!P239,'Data Entry'!Q239)</f>
        <v>0</v>
      </c>
      <c r="E239" s="46">
        <f>IF('Data Entry'!J239&gt;0,'Data Entry'!J239,'Data Entry'!K239)</f>
        <v>0</v>
      </c>
    </row>
    <row r="240" spans="1:5" x14ac:dyDescent="0.25">
      <c r="A240" s="2">
        <f>IF('Data Entry'!J240&gt;0,'Data Entry'!K240,'Data Entry'!L240)</f>
        <v>0</v>
      </c>
      <c r="B240" s="1">
        <f>IF('Data Entry'!J240&gt;0,'Data Entry'!L240,'Data Entry'!M240)</f>
        <v>0</v>
      </c>
      <c r="C240" s="1">
        <f>IF('Data Entry'!N240&gt;0,'Data Entry'!N240,'Data Entry'!O240)</f>
        <v>0</v>
      </c>
      <c r="D240" s="47">
        <f>IF('Data Entry'!P240&gt;0,'Data Entry'!P240,'Data Entry'!Q240)</f>
        <v>0</v>
      </c>
      <c r="E240" s="46">
        <f>IF('Data Entry'!J240&gt;0,'Data Entry'!J240,'Data Entry'!K240)</f>
        <v>0</v>
      </c>
    </row>
    <row r="241" spans="1:5" x14ac:dyDescent="0.25">
      <c r="A241" s="2">
        <f>IF('Data Entry'!J241&gt;0,'Data Entry'!K241,'Data Entry'!L241)</f>
        <v>0</v>
      </c>
      <c r="B241" s="1">
        <f>IF('Data Entry'!J241&gt;0,'Data Entry'!L241,'Data Entry'!M241)</f>
        <v>0</v>
      </c>
      <c r="C241" s="1">
        <f>IF('Data Entry'!N241&gt;0,'Data Entry'!N241,'Data Entry'!O241)</f>
        <v>0</v>
      </c>
      <c r="D241" s="47">
        <f>IF('Data Entry'!P241&gt;0,'Data Entry'!P241,'Data Entry'!Q241)</f>
        <v>0</v>
      </c>
      <c r="E241" s="46">
        <f>IF('Data Entry'!J241&gt;0,'Data Entry'!J241,'Data Entry'!K241)</f>
        <v>0</v>
      </c>
    </row>
    <row r="242" spans="1:5" x14ac:dyDescent="0.25">
      <c r="A242" s="2">
        <f>IF('Data Entry'!J242&gt;0,'Data Entry'!K242,'Data Entry'!L242)</f>
        <v>0</v>
      </c>
      <c r="B242" s="1">
        <f>IF('Data Entry'!J242&gt;0,'Data Entry'!L242,'Data Entry'!M242)</f>
        <v>0</v>
      </c>
      <c r="C242" s="1">
        <f>IF('Data Entry'!N242&gt;0,'Data Entry'!N242,'Data Entry'!O242)</f>
        <v>0</v>
      </c>
      <c r="D242" s="47">
        <f>IF('Data Entry'!P242&gt;0,'Data Entry'!P242,'Data Entry'!Q242)</f>
        <v>0</v>
      </c>
      <c r="E242" s="46">
        <f>IF('Data Entry'!J242&gt;0,'Data Entry'!J242,'Data Entry'!K242)</f>
        <v>0</v>
      </c>
    </row>
    <row r="243" spans="1:5" x14ac:dyDescent="0.25">
      <c r="A243" s="2">
        <f>IF('Data Entry'!J243&gt;0,'Data Entry'!K243,'Data Entry'!L243)</f>
        <v>0</v>
      </c>
      <c r="B243" s="1">
        <f>IF('Data Entry'!J243&gt;0,'Data Entry'!L243,'Data Entry'!M243)</f>
        <v>0</v>
      </c>
      <c r="C243" s="1">
        <f>IF('Data Entry'!N243&gt;0,'Data Entry'!N243,'Data Entry'!O243)</f>
        <v>0</v>
      </c>
      <c r="D243" s="47">
        <f>IF('Data Entry'!P243&gt;0,'Data Entry'!P243,'Data Entry'!Q243)</f>
        <v>0</v>
      </c>
      <c r="E243" s="46">
        <f>IF('Data Entry'!J243&gt;0,'Data Entry'!J243,'Data Entry'!K243)</f>
        <v>0</v>
      </c>
    </row>
    <row r="244" spans="1:5" x14ac:dyDescent="0.25">
      <c r="A244" s="2">
        <f>IF('Data Entry'!J244&gt;0,'Data Entry'!K244,'Data Entry'!L244)</f>
        <v>0</v>
      </c>
      <c r="B244" s="1">
        <f>IF('Data Entry'!J244&gt;0,'Data Entry'!L244,'Data Entry'!M244)</f>
        <v>0</v>
      </c>
      <c r="C244" s="1">
        <f>IF('Data Entry'!N244&gt;0,'Data Entry'!N244,'Data Entry'!O244)</f>
        <v>0</v>
      </c>
      <c r="D244" s="47">
        <f>IF('Data Entry'!P244&gt;0,'Data Entry'!P244,'Data Entry'!Q244)</f>
        <v>0</v>
      </c>
      <c r="E244" s="46">
        <f>IF('Data Entry'!J244&gt;0,'Data Entry'!J244,'Data Entry'!K244)</f>
        <v>0</v>
      </c>
    </row>
    <row r="245" spans="1:5" x14ac:dyDescent="0.25">
      <c r="A245" s="2">
        <f>IF('Data Entry'!J245&gt;0,'Data Entry'!K245,'Data Entry'!L245)</f>
        <v>0</v>
      </c>
      <c r="B245" s="1">
        <f>IF('Data Entry'!J245&gt;0,'Data Entry'!L245,'Data Entry'!M245)</f>
        <v>0</v>
      </c>
      <c r="C245" s="1">
        <f>IF('Data Entry'!N245&gt;0,'Data Entry'!N245,'Data Entry'!O245)</f>
        <v>0</v>
      </c>
      <c r="D245" s="47">
        <f>IF('Data Entry'!P245&gt;0,'Data Entry'!P245,'Data Entry'!Q245)</f>
        <v>0</v>
      </c>
      <c r="E245" s="46">
        <f>IF('Data Entry'!J245&gt;0,'Data Entry'!J245,'Data Entry'!K245)</f>
        <v>0</v>
      </c>
    </row>
    <row r="246" spans="1:5" x14ac:dyDescent="0.25">
      <c r="A246" s="2">
        <f>IF('Data Entry'!J246&gt;0,'Data Entry'!K246,'Data Entry'!L246)</f>
        <v>0</v>
      </c>
      <c r="B246" s="1">
        <f>IF('Data Entry'!J246&gt;0,'Data Entry'!L246,'Data Entry'!M246)</f>
        <v>0</v>
      </c>
      <c r="C246" s="1">
        <f>IF('Data Entry'!N246&gt;0,'Data Entry'!N246,'Data Entry'!O246)</f>
        <v>0</v>
      </c>
      <c r="D246" s="47">
        <f>IF('Data Entry'!P246&gt;0,'Data Entry'!P246,'Data Entry'!Q246)</f>
        <v>0</v>
      </c>
      <c r="E246" s="46">
        <f>IF('Data Entry'!J246&gt;0,'Data Entry'!J246,'Data Entry'!K246)</f>
        <v>0</v>
      </c>
    </row>
    <row r="247" spans="1:5" x14ac:dyDescent="0.25">
      <c r="A247" s="2">
        <f>IF('Data Entry'!J247&gt;0,'Data Entry'!K247,'Data Entry'!L247)</f>
        <v>0</v>
      </c>
      <c r="B247" s="1">
        <f>IF('Data Entry'!J247&gt;0,'Data Entry'!L247,'Data Entry'!M247)</f>
        <v>0</v>
      </c>
      <c r="C247" s="1">
        <f>IF('Data Entry'!N247&gt;0,'Data Entry'!N247,'Data Entry'!O247)</f>
        <v>0</v>
      </c>
      <c r="D247" s="47">
        <f>IF('Data Entry'!P247&gt;0,'Data Entry'!P247,'Data Entry'!Q247)</f>
        <v>0</v>
      </c>
      <c r="E247" s="46">
        <f>IF('Data Entry'!J247&gt;0,'Data Entry'!J247,'Data Entry'!K247)</f>
        <v>0</v>
      </c>
    </row>
    <row r="248" spans="1:5" x14ac:dyDescent="0.25">
      <c r="A248" s="2">
        <f>IF('Data Entry'!J248&gt;0,'Data Entry'!K248,'Data Entry'!L248)</f>
        <v>0</v>
      </c>
      <c r="B248" s="1">
        <f>IF('Data Entry'!J248&gt;0,'Data Entry'!L248,'Data Entry'!M248)</f>
        <v>0</v>
      </c>
      <c r="C248" s="1">
        <f>IF('Data Entry'!N248&gt;0,'Data Entry'!N248,'Data Entry'!O248)</f>
        <v>0</v>
      </c>
      <c r="D248" s="47">
        <f>IF('Data Entry'!P248&gt;0,'Data Entry'!P248,'Data Entry'!Q248)</f>
        <v>0</v>
      </c>
      <c r="E248" s="46">
        <f>IF('Data Entry'!J248&gt;0,'Data Entry'!J248,'Data Entry'!K248)</f>
        <v>0</v>
      </c>
    </row>
    <row r="249" spans="1:5" x14ac:dyDescent="0.25">
      <c r="A249" s="2">
        <f>IF('Data Entry'!J249&gt;0,'Data Entry'!K249,'Data Entry'!L249)</f>
        <v>0</v>
      </c>
      <c r="B249" s="1">
        <f>IF('Data Entry'!J249&gt;0,'Data Entry'!L249,'Data Entry'!M249)</f>
        <v>0</v>
      </c>
      <c r="C249" s="1">
        <f>IF('Data Entry'!N249&gt;0,'Data Entry'!N249,'Data Entry'!O249)</f>
        <v>0</v>
      </c>
      <c r="D249" s="47">
        <f>IF('Data Entry'!P249&gt;0,'Data Entry'!P249,'Data Entry'!Q249)</f>
        <v>0</v>
      </c>
      <c r="E249" s="46">
        <f>IF('Data Entry'!J249&gt;0,'Data Entry'!J249,'Data Entry'!K249)</f>
        <v>0</v>
      </c>
    </row>
    <row r="250" spans="1:5" x14ac:dyDescent="0.25">
      <c r="A250" s="2">
        <f>IF('Data Entry'!J250&gt;0,'Data Entry'!K250,'Data Entry'!L250)</f>
        <v>0</v>
      </c>
      <c r="B250" s="1">
        <f>IF('Data Entry'!J250&gt;0,'Data Entry'!L250,'Data Entry'!M250)</f>
        <v>0</v>
      </c>
      <c r="C250" s="1">
        <f>IF('Data Entry'!N250&gt;0,'Data Entry'!N250,'Data Entry'!O250)</f>
        <v>0</v>
      </c>
      <c r="D250" s="47">
        <f>IF('Data Entry'!P250&gt;0,'Data Entry'!P250,'Data Entry'!Q250)</f>
        <v>0</v>
      </c>
      <c r="E250" s="46">
        <f>IF('Data Entry'!J250&gt;0,'Data Entry'!J250,'Data Entry'!K250)</f>
        <v>0</v>
      </c>
    </row>
    <row r="251" spans="1:5" x14ac:dyDescent="0.25">
      <c r="A251" s="2">
        <f>IF('Data Entry'!J251&gt;0,'Data Entry'!K251,'Data Entry'!L251)</f>
        <v>0</v>
      </c>
      <c r="B251" s="1">
        <f>IF('Data Entry'!J251&gt;0,'Data Entry'!L251,'Data Entry'!M251)</f>
        <v>0</v>
      </c>
      <c r="C251" s="1">
        <f>IF('Data Entry'!N251&gt;0,'Data Entry'!N251,'Data Entry'!O251)</f>
        <v>0</v>
      </c>
      <c r="D251" s="47">
        <f>IF('Data Entry'!P251&gt;0,'Data Entry'!P251,'Data Entry'!Q251)</f>
        <v>0</v>
      </c>
      <c r="E251" s="46">
        <f>IF('Data Entry'!J251&gt;0,'Data Entry'!J251,'Data Entry'!K251)</f>
        <v>0</v>
      </c>
    </row>
    <row r="252" spans="1:5" x14ac:dyDescent="0.25">
      <c r="A252" s="2">
        <f>IF('Data Entry'!J252&gt;0,'Data Entry'!K252,'Data Entry'!L252)</f>
        <v>0</v>
      </c>
      <c r="B252" s="1">
        <f>IF('Data Entry'!J252&gt;0,'Data Entry'!L252,'Data Entry'!M252)</f>
        <v>0</v>
      </c>
      <c r="C252" s="1">
        <f>IF('Data Entry'!N252&gt;0,'Data Entry'!N252,'Data Entry'!O252)</f>
        <v>0</v>
      </c>
      <c r="D252" s="47">
        <f>IF('Data Entry'!P252&gt;0,'Data Entry'!P252,'Data Entry'!Q252)</f>
        <v>0</v>
      </c>
      <c r="E252" s="46">
        <f>IF('Data Entry'!J252&gt;0,'Data Entry'!J252,'Data Entry'!K252)</f>
        <v>0</v>
      </c>
    </row>
    <row r="253" spans="1:5" x14ac:dyDescent="0.25">
      <c r="A253" s="2">
        <f>IF('Data Entry'!J253&gt;0,'Data Entry'!K253,'Data Entry'!L253)</f>
        <v>0</v>
      </c>
      <c r="B253" s="1">
        <f>IF('Data Entry'!J253&gt;0,'Data Entry'!L253,'Data Entry'!M253)</f>
        <v>0</v>
      </c>
      <c r="C253" s="1">
        <f>IF('Data Entry'!N253&gt;0,'Data Entry'!N253,'Data Entry'!O253)</f>
        <v>0</v>
      </c>
      <c r="D253" s="47">
        <f>IF('Data Entry'!P253&gt;0,'Data Entry'!P253,'Data Entry'!Q253)</f>
        <v>0</v>
      </c>
      <c r="E253" s="46">
        <f>IF('Data Entry'!J253&gt;0,'Data Entry'!J253,'Data Entry'!K253)</f>
        <v>0</v>
      </c>
    </row>
    <row r="254" spans="1:5" x14ac:dyDescent="0.25">
      <c r="A254" s="2">
        <f>IF('Data Entry'!J254&gt;0,'Data Entry'!K254,'Data Entry'!L254)</f>
        <v>0</v>
      </c>
      <c r="B254" s="1">
        <f>IF('Data Entry'!J254&gt;0,'Data Entry'!L254,'Data Entry'!M254)</f>
        <v>0</v>
      </c>
      <c r="C254" s="1">
        <f>IF('Data Entry'!N254&gt;0,'Data Entry'!N254,'Data Entry'!O254)</f>
        <v>0</v>
      </c>
      <c r="D254" s="47">
        <f>IF('Data Entry'!P254&gt;0,'Data Entry'!P254,'Data Entry'!Q254)</f>
        <v>0</v>
      </c>
      <c r="E254" s="46">
        <f>IF('Data Entry'!J254&gt;0,'Data Entry'!J254,'Data Entry'!K254)</f>
        <v>0</v>
      </c>
    </row>
    <row r="255" spans="1:5" x14ac:dyDescent="0.25">
      <c r="A255" s="2">
        <f>IF('Data Entry'!J255&gt;0,'Data Entry'!K255,'Data Entry'!L255)</f>
        <v>0</v>
      </c>
      <c r="B255" s="1">
        <f>IF('Data Entry'!J255&gt;0,'Data Entry'!L255,'Data Entry'!M255)</f>
        <v>0</v>
      </c>
      <c r="C255" s="1">
        <f>IF('Data Entry'!N255&gt;0,'Data Entry'!N255,'Data Entry'!O255)</f>
        <v>0</v>
      </c>
      <c r="D255" s="47">
        <f>IF('Data Entry'!P255&gt;0,'Data Entry'!P255,'Data Entry'!Q255)</f>
        <v>0</v>
      </c>
      <c r="E255" s="46">
        <f>IF('Data Entry'!J255&gt;0,'Data Entry'!J255,'Data Entry'!K255)</f>
        <v>0</v>
      </c>
    </row>
    <row r="256" spans="1:5" x14ac:dyDescent="0.25">
      <c r="A256" s="2">
        <f>IF('Data Entry'!J256&gt;0,'Data Entry'!K256,'Data Entry'!L256)</f>
        <v>0</v>
      </c>
      <c r="B256" s="1">
        <f>IF('Data Entry'!J256&gt;0,'Data Entry'!L256,'Data Entry'!M256)</f>
        <v>0</v>
      </c>
      <c r="C256" s="1">
        <f>IF('Data Entry'!N256&gt;0,'Data Entry'!N256,'Data Entry'!O256)</f>
        <v>0</v>
      </c>
      <c r="D256" s="47">
        <f>IF('Data Entry'!P256&gt;0,'Data Entry'!P256,'Data Entry'!Q256)</f>
        <v>0</v>
      </c>
      <c r="E256" s="46">
        <f>IF('Data Entry'!J256&gt;0,'Data Entry'!J256,'Data Entry'!K256)</f>
        <v>0</v>
      </c>
    </row>
    <row r="257" spans="1:5" x14ac:dyDescent="0.25">
      <c r="A257" s="2">
        <f>IF('Data Entry'!J257&gt;0,'Data Entry'!K257,'Data Entry'!L257)</f>
        <v>0</v>
      </c>
      <c r="B257" s="1">
        <f>IF('Data Entry'!J257&gt;0,'Data Entry'!L257,'Data Entry'!M257)</f>
        <v>0</v>
      </c>
      <c r="C257" s="1">
        <f>IF('Data Entry'!N257&gt;0,'Data Entry'!N257,'Data Entry'!O257)</f>
        <v>0</v>
      </c>
      <c r="D257" s="47">
        <f>IF('Data Entry'!P257&gt;0,'Data Entry'!P257,'Data Entry'!Q257)</f>
        <v>0</v>
      </c>
      <c r="E257" s="46">
        <f>IF('Data Entry'!J257&gt;0,'Data Entry'!J257,'Data Entry'!K257)</f>
        <v>0</v>
      </c>
    </row>
    <row r="258" spans="1:5" x14ac:dyDescent="0.25">
      <c r="A258" s="2">
        <f>IF('Data Entry'!J258&gt;0,'Data Entry'!K258,'Data Entry'!L258)</f>
        <v>0</v>
      </c>
      <c r="B258" s="1">
        <f>IF('Data Entry'!J258&gt;0,'Data Entry'!L258,'Data Entry'!M258)</f>
        <v>0</v>
      </c>
      <c r="C258" s="1">
        <f>IF('Data Entry'!N258&gt;0,'Data Entry'!N258,'Data Entry'!O258)</f>
        <v>0</v>
      </c>
      <c r="D258" s="47">
        <f>IF('Data Entry'!P258&gt;0,'Data Entry'!P258,'Data Entry'!Q258)</f>
        <v>0</v>
      </c>
      <c r="E258" s="46">
        <f>IF('Data Entry'!J258&gt;0,'Data Entry'!J258,'Data Entry'!K258)</f>
        <v>0</v>
      </c>
    </row>
    <row r="259" spans="1:5" x14ac:dyDescent="0.25">
      <c r="A259" s="2">
        <f>IF('Data Entry'!J259&gt;0,'Data Entry'!K259,'Data Entry'!L259)</f>
        <v>0</v>
      </c>
      <c r="B259" s="1">
        <f>IF('Data Entry'!J259&gt;0,'Data Entry'!L259,'Data Entry'!M259)</f>
        <v>0</v>
      </c>
      <c r="C259" s="1">
        <f>IF('Data Entry'!N259&gt;0,'Data Entry'!N259,'Data Entry'!O259)</f>
        <v>0</v>
      </c>
      <c r="D259" s="47">
        <f>IF('Data Entry'!P259&gt;0,'Data Entry'!P259,'Data Entry'!Q259)</f>
        <v>0</v>
      </c>
      <c r="E259" s="46">
        <f>IF('Data Entry'!J259&gt;0,'Data Entry'!J259,'Data Entry'!K259)</f>
        <v>0</v>
      </c>
    </row>
    <row r="260" spans="1:5" x14ac:dyDescent="0.25">
      <c r="A260" s="2">
        <f>IF('Data Entry'!J260&gt;0,'Data Entry'!K260,'Data Entry'!L260)</f>
        <v>0</v>
      </c>
      <c r="B260" s="1">
        <f>IF('Data Entry'!J260&gt;0,'Data Entry'!L260,'Data Entry'!M260)</f>
        <v>0</v>
      </c>
      <c r="C260" s="1">
        <f>IF('Data Entry'!N260&gt;0,'Data Entry'!N260,'Data Entry'!O260)</f>
        <v>0</v>
      </c>
      <c r="D260" s="47">
        <f>IF('Data Entry'!P260&gt;0,'Data Entry'!P260,'Data Entry'!Q260)</f>
        <v>0</v>
      </c>
      <c r="E260" s="46">
        <f>IF('Data Entry'!J260&gt;0,'Data Entry'!J260,'Data Entry'!K260)</f>
        <v>0</v>
      </c>
    </row>
    <row r="261" spans="1:5" x14ac:dyDescent="0.25">
      <c r="A261" s="2">
        <f>IF('Data Entry'!J261&gt;0,'Data Entry'!K261,'Data Entry'!L261)</f>
        <v>0</v>
      </c>
      <c r="B261" s="1">
        <f>IF('Data Entry'!J261&gt;0,'Data Entry'!L261,'Data Entry'!M261)</f>
        <v>0</v>
      </c>
      <c r="C261" s="1">
        <f>IF('Data Entry'!N261&gt;0,'Data Entry'!N261,'Data Entry'!O261)</f>
        <v>0</v>
      </c>
      <c r="D261" s="47">
        <f>IF('Data Entry'!P261&gt;0,'Data Entry'!P261,'Data Entry'!Q261)</f>
        <v>0</v>
      </c>
      <c r="E261" s="46">
        <f>IF('Data Entry'!J261&gt;0,'Data Entry'!J261,'Data Entry'!K261)</f>
        <v>0</v>
      </c>
    </row>
    <row r="262" spans="1:5" x14ac:dyDescent="0.25">
      <c r="A262" s="2">
        <f>IF('Data Entry'!J262&gt;0,'Data Entry'!K262,'Data Entry'!L262)</f>
        <v>0</v>
      </c>
      <c r="B262" s="1">
        <f>IF('Data Entry'!J262&gt;0,'Data Entry'!L262,'Data Entry'!M262)</f>
        <v>0</v>
      </c>
      <c r="C262" s="1">
        <f>IF('Data Entry'!N262&gt;0,'Data Entry'!N262,'Data Entry'!O262)</f>
        <v>0</v>
      </c>
      <c r="D262" s="47">
        <f>IF('Data Entry'!P262&gt;0,'Data Entry'!P262,'Data Entry'!Q262)</f>
        <v>0</v>
      </c>
      <c r="E262" s="46">
        <f>IF('Data Entry'!J262&gt;0,'Data Entry'!J262,'Data Entry'!K262)</f>
        <v>0</v>
      </c>
    </row>
    <row r="263" spans="1:5" x14ac:dyDescent="0.25">
      <c r="A263" s="2">
        <f>IF('Data Entry'!J263&gt;0,'Data Entry'!K263,'Data Entry'!L263)</f>
        <v>0</v>
      </c>
      <c r="B263" s="1">
        <f>IF('Data Entry'!J263&gt;0,'Data Entry'!L263,'Data Entry'!M263)</f>
        <v>0</v>
      </c>
      <c r="C263" s="1">
        <f>IF('Data Entry'!N263&gt;0,'Data Entry'!N263,'Data Entry'!O263)</f>
        <v>0</v>
      </c>
      <c r="D263" s="47">
        <f>IF('Data Entry'!P263&gt;0,'Data Entry'!P263,'Data Entry'!Q263)</f>
        <v>0</v>
      </c>
      <c r="E263" s="46">
        <f>IF('Data Entry'!J263&gt;0,'Data Entry'!J263,'Data Entry'!K263)</f>
        <v>0</v>
      </c>
    </row>
    <row r="264" spans="1:5" x14ac:dyDescent="0.25">
      <c r="A264" s="2">
        <f>IF('Data Entry'!J264&gt;0,'Data Entry'!K264,'Data Entry'!L264)</f>
        <v>0</v>
      </c>
      <c r="B264" s="1">
        <f>IF('Data Entry'!J264&gt;0,'Data Entry'!L264,'Data Entry'!M264)</f>
        <v>0</v>
      </c>
      <c r="C264" s="1">
        <f>IF('Data Entry'!N264&gt;0,'Data Entry'!N264,'Data Entry'!O264)</f>
        <v>0</v>
      </c>
      <c r="D264" s="47">
        <f>IF('Data Entry'!P264&gt;0,'Data Entry'!P264,'Data Entry'!Q264)</f>
        <v>0</v>
      </c>
      <c r="E264" s="46">
        <f>IF('Data Entry'!J264&gt;0,'Data Entry'!J264,'Data Entry'!K264)</f>
        <v>0</v>
      </c>
    </row>
    <row r="265" spans="1:5" x14ac:dyDescent="0.25">
      <c r="A265" s="2">
        <f>IF('Data Entry'!J265&gt;0,'Data Entry'!K265,'Data Entry'!L265)</f>
        <v>0</v>
      </c>
      <c r="B265" s="1">
        <f>IF('Data Entry'!J265&gt;0,'Data Entry'!L265,'Data Entry'!M265)</f>
        <v>0</v>
      </c>
      <c r="C265" s="1">
        <f>IF('Data Entry'!N265&gt;0,'Data Entry'!N265,'Data Entry'!O265)</f>
        <v>0</v>
      </c>
      <c r="D265" s="47">
        <f>IF('Data Entry'!P265&gt;0,'Data Entry'!P265,'Data Entry'!Q265)</f>
        <v>0</v>
      </c>
      <c r="E265" s="46">
        <f>IF('Data Entry'!J265&gt;0,'Data Entry'!J265,'Data Entry'!K265)</f>
        <v>0</v>
      </c>
    </row>
    <row r="266" spans="1:5" x14ac:dyDescent="0.25">
      <c r="A266" s="2">
        <f>IF('Data Entry'!J266&gt;0,'Data Entry'!K266,'Data Entry'!L266)</f>
        <v>0</v>
      </c>
      <c r="B266" s="1">
        <f>IF('Data Entry'!J266&gt;0,'Data Entry'!L266,'Data Entry'!M266)</f>
        <v>0</v>
      </c>
      <c r="C266" s="1">
        <f>IF('Data Entry'!N266&gt;0,'Data Entry'!N266,'Data Entry'!O266)</f>
        <v>0</v>
      </c>
      <c r="D266" s="47">
        <f>IF('Data Entry'!P266&gt;0,'Data Entry'!P266,'Data Entry'!Q266)</f>
        <v>0</v>
      </c>
      <c r="E266" s="46">
        <f>IF('Data Entry'!J266&gt;0,'Data Entry'!J266,'Data Entry'!K266)</f>
        <v>0</v>
      </c>
    </row>
    <row r="267" spans="1:5" x14ac:dyDescent="0.25">
      <c r="A267" s="2">
        <f>IF('Data Entry'!J267&gt;0,'Data Entry'!K267,'Data Entry'!L267)</f>
        <v>0</v>
      </c>
      <c r="B267" s="1">
        <f>IF('Data Entry'!J267&gt;0,'Data Entry'!L267,'Data Entry'!M267)</f>
        <v>0</v>
      </c>
      <c r="C267" s="1">
        <f>IF('Data Entry'!N267&gt;0,'Data Entry'!N267,'Data Entry'!O267)</f>
        <v>0</v>
      </c>
      <c r="D267" s="47">
        <f>IF('Data Entry'!P267&gt;0,'Data Entry'!P267,'Data Entry'!Q267)</f>
        <v>0</v>
      </c>
      <c r="E267" s="46">
        <f>IF('Data Entry'!J267&gt;0,'Data Entry'!J267,'Data Entry'!K267)</f>
        <v>0</v>
      </c>
    </row>
    <row r="268" spans="1:5" x14ac:dyDescent="0.25">
      <c r="A268" s="2">
        <f>IF('Data Entry'!J268&gt;0,'Data Entry'!K268,'Data Entry'!L268)</f>
        <v>0</v>
      </c>
      <c r="B268" s="1">
        <f>IF('Data Entry'!J268&gt;0,'Data Entry'!L268,'Data Entry'!M268)</f>
        <v>0</v>
      </c>
      <c r="C268" s="1">
        <f>IF('Data Entry'!N268&gt;0,'Data Entry'!N268,'Data Entry'!O268)</f>
        <v>0</v>
      </c>
      <c r="D268" s="47">
        <f>IF('Data Entry'!P268&gt;0,'Data Entry'!P268,'Data Entry'!Q268)</f>
        <v>0</v>
      </c>
      <c r="E268" s="46">
        <f>IF('Data Entry'!J268&gt;0,'Data Entry'!J268,'Data Entry'!K268)</f>
        <v>0</v>
      </c>
    </row>
    <row r="269" spans="1:5" x14ac:dyDescent="0.25">
      <c r="A269" s="2">
        <f>IF('Data Entry'!J269&gt;0,'Data Entry'!K269,'Data Entry'!L269)</f>
        <v>0</v>
      </c>
      <c r="B269" s="1">
        <f>IF('Data Entry'!J269&gt;0,'Data Entry'!L269,'Data Entry'!M269)</f>
        <v>0</v>
      </c>
      <c r="C269" s="1">
        <f>IF('Data Entry'!N269&gt;0,'Data Entry'!N269,'Data Entry'!O269)</f>
        <v>0</v>
      </c>
      <c r="D269" s="47">
        <f>IF('Data Entry'!P269&gt;0,'Data Entry'!P269,'Data Entry'!Q269)</f>
        <v>0</v>
      </c>
      <c r="E269" s="46">
        <f>IF('Data Entry'!J269&gt;0,'Data Entry'!J269,'Data Entry'!K269)</f>
        <v>0</v>
      </c>
    </row>
    <row r="270" spans="1:5" x14ac:dyDescent="0.25">
      <c r="A270" s="2">
        <f>IF('Data Entry'!J270&gt;0,'Data Entry'!K270,'Data Entry'!L270)</f>
        <v>0</v>
      </c>
      <c r="B270" s="1">
        <f>IF('Data Entry'!J270&gt;0,'Data Entry'!L270,'Data Entry'!M270)</f>
        <v>0</v>
      </c>
      <c r="C270" s="1">
        <f>IF('Data Entry'!N270&gt;0,'Data Entry'!N270,'Data Entry'!O270)</f>
        <v>0</v>
      </c>
      <c r="D270" s="47">
        <f>IF('Data Entry'!P270&gt;0,'Data Entry'!P270,'Data Entry'!Q270)</f>
        <v>0</v>
      </c>
      <c r="E270" s="46">
        <f>IF('Data Entry'!J270&gt;0,'Data Entry'!J270,'Data Entry'!K270)</f>
        <v>0</v>
      </c>
    </row>
    <row r="271" spans="1:5" x14ac:dyDescent="0.25">
      <c r="A271" s="2">
        <f>IF('Data Entry'!J271&gt;0,'Data Entry'!K271,'Data Entry'!L271)</f>
        <v>0</v>
      </c>
      <c r="B271" s="1">
        <f>IF('Data Entry'!J271&gt;0,'Data Entry'!L271,'Data Entry'!M271)</f>
        <v>0</v>
      </c>
      <c r="C271" s="1">
        <f>IF('Data Entry'!N271&gt;0,'Data Entry'!N271,'Data Entry'!O271)</f>
        <v>0</v>
      </c>
      <c r="D271" s="47">
        <f>IF('Data Entry'!P271&gt;0,'Data Entry'!P271,'Data Entry'!Q271)</f>
        <v>0</v>
      </c>
      <c r="E271" s="46">
        <f>IF('Data Entry'!J271&gt;0,'Data Entry'!J271,'Data Entry'!K271)</f>
        <v>0</v>
      </c>
    </row>
    <row r="272" spans="1:5" x14ac:dyDescent="0.25">
      <c r="A272" s="2">
        <f>IF('Data Entry'!J272&gt;0,'Data Entry'!K272,'Data Entry'!L272)</f>
        <v>0</v>
      </c>
      <c r="B272" s="1">
        <f>IF('Data Entry'!J272&gt;0,'Data Entry'!L272,'Data Entry'!M272)</f>
        <v>0</v>
      </c>
      <c r="C272" s="1">
        <f>IF('Data Entry'!N272&gt;0,'Data Entry'!N272,'Data Entry'!O272)</f>
        <v>0</v>
      </c>
      <c r="D272" s="47">
        <f>IF('Data Entry'!P272&gt;0,'Data Entry'!P272,'Data Entry'!Q272)</f>
        <v>0</v>
      </c>
      <c r="E272" s="46">
        <f>IF('Data Entry'!J272&gt;0,'Data Entry'!J272,'Data Entry'!K272)</f>
        <v>0</v>
      </c>
    </row>
    <row r="273" spans="1:5" x14ac:dyDescent="0.25">
      <c r="A273" s="2">
        <f>IF('Data Entry'!J273&gt;0,'Data Entry'!K273,'Data Entry'!L273)</f>
        <v>0</v>
      </c>
      <c r="B273" s="1">
        <f>IF('Data Entry'!J273&gt;0,'Data Entry'!L273,'Data Entry'!M273)</f>
        <v>0</v>
      </c>
      <c r="C273" s="1">
        <f>IF('Data Entry'!N273&gt;0,'Data Entry'!N273,'Data Entry'!O273)</f>
        <v>0</v>
      </c>
      <c r="D273" s="47">
        <f>IF('Data Entry'!P273&gt;0,'Data Entry'!P273,'Data Entry'!Q273)</f>
        <v>0</v>
      </c>
      <c r="E273" s="46">
        <f>IF('Data Entry'!J273&gt;0,'Data Entry'!J273,'Data Entry'!K273)</f>
        <v>0</v>
      </c>
    </row>
    <row r="274" spans="1:5" x14ac:dyDescent="0.25">
      <c r="A274" s="2">
        <f>IF('Data Entry'!J274&gt;0,'Data Entry'!K274,'Data Entry'!L274)</f>
        <v>0</v>
      </c>
      <c r="B274" s="1">
        <f>IF('Data Entry'!J274&gt;0,'Data Entry'!L274,'Data Entry'!M274)</f>
        <v>0</v>
      </c>
      <c r="C274" s="1">
        <f>IF('Data Entry'!N274&gt;0,'Data Entry'!N274,'Data Entry'!O274)</f>
        <v>0</v>
      </c>
      <c r="D274" s="47">
        <f>IF('Data Entry'!P274&gt;0,'Data Entry'!P274,'Data Entry'!Q274)</f>
        <v>0</v>
      </c>
      <c r="E274" s="46">
        <f>IF('Data Entry'!J274&gt;0,'Data Entry'!J274,'Data Entry'!K274)</f>
        <v>0</v>
      </c>
    </row>
    <row r="275" spans="1:5" x14ac:dyDescent="0.25">
      <c r="A275" s="2">
        <f>IF('Data Entry'!J275&gt;0,'Data Entry'!K275,'Data Entry'!L275)</f>
        <v>0</v>
      </c>
      <c r="B275" s="1">
        <f>IF('Data Entry'!J275&gt;0,'Data Entry'!L275,'Data Entry'!M275)</f>
        <v>0</v>
      </c>
      <c r="C275" s="1">
        <f>IF('Data Entry'!N275&gt;0,'Data Entry'!N275,'Data Entry'!O275)</f>
        <v>0</v>
      </c>
      <c r="D275" s="47">
        <f>IF('Data Entry'!P275&gt;0,'Data Entry'!P275,'Data Entry'!Q275)</f>
        <v>0</v>
      </c>
      <c r="E275" s="46">
        <f>IF('Data Entry'!J275&gt;0,'Data Entry'!J275,'Data Entry'!K275)</f>
        <v>0</v>
      </c>
    </row>
    <row r="276" spans="1:5" x14ac:dyDescent="0.25">
      <c r="A276" s="2">
        <f>IF('Data Entry'!J276&gt;0,'Data Entry'!K276,'Data Entry'!L276)</f>
        <v>0</v>
      </c>
      <c r="B276" s="1">
        <f>IF('Data Entry'!J276&gt;0,'Data Entry'!L276,'Data Entry'!M276)</f>
        <v>0</v>
      </c>
      <c r="C276" s="1">
        <f>IF('Data Entry'!N276&gt;0,'Data Entry'!N276,'Data Entry'!O276)</f>
        <v>0</v>
      </c>
      <c r="D276" s="47">
        <f>IF('Data Entry'!P276&gt;0,'Data Entry'!P276,'Data Entry'!Q276)</f>
        <v>0</v>
      </c>
      <c r="E276" s="46">
        <f>IF('Data Entry'!J276&gt;0,'Data Entry'!J276,'Data Entry'!K276)</f>
        <v>0</v>
      </c>
    </row>
    <row r="277" spans="1:5" x14ac:dyDescent="0.25">
      <c r="A277" s="2">
        <f>IF('Data Entry'!J277&gt;0,'Data Entry'!K277,'Data Entry'!L277)</f>
        <v>0</v>
      </c>
      <c r="B277" s="1">
        <f>IF('Data Entry'!J277&gt;0,'Data Entry'!L277,'Data Entry'!M277)</f>
        <v>0</v>
      </c>
      <c r="C277" s="1">
        <f>IF('Data Entry'!N277&gt;0,'Data Entry'!N277,'Data Entry'!O277)</f>
        <v>0</v>
      </c>
      <c r="D277" s="47">
        <f>IF('Data Entry'!P277&gt;0,'Data Entry'!P277,'Data Entry'!Q277)</f>
        <v>0</v>
      </c>
      <c r="E277" s="46">
        <f>IF('Data Entry'!J277&gt;0,'Data Entry'!J277,'Data Entry'!K277)</f>
        <v>0</v>
      </c>
    </row>
    <row r="278" spans="1:5" x14ac:dyDescent="0.25">
      <c r="A278" s="2">
        <f>IF('Data Entry'!J278&gt;0,'Data Entry'!K278,'Data Entry'!L278)</f>
        <v>0</v>
      </c>
      <c r="B278" s="1">
        <f>IF('Data Entry'!J278&gt;0,'Data Entry'!L278,'Data Entry'!M278)</f>
        <v>0</v>
      </c>
      <c r="C278" s="1">
        <f>IF('Data Entry'!N278&gt;0,'Data Entry'!N278,'Data Entry'!O278)</f>
        <v>0</v>
      </c>
      <c r="D278" s="47">
        <f>IF('Data Entry'!P278&gt;0,'Data Entry'!P278,'Data Entry'!Q278)</f>
        <v>0</v>
      </c>
      <c r="E278" s="46">
        <f>IF('Data Entry'!J278&gt;0,'Data Entry'!J278,'Data Entry'!K278)</f>
        <v>0</v>
      </c>
    </row>
    <row r="279" spans="1:5" x14ac:dyDescent="0.25">
      <c r="A279" s="2">
        <f>IF('Data Entry'!J279&gt;0,'Data Entry'!K279,'Data Entry'!L279)</f>
        <v>0</v>
      </c>
      <c r="B279" s="1">
        <f>IF('Data Entry'!J279&gt;0,'Data Entry'!L279,'Data Entry'!M279)</f>
        <v>0</v>
      </c>
      <c r="C279" s="1">
        <f>IF('Data Entry'!N279&gt;0,'Data Entry'!N279,'Data Entry'!O279)</f>
        <v>0</v>
      </c>
      <c r="D279" s="47">
        <f>IF('Data Entry'!P279&gt;0,'Data Entry'!P279,'Data Entry'!Q279)</f>
        <v>0</v>
      </c>
      <c r="E279" s="46">
        <f>IF('Data Entry'!J279&gt;0,'Data Entry'!J279,'Data Entry'!K279)</f>
        <v>0</v>
      </c>
    </row>
    <row r="280" spans="1:5" x14ac:dyDescent="0.25">
      <c r="A280" s="2">
        <f>IF('Data Entry'!J280&gt;0,'Data Entry'!K280,'Data Entry'!L280)</f>
        <v>0</v>
      </c>
      <c r="B280" s="1">
        <f>IF('Data Entry'!J280&gt;0,'Data Entry'!L280,'Data Entry'!M280)</f>
        <v>0</v>
      </c>
      <c r="C280" s="1">
        <f>IF('Data Entry'!N280&gt;0,'Data Entry'!N280,'Data Entry'!O280)</f>
        <v>0</v>
      </c>
      <c r="D280" s="47">
        <f>IF('Data Entry'!P280&gt;0,'Data Entry'!P280,'Data Entry'!Q280)</f>
        <v>0</v>
      </c>
      <c r="E280" s="46">
        <f>IF('Data Entry'!J280&gt;0,'Data Entry'!J280,'Data Entry'!K280)</f>
        <v>0</v>
      </c>
    </row>
    <row r="281" spans="1:5" x14ac:dyDescent="0.25">
      <c r="A281" s="2">
        <f>IF('Data Entry'!J281&gt;0,'Data Entry'!K281,'Data Entry'!L281)</f>
        <v>0</v>
      </c>
      <c r="B281" s="1">
        <f>IF('Data Entry'!J281&gt;0,'Data Entry'!L281,'Data Entry'!M281)</f>
        <v>0</v>
      </c>
      <c r="C281" s="1">
        <f>IF('Data Entry'!N281&gt;0,'Data Entry'!N281,'Data Entry'!O281)</f>
        <v>0</v>
      </c>
      <c r="D281" s="47">
        <f>IF('Data Entry'!P281&gt;0,'Data Entry'!P281,'Data Entry'!Q281)</f>
        <v>0</v>
      </c>
      <c r="E281" s="46">
        <f>IF('Data Entry'!J281&gt;0,'Data Entry'!J281,'Data Entry'!K281)</f>
        <v>0</v>
      </c>
    </row>
    <row r="282" spans="1:5" x14ac:dyDescent="0.25">
      <c r="A282" s="2">
        <f>IF('Data Entry'!J282&gt;0,'Data Entry'!K282,'Data Entry'!L282)</f>
        <v>0</v>
      </c>
      <c r="B282" s="1">
        <f>IF('Data Entry'!J282&gt;0,'Data Entry'!L282,'Data Entry'!M282)</f>
        <v>0</v>
      </c>
      <c r="C282" s="1">
        <f>IF('Data Entry'!N282&gt;0,'Data Entry'!N282,'Data Entry'!O282)</f>
        <v>0</v>
      </c>
      <c r="D282" s="47">
        <f>IF('Data Entry'!P282&gt;0,'Data Entry'!P282,'Data Entry'!Q282)</f>
        <v>0</v>
      </c>
      <c r="E282" s="46">
        <f>IF('Data Entry'!J282&gt;0,'Data Entry'!J282,'Data Entry'!K282)</f>
        <v>0</v>
      </c>
    </row>
    <row r="283" spans="1:5" x14ac:dyDescent="0.25">
      <c r="A283" s="2">
        <f>IF('Data Entry'!J283&gt;0,'Data Entry'!K283,'Data Entry'!L283)</f>
        <v>0</v>
      </c>
      <c r="B283" s="1">
        <f>IF('Data Entry'!J283&gt;0,'Data Entry'!L283,'Data Entry'!M283)</f>
        <v>0</v>
      </c>
      <c r="C283" s="1">
        <f>IF('Data Entry'!N283&gt;0,'Data Entry'!N283,'Data Entry'!O283)</f>
        <v>0</v>
      </c>
      <c r="D283" s="47">
        <f>IF('Data Entry'!P283&gt;0,'Data Entry'!P283,'Data Entry'!Q283)</f>
        <v>0</v>
      </c>
      <c r="E283" s="46">
        <f>IF('Data Entry'!J283&gt;0,'Data Entry'!J283,'Data Entry'!K283)</f>
        <v>0</v>
      </c>
    </row>
    <row r="284" spans="1:5" x14ac:dyDescent="0.25">
      <c r="A284" s="2">
        <f>IF('Data Entry'!J284&gt;0,'Data Entry'!K284,'Data Entry'!L284)</f>
        <v>0</v>
      </c>
      <c r="B284" s="1">
        <f>IF('Data Entry'!J284&gt;0,'Data Entry'!L284,'Data Entry'!M284)</f>
        <v>0</v>
      </c>
      <c r="C284" s="1">
        <f>IF('Data Entry'!N284&gt;0,'Data Entry'!N284,'Data Entry'!O284)</f>
        <v>0</v>
      </c>
      <c r="D284" s="47">
        <f>IF('Data Entry'!P284&gt;0,'Data Entry'!P284,'Data Entry'!Q284)</f>
        <v>0</v>
      </c>
      <c r="E284" s="46">
        <f>IF('Data Entry'!J284&gt;0,'Data Entry'!J284,'Data Entry'!K284)</f>
        <v>0</v>
      </c>
    </row>
    <row r="285" spans="1:5" x14ac:dyDescent="0.25">
      <c r="A285" s="2">
        <f>IF('Data Entry'!J285&gt;0,'Data Entry'!K285,'Data Entry'!L285)</f>
        <v>0</v>
      </c>
      <c r="B285" s="1">
        <f>IF('Data Entry'!J285&gt;0,'Data Entry'!L285,'Data Entry'!M285)</f>
        <v>0</v>
      </c>
      <c r="C285" s="1">
        <f>IF('Data Entry'!N285&gt;0,'Data Entry'!N285,'Data Entry'!O285)</f>
        <v>0</v>
      </c>
      <c r="D285" s="47">
        <f>IF('Data Entry'!P285&gt;0,'Data Entry'!P285,'Data Entry'!Q285)</f>
        <v>0</v>
      </c>
      <c r="E285" s="46">
        <f>IF('Data Entry'!J285&gt;0,'Data Entry'!J285,'Data Entry'!K285)</f>
        <v>0</v>
      </c>
    </row>
    <row r="286" spans="1:5" x14ac:dyDescent="0.25">
      <c r="A286" s="2">
        <f>IF('Data Entry'!J286&gt;0,'Data Entry'!K286,'Data Entry'!L286)</f>
        <v>0</v>
      </c>
      <c r="B286" s="1">
        <f>IF('Data Entry'!J286&gt;0,'Data Entry'!L286,'Data Entry'!M286)</f>
        <v>0</v>
      </c>
      <c r="C286" s="1">
        <f>IF('Data Entry'!N286&gt;0,'Data Entry'!N286,'Data Entry'!O286)</f>
        <v>0</v>
      </c>
      <c r="D286" s="47">
        <f>IF('Data Entry'!P286&gt;0,'Data Entry'!P286,'Data Entry'!Q286)</f>
        <v>0</v>
      </c>
      <c r="E286" s="46">
        <f>IF('Data Entry'!J286&gt;0,'Data Entry'!J286,'Data Entry'!K286)</f>
        <v>0</v>
      </c>
    </row>
    <row r="287" spans="1:5" x14ac:dyDescent="0.25">
      <c r="A287" s="2">
        <f>IF('Data Entry'!J287&gt;0,'Data Entry'!K287,'Data Entry'!L287)</f>
        <v>0</v>
      </c>
      <c r="B287" s="1">
        <f>IF('Data Entry'!J287&gt;0,'Data Entry'!L287,'Data Entry'!M287)</f>
        <v>0</v>
      </c>
      <c r="C287" s="1">
        <f>IF('Data Entry'!N287&gt;0,'Data Entry'!N287,'Data Entry'!O287)</f>
        <v>0</v>
      </c>
      <c r="D287" s="47">
        <f>IF('Data Entry'!P287&gt;0,'Data Entry'!P287,'Data Entry'!Q287)</f>
        <v>0</v>
      </c>
      <c r="E287" s="46">
        <f>IF('Data Entry'!J287&gt;0,'Data Entry'!J287,'Data Entry'!K287)</f>
        <v>0</v>
      </c>
    </row>
    <row r="288" spans="1:5" x14ac:dyDescent="0.25">
      <c r="A288" s="2">
        <f>IF('Data Entry'!J288&gt;0,'Data Entry'!K288,'Data Entry'!L288)</f>
        <v>0</v>
      </c>
      <c r="B288" s="1">
        <f>IF('Data Entry'!J288&gt;0,'Data Entry'!L288,'Data Entry'!M288)</f>
        <v>0</v>
      </c>
      <c r="C288" s="1">
        <f>IF('Data Entry'!N288&gt;0,'Data Entry'!N288,'Data Entry'!O288)</f>
        <v>0</v>
      </c>
      <c r="D288" s="47">
        <f>IF('Data Entry'!P288&gt;0,'Data Entry'!P288,'Data Entry'!Q288)</f>
        <v>0</v>
      </c>
      <c r="E288" s="46">
        <f>IF('Data Entry'!J288&gt;0,'Data Entry'!J288,'Data Entry'!K288)</f>
        <v>0</v>
      </c>
    </row>
    <row r="289" spans="1:5" x14ac:dyDescent="0.25">
      <c r="A289" s="2">
        <f>IF('Data Entry'!J289&gt;0,'Data Entry'!K289,'Data Entry'!L289)</f>
        <v>0</v>
      </c>
      <c r="B289" s="1">
        <f>IF('Data Entry'!J289&gt;0,'Data Entry'!L289,'Data Entry'!M289)</f>
        <v>0</v>
      </c>
      <c r="C289" s="1">
        <f>IF('Data Entry'!N289&gt;0,'Data Entry'!N289,'Data Entry'!O289)</f>
        <v>0</v>
      </c>
      <c r="D289" s="47">
        <f>IF('Data Entry'!P289&gt;0,'Data Entry'!P289,'Data Entry'!Q289)</f>
        <v>0</v>
      </c>
      <c r="E289" s="46">
        <f>IF('Data Entry'!J289&gt;0,'Data Entry'!J289,'Data Entry'!K289)</f>
        <v>0</v>
      </c>
    </row>
    <row r="290" spans="1:5" x14ac:dyDescent="0.25">
      <c r="A290" s="2">
        <f>IF('Data Entry'!J290&gt;0,'Data Entry'!K290,'Data Entry'!L290)</f>
        <v>0</v>
      </c>
      <c r="B290" s="1">
        <f>IF('Data Entry'!J290&gt;0,'Data Entry'!L290,'Data Entry'!M290)</f>
        <v>0</v>
      </c>
      <c r="C290" s="1">
        <f>IF('Data Entry'!N290&gt;0,'Data Entry'!N290,'Data Entry'!O290)</f>
        <v>0</v>
      </c>
      <c r="D290" s="47">
        <f>IF('Data Entry'!P290&gt;0,'Data Entry'!P290,'Data Entry'!Q290)</f>
        <v>0</v>
      </c>
      <c r="E290" s="46">
        <f>IF('Data Entry'!J290&gt;0,'Data Entry'!J290,'Data Entry'!K290)</f>
        <v>0</v>
      </c>
    </row>
    <row r="291" spans="1:5" x14ac:dyDescent="0.25">
      <c r="A291" s="2">
        <f>IF('Data Entry'!J291&gt;0,'Data Entry'!K291,'Data Entry'!L291)</f>
        <v>0</v>
      </c>
      <c r="B291" s="1">
        <f>IF('Data Entry'!J291&gt;0,'Data Entry'!L291,'Data Entry'!M291)</f>
        <v>0</v>
      </c>
      <c r="C291" s="1">
        <f>IF('Data Entry'!N291&gt;0,'Data Entry'!N291,'Data Entry'!O291)</f>
        <v>0</v>
      </c>
      <c r="D291" s="47">
        <f>IF('Data Entry'!P291&gt;0,'Data Entry'!P291,'Data Entry'!Q291)</f>
        <v>0</v>
      </c>
      <c r="E291" s="46">
        <f>IF('Data Entry'!J291&gt;0,'Data Entry'!J291,'Data Entry'!K291)</f>
        <v>0</v>
      </c>
    </row>
    <row r="292" spans="1:5" x14ac:dyDescent="0.25">
      <c r="A292" s="2">
        <f>IF('Data Entry'!J292&gt;0,'Data Entry'!K292,'Data Entry'!L292)</f>
        <v>0</v>
      </c>
      <c r="B292" s="1">
        <f>IF('Data Entry'!J292&gt;0,'Data Entry'!L292,'Data Entry'!M292)</f>
        <v>0</v>
      </c>
      <c r="C292" s="1">
        <f>IF('Data Entry'!N292&gt;0,'Data Entry'!N292,'Data Entry'!O292)</f>
        <v>0</v>
      </c>
      <c r="D292" s="47">
        <f>IF('Data Entry'!P292&gt;0,'Data Entry'!P292,'Data Entry'!Q292)</f>
        <v>0</v>
      </c>
      <c r="E292" s="46">
        <f>IF('Data Entry'!J292&gt;0,'Data Entry'!J292,'Data Entry'!K292)</f>
        <v>0</v>
      </c>
    </row>
    <row r="293" spans="1:5" x14ac:dyDescent="0.25">
      <c r="A293" s="2">
        <f>IF('Data Entry'!J293&gt;0,'Data Entry'!K293,'Data Entry'!L293)</f>
        <v>0</v>
      </c>
      <c r="B293" s="1">
        <f>IF('Data Entry'!J293&gt;0,'Data Entry'!L293,'Data Entry'!M293)</f>
        <v>0</v>
      </c>
      <c r="C293" s="1">
        <f>IF('Data Entry'!N293&gt;0,'Data Entry'!N293,'Data Entry'!O293)</f>
        <v>0</v>
      </c>
      <c r="D293" s="47">
        <f>IF('Data Entry'!P293&gt;0,'Data Entry'!P293,'Data Entry'!Q293)</f>
        <v>0</v>
      </c>
      <c r="E293" s="46">
        <f>IF('Data Entry'!J293&gt;0,'Data Entry'!J293,'Data Entry'!K293)</f>
        <v>0</v>
      </c>
    </row>
    <row r="294" spans="1:5" x14ac:dyDescent="0.25">
      <c r="A294" s="2">
        <f>IF('Data Entry'!J294&gt;0,'Data Entry'!K294,'Data Entry'!L294)</f>
        <v>0</v>
      </c>
      <c r="B294" s="1">
        <f>IF('Data Entry'!J294&gt;0,'Data Entry'!L294,'Data Entry'!M294)</f>
        <v>0</v>
      </c>
      <c r="C294" s="1">
        <f>IF('Data Entry'!N294&gt;0,'Data Entry'!N294,'Data Entry'!O294)</f>
        <v>0</v>
      </c>
      <c r="D294" s="47">
        <f>IF('Data Entry'!P294&gt;0,'Data Entry'!P294,'Data Entry'!Q294)</f>
        <v>0</v>
      </c>
      <c r="E294" s="46">
        <f>IF('Data Entry'!J294&gt;0,'Data Entry'!J294,'Data Entry'!K294)</f>
        <v>0</v>
      </c>
    </row>
    <row r="295" spans="1:5" x14ac:dyDescent="0.25">
      <c r="A295" s="2">
        <f>IF('Data Entry'!J295&gt;0,'Data Entry'!K295,'Data Entry'!L295)</f>
        <v>0</v>
      </c>
      <c r="B295" s="1">
        <f>IF('Data Entry'!J295&gt;0,'Data Entry'!L295,'Data Entry'!M295)</f>
        <v>0</v>
      </c>
      <c r="C295" s="1">
        <f>IF('Data Entry'!N295&gt;0,'Data Entry'!N295,'Data Entry'!O295)</f>
        <v>0</v>
      </c>
      <c r="D295" s="47">
        <f>IF('Data Entry'!P295&gt;0,'Data Entry'!P295,'Data Entry'!Q295)</f>
        <v>0</v>
      </c>
      <c r="E295" s="46">
        <f>IF('Data Entry'!J295&gt;0,'Data Entry'!J295,'Data Entry'!K295)</f>
        <v>0</v>
      </c>
    </row>
    <row r="296" spans="1:5" x14ac:dyDescent="0.25">
      <c r="A296" s="2">
        <f>IF('Data Entry'!J296&gt;0,'Data Entry'!K296,'Data Entry'!L296)</f>
        <v>0</v>
      </c>
      <c r="B296" s="1">
        <f>IF('Data Entry'!J296&gt;0,'Data Entry'!L296,'Data Entry'!M296)</f>
        <v>0</v>
      </c>
      <c r="C296" s="1">
        <f>IF('Data Entry'!N296&gt;0,'Data Entry'!N296,'Data Entry'!O296)</f>
        <v>0</v>
      </c>
      <c r="D296" s="47">
        <f>IF('Data Entry'!P296&gt;0,'Data Entry'!P296,'Data Entry'!Q296)</f>
        <v>0</v>
      </c>
      <c r="E296" s="46">
        <f>IF('Data Entry'!J296&gt;0,'Data Entry'!J296,'Data Entry'!K296)</f>
        <v>0</v>
      </c>
    </row>
    <row r="297" spans="1:5" x14ac:dyDescent="0.25">
      <c r="A297" s="2">
        <f>IF('Data Entry'!J297&gt;0,'Data Entry'!K297,'Data Entry'!L297)</f>
        <v>0</v>
      </c>
      <c r="B297" s="1">
        <f>IF('Data Entry'!J297&gt;0,'Data Entry'!L297,'Data Entry'!M297)</f>
        <v>0</v>
      </c>
      <c r="C297" s="1">
        <f>IF('Data Entry'!N297&gt;0,'Data Entry'!N297,'Data Entry'!O297)</f>
        <v>0</v>
      </c>
      <c r="D297" s="47">
        <f>IF('Data Entry'!P297&gt;0,'Data Entry'!P297,'Data Entry'!Q297)</f>
        <v>0</v>
      </c>
      <c r="E297" s="46">
        <f>IF('Data Entry'!J297&gt;0,'Data Entry'!J297,'Data Entry'!K297)</f>
        <v>0</v>
      </c>
    </row>
    <row r="298" spans="1:5" x14ac:dyDescent="0.25">
      <c r="A298" s="2">
        <f>IF('Data Entry'!J298&gt;0,'Data Entry'!K298,'Data Entry'!L298)</f>
        <v>0</v>
      </c>
      <c r="B298" s="1">
        <f>IF('Data Entry'!J298&gt;0,'Data Entry'!L298,'Data Entry'!M298)</f>
        <v>0</v>
      </c>
      <c r="C298" s="1">
        <f>IF('Data Entry'!N298&gt;0,'Data Entry'!N298,'Data Entry'!O298)</f>
        <v>0</v>
      </c>
      <c r="D298" s="47">
        <f>IF('Data Entry'!P298&gt;0,'Data Entry'!P298,'Data Entry'!Q298)</f>
        <v>0</v>
      </c>
      <c r="E298" s="46">
        <f>IF('Data Entry'!J298&gt;0,'Data Entry'!J298,'Data Entry'!K298)</f>
        <v>0</v>
      </c>
    </row>
    <row r="299" spans="1:5" x14ac:dyDescent="0.25">
      <c r="A299" s="2">
        <f>IF('Data Entry'!J299&gt;0,'Data Entry'!K299,'Data Entry'!L299)</f>
        <v>0</v>
      </c>
      <c r="B299" s="1">
        <f>IF('Data Entry'!J299&gt;0,'Data Entry'!L299,'Data Entry'!M299)</f>
        <v>0</v>
      </c>
      <c r="C299" s="1">
        <f>IF('Data Entry'!N299&gt;0,'Data Entry'!N299,'Data Entry'!O299)</f>
        <v>0</v>
      </c>
      <c r="D299" s="47">
        <f>IF('Data Entry'!P299&gt;0,'Data Entry'!P299,'Data Entry'!Q299)</f>
        <v>0</v>
      </c>
      <c r="E299" s="46">
        <f>IF('Data Entry'!J299&gt;0,'Data Entry'!J299,'Data Entry'!K299)</f>
        <v>0</v>
      </c>
    </row>
    <row r="300" spans="1:5" x14ac:dyDescent="0.25">
      <c r="A300" s="2">
        <f>IF('Data Entry'!J300&gt;0,'Data Entry'!K300,'Data Entry'!L300)</f>
        <v>0</v>
      </c>
      <c r="B300" s="1">
        <f>IF('Data Entry'!J300&gt;0,'Data Entry'!L300,'Data Entry'!M300)</f>
        <v>0</v>
      </c>
      <c r="C300" s="1">
        <f>IF('Data Entry'!N300&gt;0,'Data Entry'!N300,'Data Entry'!O300)</f>
        <v>0</v>
      </c>
      <c r="D300" s="47">
        <f>IF('Data Entry'!P300&gt;0,'Data Entry'!P300,'Data Entry'!Q300)</f>
        <v>0</v>
      </c>
      <c r="E300" s="46">
        <f>IF('Data Entry'!J300&gt;0,'Data Entry'!J300,'Data Entry'!K300)</f>
        <v>0</v>
      </c>
    </row>
    <row r="301" spans="1:5" x14ac:dyDescent="0.25">
      <c r="A301" s="2">
        <f>IF('Data Entry'!J301&gt;0,'Data Entry'!K301,'Data Entry'!L301)</f>
        <v>0</v>
      </c>
      <c r="B301" s="1">
        <f>IF('Data Entry'!J301&gt;0,'Data Entry'!L301,'Data Entry'!M301)</f>
        <v>0</v>
      </c>
      <c r="C301" s="1">
        <f>IF('Data Entry'!N301&gt;0,'Data Entry'!N301,'Data Entry'!O301)</f>
        <v>0</v>
      </c>
      <c r="D301" s="47">
        <f>IF('Data Entry'!P301&gt;0,'Data Entry'!P301,'Data Entry'!Q301)</f>
        <v>0</v>
      </c>
      <c r="E301" s="46">
        <f>IF('Data Entry'!J301&gt;0,'Data Entry'!J301,'Data Entry'!K301)</f>
        <v>0</v>
      </c>
    </row>
    <row r="302" spans="1:5" x14ac:dyDescent="0.25">
      <c r="A302" s="2">
        <f>IF('Data Entry'!J302&gt;0,'Data Entry'!K302,'Data Entry'!L302)</f>
        <v>0</v>
      </c>
      <c r="B302" s="1">
        <f>IF('Data Entry'!J302&gt;0,'Data Entry'!L302,'Data Entry'!M302)</f>
        <v>0</v>
      </c>
      <c r="C302" s="1">
        <f>IF('Data Entry'!N302&gt;0,'Data Entry'!N302,'Data Entry'!O302)</f>
        <v>0</v>
      </c>
      <c r="D302" s="47">
        <f>IF('Data Entry'!P302&gt;0,'Data Entry'!P302,'Data Entry'!Q302)</f>
        <v>0</v>
      </c>
      <c r="E302" s="46">
        <f>IF('Data Entry'!J302&gt;0,'Data Entry'!J302,'Data Entry'!K302)</f>
        <v>0</v>
      </c>
    </row>
    <row r="303" spans="1:5" x14ac:dyDescent="0.25">
      <c r="A303" s="2">
        <f>IF('Data Entry'!J303&gt;0,'Data Entry'!K303,'Data Entry'!L303)</f>
        <v>0</v>
      </c>
      <c r="B303" s="1">
        <f>IF('Data Entry'!J303&gt;0,'Data Entry'!L303,'Data Entry'!M303)</f>
        <v>0</v>
      </c>
      <c r="C303" s="1">
        <f>IF('Data Entry'!N303&gt;0,'Data Entry'!N303,'Data Entry'!O303)</f>
        <v>0</v>
      </c>
      <c r="D303" s="47">
        <f>IF('Data Entry'!P303&gt;0,'Data Entry'!P303,'Data Entry'!Q303)</f>
        <v>0</v>
      </c>
      <c r="E303" s="46">
        <f>IF('Data Entry'!J303&gt;0,'Data Entry'!J303,'Data Entry'!K303)</f>
        <v>0</v>
      </c>
    </row>
    <row r="304" spans="1:5" x14ac:dyDescent="0.25">
      <c r="A304" s="2">
        <f>IF('Data Entry'!J304&gt;0,'Data Entry'!K304,'Data Entry'!L304)</f>
        <v>0</v>
      </c>
      <c r="B304" s="1">
        <f>IF('Data Entry'!J304&gt;0,'Data Entry'!L304,'Data Entry'!M304)</f>
        <v>0</v>
      </c>
      <c r="C304" s="1">
        <f>IF('Data Entry'!N304&gt;0,'Data Entry'!N304,'Data Entry'!O304)</f>
        <v>0</v>
      </c>
      <c r="D304" s="47">
        <f>IF('Data Entry'!P304&gt;0,'Data Entry'!P304,'Data Entry'!Q304)</f>
        <v>0</v>
      </c>
      <c r="E304" s="46">
        <f>IF('Data Entry'!J304&gt;0,'Data Entry'!J304,'Data Entry'!K304)</f>
        <v>0</v>
      </c>
    </row>
    <row r="305" spans="1:5" x14ac:dyDescent="0.25">
      <c r="A305" s="2">
        <f>IF('Data Entry'!J305&gt;0,'Data Entry'!K305,'Data Entry'!L305)</f>
        <v>0</v>
      </c>
      <c r="B305" s="1">
        <f>IF('Data Entry'!J305&gt;0,'Data Entry'!L305,'Data Entry'!M305)</f>
        <v>0</v>
      </c>
      <c r="C305" s="1">
        <f>IF('Data Entry'!N305&gt;0,'Data Entry'!N305,'Data Entry'!O305)</f>
        <v>0</v>
      </c>
      <c r="D305" s="47">
        <f>IF('Data Entry'!P305&gt;0,'Data Entry'!P305,'Data Entry'!Q305)</f>
        <v>0</v>
      </c>
      <c r="E305" s="46">
        <f>IF('Data Entry'!J305&gt;0,'Data Entry'!J305,'Data Entry'!K305)</f>
        <v>0</v>
      </c>
    </row>
    <row r="306" spans="1:5" x14ac:dyDescent="0.25">
      <c r="A306" s="2">
        <f>IF('Data Entry'!J306&gt;0,'Data Entry'!K306,'Data Entry'!L306)</f>
        <v>0</v>
      </c>
      <c r="B306" s="1">
        <f>IF('Data Entry'!J306&gt;0,'Data Entry'!L306,'Data Entry'!M306)</f>
        <v>0</v>
      </c>
      <c r="C306" s="1">
        <f>IF('Data Entry'!N306&gt;0,'Data Entry'!N306,'Data Entry'!O306)</f>
        <v>0</v>
      </c>
      <c r="D306" s="47">
        <f>IF('Data Entry'!P306&gt;0,'Data Entry'!P306,'Data Entry'!Q306)</f>
        <v>0</v>
      </c>
      <c r="E306" s="46">
        <f>IF('Data Entry'!J306&gt;0,'Data Entry'!J306,'Data Entry'!K306)</f>
        <v>0</v>
      </c>
    </row>
    <row r="307" spans="1:5" x14ac:dyDescent="0.25">
      <c r="A307" s="2">
        <f>IF('Data Entry'!J307&gt;0,'Data Entry'!K307,'Data Entry'!L307)</f>
        <v>0</v>
      </c>
      <c r="B307" s="1">
        <f>IF('Data Entry'!J307&gt;0,'Data Entry'!L307,'Data Entry'!M307)</f>
        <v>0</v>
      </c>
      <c r="C307" s="1">
        <f>IF('Data Entry'!N307&gt;0,'Data Entry'!N307,'Data Entry'!O307)</f>
        <v>0</v>
      </c>
      <c r="D307" s="47">
        <f>IF('Data Entry'!P307&gt;0,'Data Entry'!P307,'Data Entry'!Q307)</f>
        <v>0</v>
      </c>
      <c r="E307" s="46">
        <f>IF('Data Entry'!J307&gt;0,'Data Entry'!J307,'Data Entry'!K307)</f>
        <v>0</v>
      </c>
    </row>
    <row r="308" spans="1:5" x14ac:dyDescent="0.25">
      <c r="A308" s="2">
        <f>IF('Data Entry'!J308&gt;0,'Data Entry'!K308,'Data Entry'!L308)</f>
        <v>0</v>
      </c>
      <c r="B308" s="1">
        <f>IF('Data Entry'!J308&gt;0,'Data Entry'!L308,'Data Entry'!M308)</f>
        <v>0</v>
      </c>
      <c r="C308" s="1">
        <f>IF('Data Entry'!N308&gt;0,'Data Entry'!N308,'Data Entry'!O308)</f>
        <v>0</v>
      </c>
      <c r="D308" s="47">
        <f>IF('Data Entry'!P308&gt;0,'Data Entry'!P308,'Data Entry'!Q308)</f>
        <v>0</v>
      </c>
      <c r="E308" s="46">
        <f>IF('Data Entry'!J308&gt;0,'Data Entry'!J308,'Data Entry'!K308)</f>
        <v>0</v>
      </c>
    </row>
    <row r="309" spans="1:5" x14ac:dyDescent="0.25">
      <c r="A309" s="2">
        <f>IF('Data Entry'!J309&gt;0,'Data Entry'!K309,'Data Entry'!L309)</f>
        <v>0</v>
      </c>
      <c r="B309" s="1">
        <f>IF('Data Entry'!J309&gt;0,'Data Entry'!L309,'Data Entry'!M309)</f>
        <v>0</v>
      </c>
      <c r="C309" s="1">
        <f>IF('Data Entry'!N309&gt;0,'Data Entry'!N309,'Data Entry'!O309)</f>
        <v>0</v>
      </c>
      <c r="D309" s="47">
        <f>IF('Data Entry'!P309&gt;0,'Data Entry'!P309,'Data Entry'!Q309)</f>
        <v>0</v>
      </c>
      <c r="E309" s="46">
        <f>IF('Data Entry'!J309&gt;0,'Data Entry'!J309,'Data Entry'!K309)</f>
        <v>0</v>
      </c>
    </row>
    <row r="310" spans="1:5" x14ac:dyDescent="0.25">
      <c r="A310" s="2">
        <f>IF('Data Entry'!J310&gt;0,'Data Entry'!K310,'Data Entry'!L310)</f>
        <v>0</v>
      </c>
      <c r="B310" s="1">
        <f>IF('Data Entry'!J310&gt;0,'Data Entry'!L310,'Data Entry'!M310)</f>
        <v>0</v>
      </c>
      <c r="C310" s="1">
        <f>IF('Data Entry'!N310&gt;0,'Data Entry'!N310,'Data Entry'!O310)</f>
        <v>0</v>
      </c>
      <c r="D310" s="47">
        <f>IF('Data Entry'!P310&gt;0,'Data Entry'!P310,'Data Entry'!Q310)</f>
        <v>0</v>
      </c>
      <c r="E310" s="46">
        <f>IF('Data Entry'!J310&gt;0,'Data Entry'!J310,'Data Entry'!K310)</f>
        <v>0</v>
      </c>
    </row>
    <row r="311" spans="1:5" x14ac:dyDescent="0.25">
      <c r="A311" s="2">
        <f>IF('Data Entry'!J311&gt;0,'Data Entry'!K311,'Data Entry'!L311)</f>
        <v>0</v>
      </c>
      <c r="B311" s="1">
        <f>IF('Data Entry'!J311&gt;0,'Data Entry'!L311,'Data Entry'!M311)</f>
        <v>0</v>
      </c>
      <c r="C311" s="1">
        <f>IF('Data Entry'!N311&gt;0,'Data Entry'!N311,'Data Entry'!O311)</f>
        <v>0</v>
      </c>
      <c r="D311" s="47">
        <f>IF('Data Entry'!P311&gt;0,'Data Entry'!P311,'Data Entry'!Q311)</f>
        <v>0</v>
      </c>
      <c r="E311" s="46">
        <f>IF('Data Entry'!J311&gt;0,'Data Entry'!J311,'Data Entry'!K311)</f>
        <v>0</v>
      </c>
    </row>
    <row r="312" spans="1:5" x14ac:dyDescent="0.25">
      <c r="A312" s="2">
        <f>IF('Data Entry'!J312&gt;0,'Data Entry'!K312,'Data Entry'!L312)</f>
        <v>0</v>
      </c>
      <c r="B312" s="1">
        <f>IF('Data Entry'!J312&gt;0,'Data Entry'!L312,'Data Entry'!M312)</f>
        <v>0</v>
      </c>
      <c r="C312" s="1">
        <f>IF('Data Entry'!N312&gt;0,'Data Entry'!N312,'Data Entry'!O312)</f>
        <v>0</v>
      </c>
      <c r="D312" s="47">
        <f>IF('Data Entry'!P312&gt;0,'Data Entry'!P312,'Data Entry'!Q312)</f>
        <v>0</v>
      </c>
      <c r="E312" s="46">
        <f>IF('Data Entry'!J312&gt;0,'Data Entry'!J312,'Data Entry'!K312)</f>
        <v>0</v>
      </c>
    </row>
    <row r="313" spans="1:5" x14ac:dyDescent="0.25">
      <c r="A313" s="2">
        <f>IF('Data Entry'!J313&gt;0,'Data Entry'!K313,'Data Entry'!L313)</f>
        <v>0</v>
      </c>
      <c r="B313" s="1">
        <f>IF('Data Entry'!J313&gt;0,'Data Entry'!L313,'Data Entry'!M313)</f>
        <v>0</v>
      </c>
      <c r="C313" s="1">
        <f>IF('Data Entry'!N313&gt;0,'Data Entry'!N313,'Data Entry'!O313)</f>
        <v>0</v>
      </c>
      <c r="D313" s="47">
        <f>IF('Data Entry'!P313&gt;0,'Data Entry'!P313,'Data Entry'!Q313)</f>
        <v>0</v>
      </c>
      <c r="E313" s="46">
        <f>IF('Data Entry'!J313&gt;0,'Data Entry'!J313,'Data Entry'!K313)</f>
        <v>0</v>
      </c>
    </row>
    <row r="314" spans="1:5" x14ac:dyDescent="0.25">
      <c r="A314" s="2">
        <f>IF('Data Entry'!J314&gt;0,'Data Entry'!K314,'Data Entry'!L314)</f>
        <v>0</v>
      </c>
      <c r="B314" s="1">
        <f>IF('Data Entry'!J314&gt;0,'Data Entry'!L314,'Data Entry'!M314)</f>
        <v>0</v>
      </c>
      <c r="C314" s="1">
        <f>IF('Data Entry'!N314&gt;0,'Data Entry'!N314,'Data Entry'!O314)</f>
        <v>0</v>
      </c>
      <c r="D314" s="47">
        <f>IF('Data Entry'!P314&gt;0,'Data Entry'!P314,'Data Entry'!Q314)</f>
        <v>0</v>
      </c>
      <c r="E314" s="46">
        <f>IF('Data Entry'!J314&gt;0,'Data Entry'!J314,'Data Entry'!K314)</f>
        <v>0</v>
      </c>
    </row>
    <row r="315" spans="1:5" x14ac:dyDescent="0.25">
      <c r="A315" s="2">
        <f>IF('Data Entry'!J315&gt;0,'Data Entry'!K315,'Data Entry'!L315)</f>
        <v>0</v>
      </c>
      <c r="B315" s="1">
        <f>IF('Data Entry'!J315&gt;0,'Data Entry'!L315,'Data Entry'!M315)</f>
        <v>0</v>
      </c>
      <c r="C315" s="1">
        <f>IF('Data Entry'!N315&gt;0,'Data Entry'!N315,'Data Entry'!O315)</f>
        <v>0</v>
      </c>
      <c r="D315" s="47">
        <f>IF('Data Entry'!P315&gt;0,'Data Entry'!P315,'Data Entry'!Q315)</f>
        <v>0</v>
      </c>
      <c r="E315" s="46">
        <f>IF('Data Entry'!J315&gt;0,'Data Entry'!J315,'Data Entry'!K315)</f>
        <v>0</v>
      </c>
    </row>
    <row r="316" spans="1:5" x14ac:dyDescent="0.25">
      <c r="A316" s="2">
        <f>IF('Data Entry'!J316&gt;0,'Data Entry'!K316,'Data Entry'!L316)</f>
        <v>0</v>
      </c>
      <c r="B316" s="1">
        <f>IF('Data Entry'!J316&gt;0,'Data Entry'!L316,'Data Entry'!M316)</f>
        <v>0</v>
      </c>
      <c r="C316" s="1">
        <f>IF('Data Entry'!N316&gt;0,'Data Entry'!N316,'Data Entry'!O316)</f>
        <v>0</v>
      </c>
      <c r="D316" s="47">
        <f>IF('Data Entry'!P316&gt;0,'Data Entry'!P316,'Data Entry'!Q316)</f>
        <v>0</v>
      </c>
      <c r="E316" s="46">
        <f>IF('Data Entry'!J316&gt;0,'Data Entry'!J316,'Data Entry'!K316)</f>
        <v>0</v>
      </c>
    </row>
    <row r="317" spans="1:5" x14ac:dyDescent="0.25">
      <c r="A317" s="2">
        <f>IF('Data Entry'!J317&gt;0,'Data Entry'!K317,'Data Entry'!L317)</f>
        <v>0</v>
      </c>
      <c r="B317" s="1">
        <f>IF('Data Entry'!J317&gt;0,'Data Entry'!L317,'Data Entry'!M317)</f>
        <v>0</v>
      </c>
      <c r="C317" s="1">
        <f>IF('Data Entry'!N317&gt;0,'Data Entry'!N317,'Data Entry'!O317)</f>
        <v>0</v>
      </c>
      <c r="D317" s="47">
        <f>IF('Data Entry'!P317&gt;0,'Data Entry'!P317,'Data Entry'!Q317)</f>
        <v>0</v>
      </c>
      <c r="E317" s="46">
        <f>IF('Data Entry'!J317&gt;0,'Data Entry'!J317,'Data Entry'!K317)</f>
        <v>0</v>
      </c>
    </row>
    <row r="318" spans="1:5" x14ac:dyDescent="0.25">
      <c r="A318" s="2">
        <f>IF('Data Entry'!J318&gt;0,'Data Entry'!K318,'Data Entry'!L318)</f>
        <v>0</v>
      </c>
      <c r="B318" s="1">
        <f>IF('Data Entry'!J318&gt;0,'Data Entry'!L318,'Data Entry'!M318)</f>
        <v>0</v>
      </c>
      <c r="C318" s="1">
        <f>IF('Data Entry'!N318&gt;0,'Data Entry'!N318,'Data Entry'!O318)</f>
        <v>0</v>
      </c>
      <c r="D318" s="47">
        <f>IF('Data Entry'!P318&gt;0,'Data Entry'!P318,'Data Entry'!Q318)</f>
        <v>0</v>
      </c>
      <c r="E318" s="46">
        <f>IF('Data Entry'!J318&gt;0,'Data Entry'!J318,'Data Entry'!K318)</f>
        <v>0</v>
      </c>
    </row>
    <row r="319" spans="1:5" x14ac:dyDescent="0.25">
      <c r="A319" s="2">
        <f>IF('Data Entry'!J319&gt;0,'Data Entry'!K319,'Data Entry'!L319)</f>
        <v>0</v>
      </c>
      <c r="B319" s="1">
        <f>IF('Data Entry'!J319&gt;0,'Data Entry'!L319,'Data Entry'!M319)</f>
        <v>0</v>
      </c>
      <c r="C319" s="1">
        <f>IF('Data Entry'!N319&gt;0,'Data Entry'!N319,'Data Entry'!O319)</f>
        <v>0</v>
      </c>
      <c r="D319" s="47">
        <f>IF('Data Entry'!P319&gt;0,'Data Entry'!P319,'Data Entry'!Q319)</f>
        <v>0</v>
      </c>
      <c r="E319" s="46">
        <f>IF('Data Entry'!J319&gt;0,'Data Entry'!J319,'Data Entry'!K319)</f>
        <v>0</v>
      </c>
    </row>
    <row r="320" spans="1:5" x14ac:dyDescent="0.25">
      <c r="A320" s="2">
        <f>IF('Data Entry'!J320&gt;0,'Data Entry'!K320,'Data Entry'!L320)</f>
        <v>0</v>
      </c>
      <c r="B320" s="1">
        <f>IF('Data Entry'!J320&gt;0,'Data Entry'!L320,'Data Entry'!M320)</f>
        <v>0</v>
      </c>
      <c r="C320" s="1">
        <f>IF('Data Entry'!N320&gt;0,'Data Entry'!N320,'Data Entry'!O320)</f>
        <v>0</v>
      </c>
      <c r="D320" s="47">
        <f>IF('Data Entry'!P320&gt;0,'Data Entry'!P320,'Data Entry'!Q320)</f>
        <v>0</v>
      </c>
      <c r="E320" s="46">
        <f>IF('Data Entry'!J320&gt;0,'Data Entry'!J320,'Data Entry'!K320)</f>
        <v>0</v>
      </c>
    </row>
    <row r="321" spans="1:5" x14ac:dyDescent="0.25">
      <c r="A321" s="2">
        <f>IF('Data Entry'!J321&gt;0,'Data Entry'!K321,'Data Entry'!L321)</f>
        <v>0</v>
      </c>
      <c r="B321" s="1">
        <f>IF('Data Entry'!J321&gt;0,'Data Entry'!L321,'Data Entry'!M321)</f>
        <v>0</v>
      </c>
      <c r="C321" s="1">
        <f>IF('Data Entry'!N321&gt;0,'Data Entry'!N321,'Data Entry'!O321)</f>
        <v>0</v>
      </c>
      <c r="D321" s="47">
        <f>IF('Data Entry'!P321&gt;0,'Data Entry'!P321,'Data Entry'!Q321)</f>
        <v>0</v>
      </c>
      <c r="E321" s="46">
        <f>IF('Data Entry'!J321&gt;0,'Data Entry'!J321,'Data Entry'!K321)</f>
        <v>0</v>
      </c>
    </row>
    <row r="322" spans="1:5" x14ac:dyDescent="0.25">
      <c r="A322" s="2">
        <f>IF('Data Entry'!J322&gt;0,'Data Entry'!K322,'Data Entry'!L322)</f>
        <v>0</v>
      </c>
      <c r="B322" s="1">
        <f>IF('Data Entry'!J322&gt;0,'Data Entry'!L322,'Data Entry'!M322)</f>
        <v>0</v>
      </c>
      <c r="C322" s="1">
        <f>IF('Data Entry'!N322&gt;0,'Data Entry'!N322,'Data Entry'!O322)</f>
        <v>0</v>
      </c>
      <c r="D322" s="47">
        <f>IF('Data Entry'!P322&gt;0,'Data Entry'!P322,'Data Entry'!Q322)</f>
        <v>0</v>
      </c>
      <c r="E322" s="46">
        <f>IF('Data Entry'!J322&gt;0,'Data Entry'!J322,'Data Entry'!K322)</f>
        <v>0</v>
      </c>
    </row>
    <row r="323" spans="1:5" x14ac:dyDescent="0.25">
      <c r="A323" s="2">
        <f>IF('Data Entry'!J323&gt;0,'Data Entry'!K323,'Data Entry'!L323)</f>
        <v>0</v>
      </c>
      <c r="B323" s="1">
        <f>IF('Data Entry'!J323&gt;0,'Data Entry'!L323,'Data Entry'!M323)</f>
        <v>0</v>
      </c>
      <c r="C323" s="1">
        <f>IF('Data Entry'!N323&gt;0,'Data Entry'!N323,'Data Entry'!O323)</f>
        <v>0</v>
      </c>
      <c r="D323" s="47">
        <f>IF('Data Entry'!P323&gt;0,'Data Entry'!P323,'Data Entry'!Q323)</f>
        <v>0</v>
      </c>
      <c r="E323" s="46">
        <f>IF('Data Entry'!J323&gt;0,'Data Entry'!J323,'Data Entry'!K323)</f>
        <v>0</v>
      </c>
    </row>
    <row r="324" spans="1:5" x14ac:dyDescent="0.25">
      <c r="A324" s="2">
        <f>IF('Data Entry'!J324&gt;0,'Data Entry'!K324,'Data Entry'!L324)</f>
        <v>0</v>
      </c>
      <c r="B324" s="1">
        <f>IF('Data Entry'!J324&gt;0,'Data Entry'!L324,'Data Entry'!M324)</f>
        <v>0</v>
      </c>
      <c r="C324" s="1">
        <f>IF('Data Entry'!N324&gt;0,'Data Entry'!N324,'Data Entry'!O324)</f>
        <v>0</v>
      </c>
      <c r="D324" s="47">
        <f>IF('Data Entry'!P324&gt;0,'Data Entry'!P324,'Data Entry'!Q324)</f>
        <v>0</v>
      </c>
      <c r="E324" s="46">
        <f>IF('Data Entry'!J324&gt;0,'Data Entry'!J324,'Data Entry'!K324)</f>
        <v>0</v>
      </c>
    </row>
    <row r="325" spans="1:5" x14ac:dyDescent="0.25">
      <c r="A325" s="2">
        <f>IF('Data Entry'!J325&gt;0,'Data Entry'!K325,'Data Entry'!L325)</f>
        <v>0</v>
      </c>
      <c r="B325" s="1">
        <f>IF('Data Entry'!J325&gt;0,'Data Entry'!L325,'Data Entry'!M325)</f>
        <v>0</v>
      </c>
      <c r="C325" s="1">
        <f>IF('Data Entry'!N325&gt;0,'Data Entry'!N325,'Data Entry'!O325)</f>
        <v>0</v>
      </c>
      <c r="D325" s="47">
        <f>IF('Data Entry'!P325&gt;0,'Data Entry'!P325,'Data Entry'!Q325)</f>
        <v>0</v>
      </c>
      <c r="E325" s="46">
        <f>IF('Data Entry'!J325&gt;0,'Data Entry'!J325,'Data Entry'!K325)</f>
        <v>0</v>
      </c>
    </row>
    <row r="326" spans="1:5" x14ac:dyDescent="0.25">
      <c r="A326" s="2">
        <f>IF('Data Entry'!J326&gt;0,'Data Entry'!K326,'Data Entry'!L326)</f>
        <v>0</v>
      </c>
      <c r="B326" s="1">
        <f>IF('Data Entry'!J326&gt;0,'Data Entry'!L326,'Data Entry'!M326)</f>
        <v>0</v>
      </c>
      <c r="C326" s="1">
        <f>IF('Data Entry'!N326&gt;0,'Data Entry'!N326,'Data Entry'!O326)</f>
        <v>0</v>
      </c>
      <c r="D326" s="47">
        <f>IF('Data Entry'!P326&gt;0,'Data Entry'!P326,'Data Entry'!Q326)</f>
        <v>0</v>
      </c>
      <c r="E326" s="46">
        <f>IF('Data Entry'!J326&gt;0,'Data Entry'!J326,'Data Entry'!K326)</f>
        <v>0</v>
      </c>
    </row>
    <row r="327" spans="1:5" x14ac:dyDescent="0.25">
      <c r="A327" s="2">
        <f>IF('Data Entry'!J327&gt;0,'Data Entry'!K327,'Data Entry'!L327)</f>
        <v>0</v>
      </c>
      <c r="B327" s="1">
        <f>IF('Data Entry'!J327&gt;0,'Data Entry'!L327,'Data Entry'!M327)</f>
        <v>0</v>
      </c>
      <c r="C327" s="1">
        <f>IF('Data Entry'!N327&gt;0,'Data Entry'!N327,'Data Entry'!O327)</f>
        <v>0</v>
      </c>
      <c r="D327" s="47">
        <f>IF('Data Entry'!P327&gt;0,'Data Entry'!P327,'Data Entry'!Q327)</f>
        <v>0</v>
      </c>
      <c r="E327" s="46">
        <f>IF('Data Entry'!J327&gt;0,'Data Entry'!J327,'Data Entry'!K327)</f>
        <v>0</v>
      </c>
    </row>
    <row r="328" spans="1:5" x14ac:dyDescent="0.25">
      <c r="A328" s="2">
        <f>IF('Data Entry'!J328&gt;0,'Data Entry'!K328,'Data Entry'!L328)</f>
        <v>0</v>
      </c>
      <c r="B328" s="1">
        <f>IF('Data Entry'!J328&gt;0,'Data Entry'!L328,'Data Entry'!M328)</f>
        <v>0</v>
      </c>
      <c r="C328" s="1">
        <f>IF('Data Entry'!N328&gt;0,'Data Entry'!N328,'Data Entry'!O328)</f>
        <v>0</v>
      </c>
      <c r="D328" s="47">
        <f>IF('Data Entry'!P328&gt;0,'Data Entry'!P328,'Data Entry'!Q328)</f>
        <v>0</v>
      </c>
      <c r="E328" s="46">
        <f>IF('Data Entry'!J328&gt;0,'Data Entry'!J328,'Data Entry'!K328)</f>
        <v>0</v>
      </c>
    </row>
    <row r="329" spans="1:5" x14ac:dyDescent="0.25">
      <c r="A329" s="2">
        <f>IF('Data Entry'!J329&gt;0,'Data Entry'!K329,'Data Entry'!L329)</f>
        <v>0</v>
      </c>
      <c r="B329" s="1">
        <f>IF('Data Entry'!J329&gt;0,'Data Entry'!L329,'Data Entry'!M329)</f>
        <v>0</v>
      </c>
      <c r="C329" s="1">
        <f>IF('Data Entry'!N329&gt;0,'Data Entry'!N329,'Data Entry'!O329)</f>
        <v>0</v>
      </c>
      <c r="D329" s="47">
        <f>IF('Data Entry'!P329&gt;0,'Data Entry'!P329,'Data Entry'!Q329)</f>
        <v>0</v>
      </c>
      <c r="E329" s="46">
        <f>IF('Data Entry'!J329&gt;0,'Data Entry'!J329,'Data Entry'!K329)</f>
        <v>0</v>
      </c>
    </row>
    <row r="330" spans="1:5" x14ac:dyDescent="0.25">
      <c r="A330" s="2">
        <f>IF('Data Entry'!J330&gt;0,'Data Entry'!K330,'Data Entry'!L330)</f>
        <v>0</v>
      </c>
      <c r="B330" s="1">
        <f>IF('Data Entry'!J330&gt;0,'Data Entry'!L330,'Data Entry'!M330)</f>
        <v>0</v>
      </c>
      <c r="C330" s="1">
        <f>IF('Data Entry'!N330&gt;0,'Data Entry'!N330,'Data Entry'!O330)</f>
        <v>0</v>
      </c>
      <c r="D330" s="47">
        <f>IF('Data Entry'!P330&gt;0,'Data Entry'!P330,'Data Entry'!Q330)</f>
        <v>0</v>
      </c>
      <c r="E330" s="46">
        <f>IF('Data Entry'!J330&gt;0,'Data Entry'!J330,'Data Entry'!K330)</f>
        <v>0</v>
      </c>
    </row>
    <row r="331" spans="1:5" x14ac:dyDescent="0.25">
      <c r="A331" s="2">
        <f>IF('Data Entry'!J331&gt;0,'Data Entry'!K331,'Data Entry'!L331)</f>
        <v>0</v>
      </c>
      <c r="B331" s="1">
        <f>IF('Data Entry'!J331&gt;0,'Data Entry'!L331,'Data Entry'!M331)</f>
        <v>0</v>
      </c>
      <c r="C331" s="1">
        <f>IF('Data Entry'!N331&gt;0,'Data Entry'!N331,'Data Entry'!O331)</f>
        <v>0</v>
      </c>
      <c r="D331" s="47">
        <f>IF('Data Entry'!P331&gt;0,'Data Entry'!P331,'Data Entry'!Q331)</f>
        <v>0</v>
      </c>
      <c r="E331" s="46">
        <f>IF('Data Entry'!J331&gt;0,'Data Entry'!J331,'Data Entry'!K331)</f>
        <v>0</v>
      </c>
    </row>
    <row r="332" spans="1:5" x14ac:dyDescent="0.25">
      <c r="A332" s="2">
        <f>IF('Data Entry'!J332&gt;0,'Data Entry'!K332,'Data Entry'!L332)</f>
        <v>0</v>
      </c>
      <c r="B332" s="1">
        <f>IF('Data Entry'!J332&gt;0,'Data Entry'!L332,'Data Entry'!M332)</f>
        <v>0</v>
      </c>
      <c r="C332" s="1">
        <f>IF('Data Entry'!N332&gt;0,'Data Entry'!N332,'Data Entry'!O332)</f>
        <v>0</v>
      </c>
      <c r="D332" s="47">
        <f>IF('Data Entry'!P332&gt;0,'Data Entry'!P332,'Data Entry'!Q332)</f>
        <v>0</v>
      </c>
      <c r="E332" s="46">
        <f>IF('Data Entry'!J332&gt;0,'Data Entry'!J332,'Data Entry'!K332)</f>
        <v>0</v>
      </c>
    </row>
    <row r="333" spans="1:5" x14ac:dyDescent="0.25">
      <c r="A333" s="2">
        <f>IF('Data Entry'!J333&gt;0,'Data Entry'!K333,'Data Entry'!L333)</f>
        <v>0</v>
      </c>
      <c r="B333" s="1">
        <f>IF('Data Entry'!J333&gt;0,'Data Entry'!L333,'Data Entry'!M333)</f>
        <v>0</v>
      </c>
      <c r="C333" s="1">
        <f>IF('Data Entry'!N333&gt;0,'Data Entry'!N333,'Data Entry'!O333)</f>
        <v>0</v>
      </c>
      <c r="D333" s="47">
        <f>IF('Data Entry'!P333&gt;0,'Data Entry'!P333,'Data Entry'!Q333)</f>
        <v>0</v>
      </c>
      <c r="E333" s="46">
        <f>IF('Data Entry'!J333&gt;0,'Data Entry'!J333,'Data Entry'!K333)</f>
        <v>0</v>
      </c>
    </row>
    <row r="334" spans="1:5" x14ac:dyDescent="0.25">
      <c r="A334" s="2">
        <f>IF('Data Entry'!J334&gt;0,'Data Entry'!K334,'Data Entry'!L334)</f>
        <v>0</v>
      </c>
      <c r="B334" s="1">
        <f>IF('Data Entry'!J334&gt;0,'Data Entry'!L334,'Data Entry'!M334)</f>
        <v>0</v>
      </c>
      <c r="C334" s="1">
        <f>IF('Data Entry'!N334&gt;0,'Data Entry'!N334,'Data Entry'!O334)</f>
        <v>0</v>
      </c>
      <c r="D334" s="47">
        <f>IF('Data Entry'!P334&gt;0,'Data Entry'!P334,'Data Entry'!Q334)</f>
        <v>0</v>
      </c>
      <c r="E334" s="46">
        <f>IF('Data Entry'!J334&gt;0,'Data Entry'!J334,'Data Entry'!K334)</f>
        <v>0</v>
      </c>
    </row>
    <row r="335" spans="1:5" x14ac:dyDescent="0.25">
      <c r="A335" s="2">
        <f>IF('Data Entry'!J335&gt;0,'Data Entry'!K335,'Data Entry'!L335)</f>
        <v>0</v>
      </c>
      <c r="B335" s="1">
        <f>IF('Data Entry'!J335&gt;0,'Data Entry'!L335,'Data Entry'!M335)</f>
        <v>0</v>
      </c>
      <c r="C335" s="1">
        <f>IF('Data Entry'!N335&gt;0,'Data Entry'!N335,'Data Entry'!O335)</f>
        <v>0</v>
      </c>
      <c r="D335" s="47">
        <f>IF('Data Entry'!P335&gt;0,'Data Entry'!P335,'Data Entry'!Q335)</f>
        <v>0</v>
      </c>
      <c r="E335" s="46">
        <f>IF('Data Entry'!J335&gt;0,'Data Entry'!J335,'Data Entry'!K335)</f>
        <v>0</v>
      </c>
    </row>
    <row r="336" spans="1:5" x14ac:dyDescent="0.25">
      <c r="A336" s="2">
        <f>IF('Data Entry'!J336&gt;0,'Data Entry'!K336,'Data Entry'!L336)</f>
        <v>0</v>
      </c>
      <c r="B336" s="1">
        <f>IF('Data Entry'!J336&gt;0,'Data Entry'!L336,'Data Entry'!M336)</f>
        <v>0</v>
      </c>
      <c r="C336" s="1">
        <f>IF('Data Entry'!N336&gt;0,'Data Entry'!N336,'Data Entry'!O336)</f>
        <v>0</v>
      </c>
      <c r="D336" s="47">
        <f>IF('Data Entry'!P336&gt;0,'Data Entry'!P336,'Data Entry'!Q336)</f>
        <v>0</v>
      </c>
      <c r="E336" s="46">
        <f>IF('Data Entry'!J336&gt;0,'Data Entry'!J336,'Data Entry'!K336)</f>
        <v>0</v>
      </c>
    </row>
    <row r="337" spans="1:5" x14ac:dyDescent="0.25">
      <c r="A337" s="2">
        <f>IF('Data Entry'!J337&gt;0,'Data Entry'!K337,'Data Entry'!L337)</f>
        <v>0</v>
      </c>
      <c r="B337" s="1">
        <f>IF('Data Entry'!J337&gt;0,'Data Entry'!L337,'Data Entry'!M337)</f>
        <v>0</v>
      </c>
      <c r="C337" s="1">
        <f>IF('Data Entry'!N337&gt;0,'Data Entry'!N337,'Data Entry'!O337)</f>
        <v>0</v>
      </c>
      <c r="D337" s="47">
        <f>IF('Data Entry'!P337&gt;0,'Data Entry'!P337,'Data Entry'!Q337)</f>
        <v>0</v>
      </c>
      <c r="E337" s="46">
        <f>IF('Data Entry'!J337&gt;0,'Data Entry'!J337,'Data Entry'!K337)</f>
        <v>0</v>
      </c>
    </row>
    <row r="338" spans="1:5" x14ac:dyDescent="0.25">
      <c r="A338" s="2">
        <f>IF('Data Entry'!J338&gt;0,'Data Entry'!K338,'Data Entry'!L338)</f>
        <v>0</v>
      </c>
      <c r="B338" s="1">
        <f>IF('Data Entry'!J338&gt;0,'Data Entry'!L338,'Data Entry'!M338)</f>
        <v>0</v>
      </c>
      <c r="C338" s="1">
        <f>IF('Data Entry'!N338&gt;0,'Data Entry'!N338,'Data Entry'!O338)</f>
        <v>0</v>
      </c>
      <c r="D338" s="47">
        <f>IF('Data Entry'!P338&gt;0,'Data Entry'!P338,'Data Entry'!Q338)</f>
        <v>0</v>
      </c>
      <c r="E338" s="46">
        <f>IF('Data Entry'!J338&gt;0,'Data Entry'!J338,'Data Entry'!K338)</f>
        <v>0</v>
      </c>
    </row>
    <row r="339" spans="1:5" x14ac:dyDescent="0.25">
      <c r="A339" s="2">
        <f>IF('Data Entry'!J339&gt;0,'Data Entry'!K339,'Data Entry'!L339)</f>
        <v>0</v>
      </c>
      <c r="B339" s="1">
        <f>IF('Data Entry'!J339&gt;0,'Data Entry'!L339,'Data Entry'!M339)</f>
        <v>0</v>
      </c>
      <c r="C339" s="1">
        <f>IF('Data Entry'!N339&gt;0,'Data Entry'!N339,'Data Entry'!O339)</f>
        <v>0</v>
      </c>
      <c r="D339" s="47">
        <f>IF('Data Entry'!P339&gt;0,'Data Entry'!P339,'Data Entry'!Q339)</f>
        <v>0</v>
      </c>
      <c r="E339" s="46">
        <f>IF('Data Entry'!J339&gt;0,'Data Entry'!J339,'Data Entry'!K339)</f>
        <v>0</v>
      </c>
    </row>
    <row r="340" spans="1:5" x14ac:dyDescent="0.25">
      <c r="A340" s="2">
        <f>IF('Data Entry'!J340&gt;0,'Data Entry'!K340,'Data Entry'!L340)</f>
        <v>0</v>
      </c>
      <c r="B340" s="1">
        <f>IF('Data Entry'!J340&gt;0,'Data Entry'!L340,'Data Entry'!M340)</f>
        <v>0</v>
      </c>
      <c r="C340" s="1">
        <f>IF('Data Entry'!N340&gt;0,'Data Entry'!N340,'Data Entry'!O340)</f>
        <v>0</v>
      </c>
      <c r="D340" s="47">
        <f>IF('Data Entry'!P340&gt;0,'Data Entry'!P340,'Data Entry'!Q340)</f>
        <v>0</v>
      </c>
      <c r="E340" s="46">
        <f>IF('Data Entry'!J340&gt;0,'Data Entry'!J340,'Data Entry'!K340)</f>
        <v>0</v>
      </c>
    </row>
    <row r="341" spans="1:5" x14ac:dyDescent="0.25">
      <c r="A341" s="2">
        <f>IF('Data Entry'!J341&gt;0,'Data Entry'!K341,'Data Entry'!L341)</f>
        <v>0</v>
      </c>
      <c r="B341" s="1">
        <f>IF('Data Entry'!J341&gt;0,'Data Entry'!L341,'Data Entry'!M341)</f>
        <v>0</v>
      </c>
      <c r="C341" s="1">
        <f>IF('Data Entry'!N341&gt;0,'Data Entry'!N341,'Data Entry'!O341)</f>
        <v>0</v>
      </c>
      <c r="D341" s="47">
        <f>IF('Data Entry'!P341&gt;0,'Data Entry'!P341,'Data Entry'!Q341)</f>
        <v>0</v>
      </c>
      <c r="E341" s="46">
        <f>IF('Data Entry'!J341&gt;0,'Data Entry'!J341,'Data Entry'!K341)</f>
        <v>0</v>
      </c>
    </row>
    <row r="342" spans="1:5" x14ac:dyDescent="0.25">
      <c r="A342" s="2">
        <f>IF('Data Entry'!J342&gt;0,'Data Entry'!K342,'Data Entry'!L342)</f>
        <v>0</v>
      </c>
      <c r="B342" s="1">
        <f>IF('Data Entry'!J342&gt;0,'Data Entry'!L342,'Data Entry'!M342)</f>
        <v>0</v>
      </c>
      <c r="C342" s="1">
        <f>IF('Data Entry'!N342&gt;0,'Data Entry'!N342,'Data Entry'!O342)</f>
        <v>0</v>
      </c>
      <c r="D342" s="47">
        <f>IF('Data Entry'!P342&gt;0,'Data Entry'!P342,'Data Entry'!Q342)</f>
        <v>0</v>
      </c>
      <c r="E342" s="46">
        <f>IF('Data Entry'!J342&gt;0,'Data Entry'!J342,'Data Entry'!K342)</f>
        <v>0</v>
      </c>
    </row>
    <row r="343" spans="1:5" x14ac:dyDescent="0.25">
      <c r="A343" s="2">
        <f>IF('Data Entry'!J343&gt;0,'Data Entry'!K343,'Data Entry'!L343)</f>
        <v>0</v>
      </c>
      <c r="B343" s="1">
        <f>IF('Data Entry'!J343&gt;0,'Data Entry'!L343,'Data Entry'!M343)</f>
        <v>0</v>
      </c>
      <c r="C343" s="1">
        <f>IF('Data Entry'!N343&gt;0,'Data Entry'!N343,'Data Entry'!O343)</f>
        <v>0</v>
      </c>
      <c r="D343" s="47">
        <f>IF('Data Entry'!P343&gt;0,'Data Entry'!P343,'Data Entry'!Q343)</f>
        <v>0</v>
      </c>
      <c r="E343" s="46">
        <f>IF('Data Entry'!J343&gt;0,'Data Entry'!J343,'Data Entry'!K343)</f>
        <v>0</v>
      </c>
    </row>
    <row r="344" spans="1:5" x14ac:dyDescent="0.25">
      <c r="A344" s="2">
        <f>IF('Data Entry'!J344&gt;0,'Data Entry'!K344,'Data Entry'!L344)</f>
        <v>0</v>
      </c>
      <c r="B344" s="1">
        <f>IF('Data Entry'!J344&gt;0,'Data Entry'!L344,'Data Entry'!M344)</f>
        <v>0</v>
      </c>
      <c r="C344" s="1">
        <f>IF('Data Entry'!N344&gt;0,'Data Entry'!N344,'Data Entry'!O344)</f>
        <v>0</v>
      </c>
      <c r="D344" s="47">
        <f>IF('Data Entry'!P344&gt;0,'Data Entry'!P344,'Data Entry'!Q344)</f>
        <v>0</v>
      </c>
      <c r="E344" s="46">
        <f>IF('Data Entry'!J344&gt;0,'Data Entry'!J344,'Data Entry'!K344)</f>
        <v>0</v>
      </c>
    </row>
    <row r="345" spans="1:5" x14ac:dyDescent="0.25">
      <c r="A345" s="2">
        <f>IF('Data Entry'!J345&gt;0,'Data Entry'!K345,'Data Entry'!L345)</f>
        <v>0</v>
      </c>
      <c r="B345" s="1">
        <f>IF('Data Entry'!J345&gt;0,'Data Entry'!L345,'Data Entry'!M345)</f>
        <v>0</v>
      </c>
      <c r="C345" s="1">
        <f>IF('Data Entry'!N345&gt;0,'Data Entry'!N345,'Data Entry'!O345)</f>
        <v>0</v>
      </c>
      <c r="D345" s="47">
        <f>IF('Data Entry'!P345&gt;0,'Data Entry'!P345,'Data Entry'!Q345)</f>
        <v>0</v>
      </c>
      <c r="E345" s="46">
        <f>IF('Data Entry'!J345&gt;0,'Data Entry'!J345,'Data Entry'!K345)</f>
        <v>0</v>
      </c>
    </row>
    <row r="346" spans="1:5" x14ac:dyDescent="0.25">
      <c r="A346" s="2">
        <f>IF('Data Entry'!J346&gt;0,'Data Entry'!K346,'Data Entry'!L346)</f>
        <v>0</v>
      </c>
      <c r="B346" s="1">
        <f>IF('Data Entry'!J346&gt;0,'Data Entry'!L346,'Data Entry'!M346)</f>
        <v>0</v>
      </c>
      <c r="C346" s="1">
        <f>IF('Data Entry'!N346&gt;0,'Data Entry'!N346,'Data Entry'!O346)</f>
        <v>0</v>
      </c>
      <c r="D346" s="47">
        <f>IF('Data Entry'!P346&gt;0,'Data Entry'!P346,'Data Entry'!Q346)</f>
        <v>0</v>
      </c>
      <c r="E346" s="46">
        <f>IF('Data Entry'!J346&gt;0,'Data Entry'!J346,'Data Entry'!K346)</f>
        <v>0</v>
      </c>
    </row>
    <row r="347" spans="1:5" x14ac:dyDescent="0.25">
      <c r="A347" s="2">
        <f>IF('Data Entry'!J347&gt;0,'Data Entry'!K347,'Data Entry'!L347)</f>
        <v>0</v>
      </c>
      <c r="B347" s="1">
        <f>IF('Data Entry'!J347&gt;0,'Data Entry'!L347,'Data Entry'!M347)</f>
        <v>0</v>
      </c>
      <c r="C347" s="1">
        <f>IF('Data Entry'!N347&gt;0,'Data Entry'!N347,'Data Entry'!O347)</f>
        <v>0</v>
      </c>
      <c r="D347" s="47">
        <f>IF('Data Entry'!P347&gt;0,'Data Entry'!P347,'Data Entry'!Q347)</f>
        <v>0</v>
      </c>
      <c r="E347" s="46">
        <f>IF('Data Entry'!J347&gt;0,'Data Entry'!J347,'Data Entry'!K347)</f>
        <v>0</v>
      </c>
    </row>
    <row r="348" spans="1:5" x14ac:dyDescent="0.25">
      <c r="A348" s="2">
        <f>IF('Data Entry'!J348&gt;0,'Data Entry'!K348,'Data Entry'!L348)</f>
        <v>0</v>
      </c>
      <c r="B348" s="1">
        <f>IF('Data Entry'!J348&gt;0,'Data Entry'!L348,'Data Entry'!M348)</f>
        <v>0</v>
      </c>
      <c r="C348" s="1">
        <f>IF('Data Entry'!N348&gt;0,'Data Entry'!N348,'Data Entry'!O348)</f>
        <v>0</v>
      </c>
      <c r="D348" s="47">
        <f>IF('Data Entry'!P348&gt;0,'Data Entry'!P348,'Data Entry'!Q348)</f>
        <v>0</v>
      </c>
      <c r="E348" s="46">
        <f>IF('Data Entry'!J348&gt;0,'Data Entry'!J348,'Data Entry'!K348)</f>
        <v>0</v>
      </c>
    </row>
    <row r="349" spans="1:5" x14ac:dyDescent="0.25">
      <c r="A349" s="2">
        <f>IF('Data Entry'!J349&gt;0,'Data Entry'!K349,'Data Entry'!L349)</f>
        <v>0</v>
      </c>
      <c r="B349" s="1">
        <f>IF('Data Entry'!J349&gt;0,'Data Entry'!L349,'Data Entry'!M349)</f>
        <v>0</v>
      </c>
      <c r="C349" s="1">
        <f>IF('Data Entry'!N349&gt;0,'Data Entry'!N349,'Data Entry'!O349)</f>
        <v>0</v>
      </c>
      <c r="D349" s="47">
        <f>IF('Data Entry'!P349&gt;0,'Data Entry'!P349,'Data Entry'!Q349)</f>
        <v>0</v>
      </c>
      <c r="E349" s="46">
        <f>IF('Data Entry'!J349&gt;0,'Data Entry'!J349,'Data Entry'!K349)</f>
        <v>0</v>
      </c>
    </row>
    <row r="350" spans="1:5" x14ac:dyDescent="0.25">
      <c r="A350" s="2">
        <f>IF('Data Entry'!J350&gt;0,'Data Entry'!K350,'Data Entry'!L350)</f>
        <v>0</v>
      </c>
      <c r="B350" s="1">
        <f>IF('Data Entry'!J350&gt;0,'Data Entry'!L350,'Data Entry'!M350)</f>
        <v>0</v>
      </c>
      <c r="C350" s="1">
        <f>IF('Data Entry'!N350&gt;0,'Data Entry'!N350,'Data Entry'!O350)</f>
        <v>0</v>
      </c>
      <c r="D350" s="47">
        <f>IF('Data Entry'!P350&gt;0,'Data Entry'!P350,'Data Entry'!Q350)</f>
        <v>0</v>
      </c>
      <c r="E350" s="46">
        <f>IF('Data Entry'!J350&gt;0,'Data Entry'!J350,'Data Entry'!K350)</f>
        <v>0</v>
      </c>
    </row>
    <row r="351" spans="1:5" x14ac:dyDescent="0.25">
      <c r="A351" s="2">
        <f>IF('Data Entry'!J351&gt;0,'Data Entry'!K351,'Data Entry'!L351)</f>
        <v>0</v>
      </c>
      <c r="B351" s="1">
        <f>IF('Data Entry'!J351&gt;0,'Data Entry'!L351,'Data Entry'!M351)</f>
        <v>0</v>
      </c>
      <c r="C351" s="1">
        <f>IF('Data Entry'!N351&gt;0,'Data Entry'!N351,'Data Entry'!O351)</f>
        <v>0</v>
      </c>
      <c r="D351" s="47">
        <f>IF('Data Entry'!P351&gt;0,'Data Entry'!P351,'Data Entry'!Q351)</f>
        <v>0</v>
      </c>
      <c r="E351" s="46">
        <f>IF('Data Entry'!J351&gt;0,'Data Entry'!J351,'Data Entry'!K351)</f>
        <v>0</v>
      </c>
    </row>
    <row r="352" spans="1:5" x14ac:dyDescent="0.25">
      <c r="A352" s="2">
        <f>IF('Data Entry'!J352&gt;0,'Data Entry'!K352,'Data Entry'!L352)</f>
        <v>0</v>
      </c>
      <c r="B352" s="1">
        <f>IF('Data Entry'!J352&gt;0,'Data Entry'!L352,'Data Entry'!M352)</f>
        <v>0</v>
      </c>
      <c r="C352" s="1">
        <f>IF('Data Entry'!N352&gt;0,'Data Entry'!N352,'Data Entry'!O352)</f>
        <v>0</v>
      </c>
      <c r="D352" s="47">
        <f>IF('Data Entry'!P352&gt;0,'Data Entry'!P352,'Data Entry'!Q352)</f>
        <v>0</v>
      </c>
      <c r="E352" s="46">
        <f>IF('Data Entry'!J352&gt;0,'Data Entry'!J352,'Data Entry'!K352)</f>
        <v>0</v>
      </c>
    </row>
    <row r="353" spans="1:5" x14ac:dyDescent="0.25">
      <c r="A353" s="2">
        <f>IF('Data Entry'!J353&gt;0,'Data Entry'!K353,'Data Entry'!L353)</f>
        <v>0</v>
      </c>
      <c r="B353" s="1">
        <f>IF('Data Entry'!J353&gt;0,'Data Entry'!L353,'Data Entry'!M353)</f>
        <v>0</v>
      </c>
      <c r="C353" s="1">
        <f>IF('Data Entry'!N353&gt;0,'Data Entry'!N353,'Data Entry'!O353)</f>
        <v>0</v>
      </c>
      <c r="D353" s="47">
        <f>IF('Data Entry'!P353&gt;0,'Data Entry'!P353,'Data Entry'!Q353)</f>
        <v>0</v>
      </c>
      <c r="E353" s="46">
        <f>IF('Data Entry'!J353&gt;0,'Data Entry'!J353,'Data Entry'!K353)</f>
        <v>0</v>
      </c>
    </row>
    <row r="354" spans="1:5" x14ac:dyDescent="0.25">
      <c r="A354" s="2">
        <f>IF('Data Entry'!J354&gt;0,'Data Entry'!K354,'Data Entry'!L354)</f>
        <v>0</v>
      </c>
      <c r="B354" s="1">
        <f>IF('Data Entry'!J354&gt;0,'Data Entry'!L354,'Data Entry'!M354)</f>
        <v>0</v>
      </c>
      <c r="C354" s="1">
        <f>IF('Data Entry'!N354&gt;0,'Data Entry'!N354,'Data Entry'!O354)</f>
        <v>0</v>
      </c>
      <c r="D354" s="47">
        <f>IF('Data Entry'!P354&gt;0,'Data Entry'!P354,'Data Entry'!Q354)</f>
        <v>0</v>
      </c>
      <c r="E354" s="46">
        <f>IF('Data Entry'!J354&gt;0,'Data Entry'!J354,'Data Entry'!K354)</f>
        <v>0</v>
      </c>
    </row>
    <row r="355" spans="1:5" x14ac:dyDescent="0.25">
      <c r="A355" s="2">
        <f>IF('Data Entry'!J355&gt;0,'Data Entry'!K355,'Data Entry'!L355)</f>
        <v>0</v>
      </c>
      <c r="B355" s="1">
        <f>IF('Data Entry'!J355&gt;0,'Data Entry'!L355,'Data Entry'!M355)</f>
        <v>0</v>
      </c>
      <c r="C355" s="1">
        <f>IF('Data Entry'!N355&gt;0,'Data Entry'!N355,'Data Entry'!O355)</f>
        <v>0</v>
      </c>
      <c r="D355" s="47">
        <f>IF('Data Entry'!P355&gt;0,'Data Entry'!P355,'Data Entry'!Q355)</f>
        <v>0</v>
      </c>
      <c r="E355" s="46">
        <f>IF('Data Entry'!J355&gt;0,'Data Entry'!J355,'Data Entry'!K355)</f>
        <v>0</v>
      </c>
    </row>
    <row r="356" spans="1:5" x14ac:dyDescent="0.25">
      <c r="A356" s="2">
        <f>IF('Data Entry'!J356&gt;0,'Data Entry'!K356,'Data Entry'!L356)</f>
        <v>0</v>
      </c>
      <c r="B356" s="1">
        <f>IF('Data Entry'!J356&gt;0,'Data Entry'!L356,'Data Entry'!M356)</f>
        <v>0</v>
      </c>
      <c r="C356" s="1">
        <f>IF('Data Entry'!N356&gt;0,'Data Entry'!N356,'Data Entry'!O356)</f>
        <v>0</v>
      </c>
      <c r="D356" s="47">
        <f>IF('Data Entry'!P356&gt;0,'Data Entry'!P356,'Data Entry'!Q356)</f>
        <v>0</v>
      </c>
      <c r="E356" s="46">
        <f>IF('Data Entry'!J356&gt;0,'Data Entry'!J356,'Data Entry'!K356)</f>
        <v>0</v>
      </c>
    </row>
    <row r="357" spans="1:5" x14ac:dyDescent="0.25">
      <c r="A357" s="2">
        <f>IF('Data Entry'!J357&gt;0,'Data Entry'!K357,'Data Entry'!L357)</f>
        <v>0</v>
      </c>
      <c r="B357" s="1">
        <f>IF('Data Entry'!J357&gt;0,'Data Entry'!L357,'Data Entry'!M357)</f>
        <v>0</v>
      </c>
      <c r="C357" s="1">
        <f>IF('Data Entry'!N357&gt;0,'Data Entry'!N357,'Data Entry'!O357)</f>
        <v>0</v>
      </c>
      <c r="D357" s="47">
        <f>IF('Data Entry'!P357&gt;0,'Data Entry'!P357,'Data Entry'!Q357)</f>
        <v>0</v>
      </c>
      <c r="E357" s="46">
        <f>IF('Data Entry'!J357&gt;0,'Data Entry'!J357,'Data Entry'!K357)</f>
        <v>0</v>
      </c>
    </row>
    <row r="358" spans="1:5" x14ac:dyDescent="0.25">
      <c r="A358" s="2">
        <f>IF('Data Entry'!J358&gt;0,'Data Entry'!K358,'Data Entry'!L358)</f>
        <v>0</v>
      </c>
      <c r="B358" s="1">
        <f>IF('Data Entry'!J358&gt;0,'Data Entry'!L358,'Data Entry'!M358)</f>
        <v>0</v>
      </c>
      <c r="C358" s="1">
        <f>IF('Data Entry'!N358&gt;0,'Data Entry'!N358,'Data Entry'!O358)</f>
        <v>0</v>
      </c>
      <c r="D358" s="47">
        <f>IF('Data Entry'!P358&gt;0,'Data Entry'!P358,'Data Entry'!Q358)</f>
        <v>0</v>
      </c>
      <c r="E358" s="46">
        <f>IF('Data Entry'!J358&gt;0,'Data Entry'!J358,'Data Entry'!K358)</f>
        <v>0</v>
      </c>
    </row>
    <row r="359" spans="1:5" x14ac:dyDescent="0.25">
      <c r="A359" s="2">
        <f>IF('Data Entry'!J359&gt;0,'Data Entry'!K359,'Data Entry'!L359)</f>
        <v>0</v>
      </c>
      <c r="B359" s="1">
        <f>IF('Data Entry'!J359&gt;0,'Data Entry'!L359,'Data Entry'!M359)</f>
        <v>0</v>
      </c>
      <c r="C359" s="1">
        <f>IF('Data Entry'!N359&gt;0,'Data Entry'!N359,'Data Entry'!O359)</f>
        <v>0</v>
      </c>
      <c r="D359" s="47">
        <f>IF('Data Entry'!P359&gt;0,'Data Entry'!P359,'Data Entry'!Q359)</f>
        <v>0</v>
      </c>
      <c r="E359" s="46">
        <f>IF('Data Entry'!J359&gt;0,'Data Entry'!J359,'Data Entry'!K359)</f>
        <v>0</v>
      </c>
    </row>
    <row r="360" spans="1:5" x14ac:dyDescent="0.25">
      <c r="A360" s="2">
        <f>IF('Data Entry'!J360&gt;0,'Data Entry'!K360,'Data Entry'!L360)</f>
        <v>0</v>
      </c>
      <c r="B360" s="1">
        <f>IF('Data Entry'!J360&gt;0,'Data Entry'!L360,'Data Entry'!M360)</f>
        <v>0</v>
      </c>
      <c r="C360" s="1">
        <f>IF('Data Entry'!N360&gt;0,'Data Entry'!N360,'Data Entry'!O360)</f>
        <v>0</v>
      </c>
      <c r="D360" s="47">
        <f>IF('Data Entry'!P360&gt;0,'Data Entry'!P360,'Data Entry'!Q360)</f>
        <v>0</v>
      </c>
      <c r="E360" s="46">
        <f>IF('Data Entry'!J360&gt;0,'Data Entry'!J360,'Data Entry'!K360)</f>
        <v>0</v>
      </c>
    </row>
    <row r="361" spans="1:5" x14ac:dyDescent="0.25">
      <c r="A361" s="2">
        <f>IF('Data Entry'!J361&gt;0,'Data Entry'!K361,'Data Entry'!L361)</f>
        <v>0</v>
      </c>
      <c r="B361" s="1">
        <f>IF('Data Entry'!J361&gt;0,'Data Entry'!L361,'Data Entry'!M361)</f>
        <v>0</v>
      </c>
      <c r="C361" s="1">
        <f>IF('Data Entry'!N361&gt;0,'Data Entry'!N361,'Data Entry'!O361)</f>
        <v>0</v>
      </c>
      <c r="D361" s="47">
        <f>IF('Data Entry'!P361&gt;0,'Data Entry'!P361,'Data Entry'!Q361)</f>
        <v>0</v>
      </c>
      <c r="E361" s="46">
        <f>IF('Data Entry'!J361&gt;0,'Data Entry'!J361,'Data Entry'!K361)</f>
        <v>0</v>
      </c>
    </row>
    <row r="362" spans="1:5" x14ac:dyDescent="0.25">
      <c r="A362" s="2">
        <f>IF('Data Entry'!J362&gt;0,'Data Entry'!K362,'Data Entry'!L362)</f>
        <v>0</v>
      </c>
      <c r="B362" s="1">
        <f>IF('Data Entry'!J362&gt;0,'Data Entry'!L362,'Data Entry'!M362)</f>
        <v>0</v>
      </c>
      <c r="C362" s="1">
        <f>IF('Data Entry'!N362&gt;0,'Data Entry'!N362,'Data Entry'!O362)</f>
        <v>0</v>
      </c>
      <c r="D362" s="47">
        <f>IF('Data Entry'!P362&gt;0,'Data Entry'!P362,'Data Entry'!Q362)</f>
        <v>0</v>
      </c>
      <c r="E362" s="46">
        <f>IF('Data Entry'!J362&gt;0,'Data Entry'!J362,'Data Entry'!K362)</f>
        <v>0</v>
      </c>
    </row>
    <row r="363" spans="1:5" x14ac:dyDescent="0.25">
      <c r="A363" s="2">
        <f>IF('Data Entry'!J363&gt;0,'Data Entry'!K363,'Data Entry'!L363)</f>
        <v>0</v>
      </c>
      <c r="B363" s="1">
        <f>IF('Data Entry'!J363&gt;0,'Data Entry'!L363,'Data Entry'!M363)</f>
        <v>0</v>
      </c>
      <c r="C363" s="1">
        <f>IF('Data Entry'!N363&gt;0,'Data Entry'!N363,'Data Entry'!O363)</f>
        <v>0</v>
      </c>
      <c r="D363" s="47">
        <f>IF('Data Entry'!P363&gt;0,'Data Entry'!P363,'Data Entry'!Q363)</f>
        <v>0</v>
      </c>
      <c r="E363" s="46">
        <f>IF('Data Entry'!J363&gt;0,'Data Entry'!J363,'Data Entry'!K363)</f>
        <v>0</v>
      </c>
    </row>
    <row r="364" spans="1:5" x14ac:dyDescent="0.25">
      <c r="A364" s="2">
        <f>IF('Data Entry'!J364&gt;0,'Data Entry'!K364,'Data Entry'!L364)</f>
        <v>0</v>
      </c>
      <c r="B364" s="1">
        <f>IF('Data Entry'!J364&gt;0,'Data Entry'!L364,'Data Entry'!M364)</f>
        <v>0</v>
      </c>
      <c r="C364" s="1">
        <f>IF('Data Entry'!N364&gt;0,'Data Entry'!N364,'Data Entry'!O364)</f>
        <v>0</v>
      </c>
      <c r="D364" s="47">
        <f>IF('Data Entry'!P364&gt;0,'Data Entry'!P364,'Data Entry'!Q364)</f>
        <v>0</v>
      </c>
      <c r="E364" s="46">
        <f>IF('Data Entry'!J364&gt;0,'Data Entry'!J364,'Data Entry'!K364)</f>
        <v>0</v>
      </c>
    </row>
    <row r="365" spans="1:5" x14ac:dyDescent="0.25">
      <c r="A365" s="2">
        <f>IF('Data Entry'!J365&gt;0,'Data Entry'!K365,'Data Entry'!L365)</f>
        <v>0</v>
      </c>
      <c r="B365" s="1">
        <f>IF('Data Entry'!J365&gt;0,'Data Entry'!L365,'Data Entry'!M365)</f>
        <v>0</v>
      </c>
      <c r="C365" s="1">
        <f>IF('Data Entry'!N365&gt;0,'Data Entry'!N365,'Data Entry'!O365)</f>
        <v>0</v>
      </c>
      <c r="D365" s="47">
        <f>IF('Data Entry'!P365&gt;0,'Data Entry'!P365,'Data Entry'!Q365)</f>
        <v>0</v>
      </c>
      <c r="E365" s="46">
        <f>IF('Data Entry'!J365&gt;0,'Data Entry'!J365,'Data Entry'!K365)</f>
        <v>0</v>
      </c>
    </row>
    <row r="366" spans="1:5" x14ac:dyDescent="0.25">
      <c r="A366" s="2">
        <f>IF('Data Entry'!J366&gt;0,'Data Entry'!K366,'Data Entry'!L366)</f>
        <v>0</v>
      </c>
      <c r="B366" s="1">
        <f>IF('Data Entry'!J366&gt;0,'Data Entry'!L366,'Data Entry'!M366)</f>
        <v>0</v>
      </c>
      <c r="C366" s="1">
        <f>IF('Data Entry'!N366&gt;0,'Data Entry'!N366,'Data Entry'!O366)</f>
        <v>0</v>
      </c>
      <c r="D366" s="47">
        <f>IF('Data Entry'!P366&gt;0,'Data Entry'!P366,'Data Entry'!Q366)</f>
        <v>0</v>
      </c>
      <c r="E366" s="46">
        <f>IF('Data Entry'!J366&gt;0,'Data Entry'!J366,'Data Entry'!K366)</f>
        <v>0</v>
      </c>
    </row>
    <row r="367" spans="1:5" x14ac:dyDescent="0.25">
      <c r="A367" s="2">
        <f>IF('Data Entry'!J367&gt;0,'Data Entry'!K367,'Data Entry'!L367)</f>
        <v>0</v>
      </c>
      <c r="B367" s="1">
        <f>IF('Data Entry'!J367&gt;0,'Data Entry'!L367,'Data Entry'!M367)</f>
        <v>0</v>
      </c>
      <c r="C367" s="1">
        <f>IF('Data Entry'!N367&gt;0,'Data Entry'!N367,'Data Entry'!O367)</f>
        <v>0</v>
      </c>
      <c r="D367" s="47">
        <f>IF('Data Entry'!P367&gt;0,'Data Entry'!P367,'Data Entry'!Q367)</f>
        <v>0</v>
      </c>
      <c r="E367" s="46">
        <f>IF('Data Entry'!J367&gt;0,'Data Entry'!J367,'Data Entry'!K367)</f>
        <v>0</v>
      </c>
    </row>
    <row r="368" spans="1:5" x14ac:dyDescent="0.25">
      <c r="A368" s="2">
        <f>IF('Data Entry'!J368&gt;0,'Data Entry'!K368,'Data Entry'!L368)</f>
        <v>0</v>
      </c>
      <c r="B368" s="1">
        <f>IF('Data Entry'!J368&gt;0,'Data Entry'!L368,'Data Entry'!M368)</f>
        <v>0</v>
      </c>
      <c r="C368" s="1">
        <f>IF('Data Entry'!N368&gt;0,'Data Entry'!N368,'Data Entry'!O368)</f>
        <v>0</v>
      </c>
      <c r="D368" s="47">
        <f>IF('Data Entry'!P368&gt;0,'Data Entry'!P368,'Data Entry'!Q368)</f>
        <v>0</v>
      </c>
      <c r="E368" s="46">
        <f>IF('Data Entry'!J368&gt;0,'Data Entry'!J368,'Data Entry'!K368)</f>
        <v>0</v>
      </c>
    </row>
    <row r="369" spans="1:5" x14ac:dyDescent="0.25">
      <c r="A369" s="2">
        <f>IF('Data Entry'!J369&gt;0,'Data Entry'!K369,'Data Entry'!L369)</f>
        <v>0</v>
      </c>
      <c r="B369" s="1">
        <f>IF('Data Entry'!J369&gt;0,'Data Entry'!L369,'Data Entry'!M369)</f>
        <v>0</v>
      </c>
      <c r="C369" s="1">
        <f>IF('Data Entry'!N369&gt;0,'Data Entry'!N369,'Data Entry'!O369)</f>
        <v>0</v>
      </c>
      <c r="D369" s="47">
        <f>IF('Data Entry'!P369&gt;0,'Data Entry'!P369,'Data Entry'!Q369)</f>
        <v>0</v>
      </c>
      <c r="E369" s="46">
        <f>IF('Data Entry'!J369&gt;0,'Data Entry'!J369,'Data Entry'!K369)</f>
        <v>0</v>
      </c>
    </row>
    <row r="370" spans="1:5" x14ac:dyDescent="0.25">
      <c r="A370" s="2">
        <f>IF('Data Entry'!J370&gt;0,'Data Entry'!K370,'Data Entry'!L370)</f>
        <v>0</v>
      </c>
      <c r="B370" s="1">
        <f>IF('Data Entry'!J370&gt;0,'Data Entry'!L370,'Data Entry'!M370)</f>
        <v>0</v>
      </c>
      <c r="C370" s="1">
        <f>IF('Data Entry'!N370&gt;0,'Data Entry'!N370,'Data Entry'!O370)</f>
        <v>0</v>
      </c>
      <c r="D370" s="47">
        <f>IF('Data Entry'!P370&gt;0,'Data Entry'!P370,'Data Entry'!Q370)</f>
        <v>0</v>
      </c>
      <c r="E370" s="46">
        <f>IF('Data Entry'!J370&gt;0,'Data Entry'!J370,'Data Entry'!K370)</f>
        <v>0</v>
      </c>
    </row>
    <row r="371" spans="1:5" x14ac:dyDescent="0.25">
      <c r="A371" s="2">
        <f>IF('Data Entry'!J371&gt;0,'Data Entry'!K371,'Data Entry'!L371)</f>
        <v>0</v>
      </c>
      <c r="B371" s="1">
        <f>IF('Data Entry'!J371&gt;0,'Data Entry'!L371,'Data Entry'!M371)</f>
        <v>0</v>
      </c>
      <c r="C371" s="1">
        <f>IF('Data Entry'!N371&gt;0,'Data Entry'!N371,'Data Entry'!O371)</f>
        <v>0</v>
      </c>
      <c r="D371" s="47">
        <f>IF('Data Entry'!P371&gt;0,'Data Entry'!P371,'Data Entry'!Q371)</f>
        <v>0</v>
      </c>
      <c r="E371" s="46">
        <f>IF('Data Entry'!J371&gt;0,'Data Entry'!J371,'Data Entry'!K371)</f>
        <v>0</v>
      </c>
    </row>
    <row r="372" spans="1:5" x14ac:dyDescent="0.25">
      <c r="A372" s="2">
        <f>IF('Data Entry'!J372&gt;0,'Data Entry'!K372,'Data Entry'!L372)</f>
        <v>0</v>
      </c>
      <c r="B372" s="1">
        <f>IF('Data Entry'!J372&gt;0,'Data Entry'!L372,'Data Entry'!M372)</f>
        <v>0</v>
      </c>
      <c r="C372" s="1">
        <f>IF('Data Entry'!N372&gt;0,'Data Entry'!N372,'Data Entry'!O372)</f>
        <v>0</v>
      </c>
      <c r="D372" s="47">
        <f>IF('Data Entry'!P372&gt;0,'Data Entry'!P372,'Data Entry'!Q372)</f>
        <v>0</v>
      </c>
      <c r="E372" s="46">
        <f>IF('Data Entry'!J372&gt;0,'Data Entry'!J372,'Data Entry'!K372)</f>
        <v>0</v>
      </c>
    </row>
    <row r="373" spans="1:5" x14ac:dyDescent="0.25">
      <c r="A373" s="2">
        <f>IF('Data Entry'!J373&gt;0,'Data Entry'!K373,'Data Entry'!L373)</f>
        <v>0</v>
      </c>
      <c r="B373" s="1">
        <f>IF('Data Entry'!J373&gt;0,'Data Entry'!L373,'Data Entry'!M373)</f>
        <v>0</v>
      </c>
      <c r="C373" s="1">
        <f>IF('Data Entry'!N373&gt;0,'Data Entry'!N373,'Data Entry'!O373)</f>
        <v>0</v>
      </c>
      <c r="D373" s="47">
        <f>IF('Data Entry'!P373&gt;0,'Data Entry'!P373,'Data Entry'!Q373)</f>
        <v>0</v>
      </c>
      <c r="E373" s="46">
        <f>IF('Data Entry'!J373&gt;0,'Data Entry'!J373,'Data Entry'!K373)</f>
        <v>0</v>
      </c>
    </row>
    <row r="374" spans="1:5" x14ac:dyDescent="0.25">
      <c r="A374" s="2">
        <f>IF('Data Entry'!J374&gt;0,'Data Entry'!K374,'Data Entry'!L374)</f>
        <v>0</v>
      </c>
      <c r="B374" s="1">
        <f>IF('Data Entry'!J374&gt;0,'Data Entry'!L374,'Data Entry'!M374)</f>
        <v>0</v>
      </c>
      <c r="C374" s="1">
        <f>IF('Data Entry'!N374&gt;0,'Data Entry'!N374,'Data Entry'!O374)</f>
        <v>0</v>
      </c>
      <c r="D374" s="47">
        <f>IF('Data Entry'!P374&gt;0,'Data Entry'!P374,'Data Entry'!Q374)</f>
        <v>0</v>
      </c>
      <c r="E374" s="46">
        <f>IF('Data Entry'!J374&gt;0,'Data Entry'!J374,'Data Entry'!K374)</f>
        <v>0</v>
      </c>
    </row>
    <row r="375" spans="1:5" x14ac:dyDescent="0.25">
      <c r="A375" s="2">
        <f>IF('Data Entry'!J375&gt;0,'Data Entry'!K375,'Data Entry'!L375)</f>
        <v>0</v>
      </c>
      <c r="B375" s="1">
        <f>IF('Data Entry'!J375&gt;0,'Data Entry'!L375,'Data Entry'!M375)</f>
        <v>0</v>
      </c>
      <c r="C375" s="1">
        <f>IF('Data Entry'!N375&gt;0,'Data Entry'!N375,'Data Entry'!O375)</f>
        <v>0</v>
      </c>
      <c r="D375" s="47">
        <f>IF('Data Entry'!P375&gt;0,'Data Entry'!P375,'Data Entry'!Q375)</f>
        <v>0</v>
      </c>
      <c r="E375" s="46">
        <f>IF('Data Entry'!J375&gt;0,'Data Entry'!J375,'Data Entry'!K375)</f>
        <v>0</v>
      </c>
    </row>
    <row r="376" spans="1:5" x14ac:dyDescent="0.25">
      <c r="A376" s="2">
        <f>IF('Data Entry'!J376&gt;0,'Data Entry'!K376,'Data Entry'!L376)</f>
        <v>0</v>
      </c>
      <c r="B376" s="1">
        <f>IF('Data Entry'!J376&gt;0,'Data Entry'!L376,'Data Entry'!M376)</f>
        <v>0</v>
      </c>
      <c r="C376" s="1">
        <f>IF('Data Entry'!N376&gt;0,'Data Entry'!N376,'Data Entry'!O376)</f>
        <v>0</v>
      </c>
      <c r="D376" s="47">
        <f>IF('Data Entry'!P376&gt;0,'Data Entry'!P376,'Data Entry'!Q376)</f>
        <v>0</v>
      </c>
      <c r="E376" s="46">
        <f>IF('Data Entry'!J376&gt;0,'Data Entry'!J376,'Data Entry'!K376)</f>
        <v>0</v>
      </c>
    </row>
    <row r="377" spans="1:5" x14ac:dyDescent="0.25">
      <c r="A377" s="2">
        <f>IF('Data Entry'!J377&gt;0,'Data Entry'!K377,'Data Entry'!L377)</f>
        <v>0</v>
      </c>
      <c r="B377" s="1">
        <f>IF('Data Entry'!J377&gt;0,'Data Entry'!L377,'Data Entry'!M377)</f>
        <v>0</v>
      </c>
      <c r="C377" s="1">
        <f>IF('Data Entry'!N377&gt;0,'Data Entry'!N377,'Data Entry'!O377)</f>
        <v>0</v>
      </c>
      <c r="D377" s="47">
        <f>IF('Data Entry'!P377&gt;0,'Data Entry'!P377,'Data Entry'!Q377)</f>
        <v>0</v>
      </c>
      <c r="E377" s="46">
        <f>IF('Data Entry'!J377&gt;0,'Data Entry'!J377,'Data Entry'!K377)</f>
        <v>0</v>
      </c>
    </row>
    <row r="378" spans="1:5" x14ac:dyDescent="0.25">
      <c r="A378" s="2">
        <f>IF('Data Entry'!J378&gt;0,'Data Entry'!K378,'Data Entry'!L378)</f>
        <v>0</v>
      </c>
      <c r="B378" s="1">
        <f>IF('Data Entry'!J378&gt;0,'Data Entry'!L378,'Data Entry'!M378)</f>
        <v>0</v>
      </c>
      <c r="C378" s="1">
        <f>IF('Data Entry'!N378&gt;0,'Data Entry'!N378,'Data Entry'!O378)</f>
        <v>0</v>
      </c>
      <c r="D378" s="47">
        <f>IF('Data Entry'!P378&gt;0,'Data Entry'!P378,'Data Entry'!Q378)</f>
        <v>0</v>
      </c>
      <c r="E378" s="46">
        <f>IF('Data Entry'!J378&gt;0,'Data Entry'!J378,'Data Entry'!K378)</f>
        <v>0</v>
      </c>
    </row>
    <row r="379" spans="1:5" x14ac:dyDescent="0.25">
      <c r="A379" s="2">
        <f>IF('Data Entry'!J379&gt;0,'Data Entry'!K379,'Data Entry'!L379)</f>
        <v>0</v>
      </c>
      <c r="B379" s="1">
        <f>IF('Data Entry'!J379&gt;0,'Data Entry'!L379,'Data Entry'!M379)</f>
        <v>0</v>
      </c>
      <c r="C379" s="1">
        <f>IF('Data Entry'!N379&gt;0,'Data Entry'!N379,'Data Entry'!O379)</f>
        <v>0</v>
      </c>
      <c r="D379" s="47">
        <f>IF('Data Entry'!P379&gt;0,'Data Entry'!P379,'Data Entry'!Q379)</f>
        <v>0</v>
      </c>
      <c r="E379" s="46">
        <f>IF('Data Entry'!J379&gt;0,'Data Entry'!J379,'Data Entry'!K379)</f>
        <v>0</v>
      </c>
    </row>
    <row r="380" spans="1:5" x14ac:dyDescent="0.25">
      <c r="A380" s="2">
        <f>IF('Data Entry'!J380&gt;0,'Data Entry'!K380,'Data Entry'!L380)</f>
        <v>0</v>
      </c>
      <c r="B380" s="1">
        <f>IF('Data Entry'!J380&gt;0,'Data Entry'!L380,'Data Entry'!M380)</f>
        <v>0</v>
      </c>
      <c r="C380" s="1">
        <f>IF('Data Entry'!N380&gt;0,'Data Entry'!N380,'Data Entry'!O380)</f>
        <v>0</v>
      </c>
      <c r="D380" s="47">
        <f>IF('Data Entry'!P380&gt;0,'Data Entry'!P380,'Data Entry'!Q380)</f>
        <v>0</v>
      </c>
      <c r="E380" s="46">
        <f>IF('Data Entry'!J380&gt;0,'Data Entry'!J380,'Data Entry'!K380)</f>
        <v>0</v>
      </c>
    </row>
    <row r="381" spans="1:5" x14ac:dyDescent="0.25">
      <c r="A381" s="2">
        <f>IF('Data Entry'!J381&gt;0,'Data Entry'!K381,'Data Entry'!L381)</f>
        <v>0</v>
      </c>
      <c r="B381" s="1">
        <f>IF('Data Entry'!J381&gt;0,'Data Entry'!L381,'Data Entry'!M381)</f>
        <v>0</v>
      </c>
      <c r="C381" s="1">
        <f>IF('Data Entry'!N381&gt;0,'Data Entry'!N381,'Data Entry'!O381)</f>
        <v>0</v>
      </c>
      <c r="D381" s="47">
        <f>IF('Data Entry'!P381&gt;0,'Data Entry'!P381,'Data Entry'!Q381)</f>
        <v>0</v>
      </c>
      <c r="E381" s="46">
        <f>IF('Data Entry'!J381&gt;0,'Data Entry'!J381,'Data Entry'!K381)</f>
        <v>0</v>
      </c>
    </row>
    <row r="382" spans="1:5" x14ac:dyDescent="0.25">
      <c r="A382" s="2">
        <f>IF('Data Entry'!J382&gt;0,'Data Entry'!K382,'Data Entry'!L382)</f>
        <v>0</v>
      </c>
      <c r="B382" s="1">
        <f>IF('Data Entry'!J382&gt;0,'Data Entry'!L382,'Data Entry'!M382)</f>
        <v>0</v>
      </c>
      <c r="C382" s="1">
        <f>IF('Data Entry'!N382&gt;0,'Data Entry'!N382,'Data Entry'!O382)</f>
        <v>0</v>
      </c>
      <c r="D382" s="47">
        <f>IF('Data Entry'!P382&gt;0,'Data Entry'!P382,'Data Entry'!Q382)</f>
        <v>0</v>
      </c>
      <c r="E382" s="46">
        <f>IF('Data Entry'!J382&gt;0,'Data Entry'!J382,'Data Entry'!K382)</f>
        <v>0</v>
      </c>
    </row>
    <row r="383" spans="1:5" x14ac:dyDescent="0.25">
      <c r="A383" s="2">
        <f>IF('Data Entry'!J383&gt;0,'Data Entry'!K383,'Data Entry'!L383)</f>
        <v>0</v>
      </c>
      <c r="B383" s="1">
        <f>IF('Data Entry'!J383&gt;0,'Data Entry'!L383,'Data Entry'!M383)</f>
        <v>0</v>
      </c>
      <c r="C383" s="1">
        <f>IF('Data Entry'!N383&gt;0,'Data Entry'!N383,'Data Entry'!O383)</f>
        <v>0</v>
      </c>
      <c r="D383" s="47">
        <f>IF('Data Entry'!P383&gt;0,'Data Entry'!P383,'Data Entry'!Q383)</f>
        <v>0</v>
      </c>
      <c r="E383" s="46">
        <f>IF('Data Entry'!J383&gt;0,'Data Entry'!J383,'Data Entry'!K383)</f>
        <v>0</v>
      </c>
    </row>
    <row r="384" spans="1:5" x14ac:dyDescent="0.25">
      <c r="A384" s="2">
        <f>IF('Data Entry'!J384&gt;0,'Data Entry'!K384,'Data Entry'!L384)</f>
        <v>0</v>
      </c>
      <c r="B384" s="1">
        <f>IF('Data Entry'!J384&gt;0,'Data Entry'!L384,'Data Entry'!M384)</f>
        <v>0</v>
      </c>
      <c r="C384" s="1">
        <f>IF('Data Entry'!N384&gt;0,'Data Entry'!N384,'Data Entry'!O384)</f>
        <v>0</v>
      </c>
      <c r="D384" s="47">
        <f>IF('Data Entry'!P384&gt;0,'Data Entry'!P384,'Data Entry'!Q384)</f>
        <v>0</v>
      </c>
      <c r="E384" s="46">
        <f>IF('Data Entry'!J384&gt;0,'Data Entry'!J384,'Data Entry'!K384)</f>
        <v>0</v>
      </c>
    </row>
    <row r="385" spans="1:5" x14ac:dyDescent="0.25">
      <c r="A385" s="2">
        <f>IF('Data Entry'!J385&gt;0,'Data Entry'!K385,'Data Entry'!L385)</f>
        <v>0</v>
      </c>
      <c r="B385" s="1">
        <f>IF('Data Entry'!J385&gt;0,'Data Entry'!L385,'Data Entry'!M385)</f>
        <v>0</v>
      </c>
      <c r="C385" s="1">
        <f>IF('Data Entry'!N385&gt;0,'Data Entry'!N385,'Data Entry'!O385)</f>
        <v>0</v>
      </c>
      <c r="D385" s="47">
        <f>IF('Data Entry'!P385&gt;0,'Data Entry'!P385,'Data Entry'!Q385)</f>
        <v>0</v>
      </c>
      <c r="E385" s="46">
        <f>IF('Data Entry'!J385&gt;0,'Data Entry'!J385,'Data Entry'!K385)</f>
        <v>0</v>
      </c>
    </row>
    <row r="386" spans="1:5" x14ac:dyDescent="0.25">
      <c r="A386" s="2">
        <f>IF('Data Entry'!J386&gt;0,'Data Entry'!K386,'Data Entry'!L386)</f>
        <v>0</v>
      </c>
      <c r="B386" s="1">
        <f>IF('Data Entry'!J386&gt;0,'Data Entry'!L386,'Data Entry'!M386)</f>
        <v>0</v>
      </c>
      <c r="C386" s="1">
        <f>IF('Data Entry'!N386&gt;0,'Data Entry'!N386,'Data Entry'!O386)</f>
        <v>0</v>
      </c>
      <c r="D386" s="47">
        <f>IF('Data Entry'!P386&gt;0,'Data Entry'!P386,'Data Entry'!Q386)</f>
        <v>0</v>
      </c>
      <c r="E386" s="46">
        <f>IF('Data Entry'!J386&gt;0,'Data Entry'!J386,'Data Entry'!K386)</f>
        <v>0</v>
      </c>
    </row>
    <row r="387" spans="1:5" x14ac:dyDescent="0.25">
      <c r="A387" s="2">
        <f>IF('Data Entry'!J387&gt;0,'Data Entry'!K387,'Data Entry'!L387)</f>
        <v>0</v>
      </c>
      <c r="B387" s="1">
        <f>IF('Data Entry'!J387&gt;0,'Data Entry'!L387,'Data Entry'!M387)</f>
        <v>0</v>
      </c>
      <c r="C387" s="1">
        <f>IF('Data Entry'!N387&gt;0,'Data Entry'!N387,'Data Entry'!O387)</f>
        <v>0</v>
      </c>
      <c r="D387" s="47">
        <f>IF('Data Entry'!P387&gt;0,'Data Entry'!P387,'Data Entry'!Q387)</f>
        <v>0</v>
      </c>
      <c r="E387" s="46">
        <f>IF('Data Entry'!J387&gt;0,'Data Entry'!J387,'Data Entry'!K387)</f>
        <v>0</v>
      </c>
    </row>
    <row r="388" spans="1:5" x14ac:dyDescent="0.25">
      <c r="A388" s="2">
        <f>IF('Data Entry'!J388&gt;0,'Data Entry'!K388,'Data Entry'!L388)</f>
        <v>0</v>
      </c>
      <c r="B388" s="1">
        <f>IF('Data Entry'!J388&gt;0,'Data Entry'!L388,'Data Entry'!M388)</f>
        <v>0</v>
      </c>
      <c r="C388" s="1">
        <f>IF('Data Entry'!N388&gt;0,'Data Entry'!N388,'Data Entry'!O388)</f>
        <v>0</v>
      </c>
      <c r="D388" s="47">
        <f>IF('Data Entry'!P388&gt;0,'Data Entry'!P388,'Data Entry'!Q388)</f>
        <v>0</v>
      </c>
      <c r="E388" s="46">
        <f>IF('Data Entry'!J388&gt;0,'Data Entry'!J388,'Data Entry'!K388)</f>
        <v>0</v>
      </c>
    </row>
    <row r="389" spans="1:5" x14ac:dyDescent="0.25">
      <c r="A389" s="2">
        <f>IF('Data Entry'!J389&gt;0,'Data Entry'!K389,'Data Entry'!L389)</f>
        <v>0</v>
      </c>
      <c r="B389" s="1">
        <f>IF('Data Entry'!J389&gt;0,'Data Entry'!L389,'Data Entry'!M389)</f>
        <v>0</v>
      </c>
      <c r="C389" s="1">
        <f>IF('Data Entry'!N389&gt;0,'Data Entry'!N389,'Data Entry'!O389)</f>
        <v>0</v>
      </c>
      <c r="D389" s="47">
        <f>IF('Data Entry'!P389&gt;0,'Data Entry'!P389,'Data Entry'!Q389)</f>
        <v>0</v>
      </c>
      <c r="E389" s="46">
        <f>IF('Data Entry'!J389&gt;0,'Data Entry'!J389,'Data Entry'!K389)</f>
        <v>0</v>
      </c>
    </row>
    <row r="390" spans="1:5" x14ac:dyDescent="0.25">
      <c r="A390" s="2">
        <f>IF('Data Entry'!J390&gt;0,'Data Entry'!K390,'Data Entry'!L390)</f>
        <v>0</v>
      </c>
      <c r="B390" s="1">
        <f>IF('Data Entry'!J390&gt;0,'Data Entry'!L390,'Data Entry'!M390)</f>
        <v>0</v>
      </c>
      <c r="C390" s="1">
        <f>IF('Data Entry'!N390&gt;0,'Data Entry'!N390,'Data Entry'!O390)</f>
        <v>0</v>
      </c>
      <c r="D390" s="47">
        <f>IF('Data Entry'!P390&gt;0,'Data Entry'!P390,'Data Entry'!Q390)</f>
        <v>0</v>
      </c>
      <c r="E390" s="46">
        <f>IF('Data Entry'!J390&gt;0,'Data Entry'!J390,'Data Entry'!K390)</f>
        <v>0</v>
      </c>
    </row>
    <row r="391" spans="1:5" x14ac:dyDescent="0.25">
      <c r="A391" s="2">
        <f>IF('Data Entry'!J391&gt;0,'Data Entry'!K391,'Data Entry'!L391)</f>
        <v>0</v>
      </c>
      <c r="B391" s="1">
        <f>IF('Data Entry'!J391&gt;0,'Data Entry'!L391,'Data Entry'!M391)</f>
        <v>0</v>
      </c>
      <c r="C391" s="1">
        <f>IF('Data Entry'!N391&gt;0,'Data Entry'!N391,'Data Entry'!O391)</f>
        <v>0</v>
      </c>
      <c r="D391" s="47">
        <f>IF('Data Entry'!P391&gt;0,'Data Entry'!P391,'Data Entry'!Q391)</f>
        <v>0</v>
      </c>
      <c r="E391" s="46">
        <f>IF('Data Entry'!J391&gt;0,'Data Entry'!J391,'Data Entry'!K391)</f>
        <v>0</v>
      </c>
    </row>
    <row r="392" spans="1:5" x14ac:dyDescent="0.25">
      <c r="A392" s="2">
        <f>IF('Data Entry'!J392&gt;0,'Data Entry'!K392,'Data Entry'!L392)</f>
        <v>0</v>
      </c>
      <c r="B392" s="1">
        <f>IF('Data Entry'!J392&gt;0,'Data Entry'!L392,'Data Entry'!M392)</f>
        <v>0</v>
      </c>
      <c r="C392" s="1">
        <f>IF('Data Entry'!N392&gt;0,'Data Entry'!N392,'Data Entry'!O392)</f>
        <v>0</v>
      </c>
      <c r="D392" s="47">
        <f>IF('Data Entry'!P392&gt;0,'Data Entry'!P392,'Data Entry'!Q392)</f>
        <v>0</v>
      </c>
      <c r="E392" s="46">
        <f>IF('Data Entry'!J392&gt;0,'Data Entry'!J392,'Data Entry'!K392)</f>
        <v>0</v>
      </c>
    </row>
    <row r="393" spans="1:5" x14ac:dyDescent="0.25">
      <c r="A393" s="2">
        <f>IF('Data Entry'!J393&gt;0,'Data Entry'!K393,'Data Entry'!L393)</f>
        <v>0</v>
      </c>
      <c r="B393" s="1">
        <f>IF('Data Entry'!J393&gt;0,'Data Entry'!L393,'Data Entry'!M393)</f>
        <v>0</v>
      </c>
      <c r="C393" s="1">
        <f>IF('Data Entry'!N393&gt;0,'Data Entry'!N393,'Data Entry'!O393)</f>
        <v>0</v>
      </c>
      <c r="D393" s="47">
        <f>IF('Data Entry'!P393&gt;0,'Data Entry'!P393,'Data Entry'!Q393)</f>
        <v>0</v>
      </c>
      <c r="E393" s="46">
        <f>IF('Data Entry'!J393&gt;0,'Data Entry'!J393,'Data Entry'!K393)</f>
        <v>0</v>
      </c>
    </row>
    <row r="394" spans="1:5" x14ac:dyDescent="0.25">
      <c r="A394" s="2">
        <f>IF('Data Entry'!J394&gt;0,'Data Entry'!K394,'Data Entry'!L394)</f>
        <v>0</v>
      </c>
      <c r="B394" s="1">
        <f>IF('Data Entry'!J394&gt;0,'Data Entry'!L394,'Data Entry'!M394)</f>
        <v>0</v>
      </c>
      <c r="C394" s="1">
        <f>IF('Data Entry'!N394&gt;0,'Data Entry'!N394,'Data Entry'!O394)</f>
        <v>0</v>
      </c>
      <c r="D394" s="47">
        <f>IF('Data Entry'!P394&gt;0,'Data Entry'!P394,'Data Entry'!Q394)</f>
        <v>0</v>
      </c>
      <c r="E394" s="46">
        <f>IF('Data Entry'!J394&gt;0,'Data Entry'!J394,'Data Entry'!K394)</f>
        <v>0</v>
      </c>
    </row>
    <row r="395" spans="1:5" x14ac:dyDescent="0.25">
      <c r="A395" s="2">
        <f>IF('Data Entry'!J395&gt;0,'Data Entry'!K395,'Data Entry'!L395)</f>
        <v>0</v>
      </c>
      <c r="B395" s="1">
        <f>IF('Data Entry'!J395&gt;0,'Data Entry'!L395,'Data Entry'!M395)</f>
        <v>0</v>
      </c>
      <c r="C395" s="1">
        <f>IF('Data Entry'!N395&gt;0,'Data Entry'!N395,'Data Entry'!O395)</f>
        <v>0</v>
      </c>
      <c r="D395" s="47">
        <f>IF('Data Entry'!P395&gt;0,'Data Entry'!P395,'Data Entry'!Q395)</f>
        <v>0</v>
      </c>
      <c r="E395" s="46">
        <f>IF('Data Entry'!J395&gt;0,'Data Entry'!J395,'Data Entry'!K395)</f>
        <v>0</v>
      </c>
    </row>
    <row r="396" spans="1:5" x14ac:dyDescent="0.25">
      <c r="A396" s="2">
        <f>IF('Data Entry'!J396&gt;0,'Data Entry'!K396,'Data Entry'!L396)</f>
        <v>0</v>
      </c>
      <c r="B396" s="1">
        <f>IF('Data Entry'!J396&gt;0,'Data Entry'!L396,'Data Entry'!M396)</f>
        <v>0</v>
      </c>
      <c r="C396" s="1">
        <f>IF('Data Entry'!N396&gt;0,'Data Entry'!N396,'Data Entry'!O396)</f>
        <v>0</v>
      </c>
      <c r="D396" s="47">
        <f>IF('Data Entry'!P396&gt;0,'Data Entry'!P396,'Data Entry'!Q396)</f>
        <v>0</v>
      </c>
      <c r="E396" s="46">
        <f>IF('Data Entry'!J396&gt;0,'Data Entry'!J396,'Data Entry'!K396)</f>
        <v>0</v>
      </c>
    </row>
    <row r="397" spans="1:5" x14ac:dyDescent="0.25">
      <c r="A397" s="2">
        <f>IF('Data Entry'!J397&gt;0,'Data Entry'!K397,'Data Entry'!L397)</f>
        <v>0</v>
      </c>
      <c r="B397" s="1">
        <f>IF('Data Entry'!J397&gt;0,'Data Entry'!L397,'Data Entry'!M397)</f>
        <v>0</v>
      </c>
      <c r="C397" s="1">
        <f>IF('Data Entry'!N397&gt;0,'Data Entry'!N397,'Data Entry'!O397)</f>
        <v>0</v>
      </c>
      <c r="D397" s="47">
        <f>IF('Data Entry'!P397&gt;0,'Data Entry'!P397,'Data Entry'!Q397)</f>
        <v>0</v>
      </c>
      <c r="E397" s="46">
        <f>IF('Data Entry'!J397&gt;0,'Data Entry'!J397,'Data Entry'!K397)</f>
        <v>0</v>
      </c>
    </row>
    <row r="398" spans="1:5" x14ac:dyDescent="0.25">
      <c r="A398" s="2">
        <f>IF('Data Entry'!J398&gt;0,'Data Entry'!K398,'Data Entry'!L398)</f>
        <v>0</v>
      </c>
      <c r="B398" s="1">
        <f>IF('Data Entry'!J398&gt;0,'Data Entry'!L398,'Data Entry'!M398)</f>
        <v>0</v>
      </c>
      <c r="C398" s="1">
        <f>IF('Data Entry'!N398&gt;0,'Data Entry'!N398,'Data Entry'!O398)</f>
        <v>0</v>
      </c>
      <c r="D398" s="47">
        <f>IF('Data Entry'!P398&gt;0,'Data Entry'!P398,'Data Entry'!Q398)</f>
        <v>0</v>
      </c>
      <c r="E398" s="46">
        <f>IF('Data Entry'!J398&gt;0,'Data Entry'!J398,'Data Entry'!K398)</f>
        <v>0</v>
      </c>
    </row>
    <row r="399" spans="1:5" x14ac:dyDescent="0.25">
      <c r="A399" s="2">
        <f>IF('Data Entry'!J399&gt;0,'Data Entry'!K399,'Data Entry'!L399)</f>
        <v>0</v>
      </c>
      <c r="B399" s="1">
        <f>IF('Data Entry'!J399&gt;0,'Data Entry'!L399,'Data Entry'!M399)</f>
        <v>0</v>
      </c>
      <c r="C399" s="1">
        <f>IF('Data Entry'!N399&gt;0,'Data Entry'!N399,'Data Entry'!O399)</f>
        <v>0</v>
      </c>
      <c r="D399" s="47">
        <f>IF('Data Entry'!P399&gt;0,'Data Entry'!P399,'Data Entry'!Q399)</f>
        <v>0</v>
      </c>
      <c r="E399" s="46">
        <f>IF('Data Entry'!J399&gt;0,'Data Entry'!J399,'Data Entry'!K399)</f>
        <v>0</v>
      </c>
    </row>
    <row r="400" spans="1:5" x14ac:dyDescent="0.25">
      <c r="A400" s="2">
        <f>IF('Data Entry'!J400&gt;0,'Data Entry'!K400,'Data Entry'!L400)</f>
        <v>0</v>
      </c>
      <c r="B400" s="1">
        <f>IF('Data Entry'!J400&gt;0,'Data Entry'!L400,'Data Entry'!M400)</f>
        <v>0</v>
      </c>
      <c r="C400" s="1">
        <f>IF('Data Entry'!N400&gt;0,'Data Entry'!N400,'Data Entry'!O400)</f>
        <v>0</v>
      </c>
      <c r="D400" s="47">
        <f>IF('Data Entry'!P400&gt;0,'Data Entry'!P400,'Data Entry'!Q400)</f>
        <v>0</v>
      </c>
      <c r="E400" s="46">
        <f>IF('Data Entry'!J400&gt;0,'Data Entry'!J400,'Data Entry'!K400)</f>
        <v>0</v>
      </c>
    </row>
    <row r="401" spans="1:5" x14ac:dyDescent="0.25">
      <c r="A401" s="2">
        <f>IF('Data Entry'!J401&gt;0,'Data Entry'!K401,'Data Entry'!L401)</f>
        <v>0</v>
      </c>
      <c r="B401" s="1">
        <f>IF('Data Entry'!J401&gt;0,'Data Entry'!L401,'Data Entry'!M401)</f>
        <v>0</v>
      </c>
      <c r="C401" s="1">
        <f>IF('Data Entry'!N401&gt;0,'Data Entry'!N401,'Data Entry'!O401)</f>
        <v>0</v>
      </c>
      <c r="D401" s="47">
        <f>IF('Data Entry'!P401&gt;0,'Data Entry'!P401,'Data Entry'!Q401)</f>
        <v>0</v>
      </c>
      <c r="E401" s="46">
        <f>IF('Data Entry'!J401&gt;0,'Data Entry'!J401,'Data Entry'!K401)</f>
        <v>0</v>
      </c>
    </row>
    <row r="402" spans="1:5" x14ac:dyDescent="0.25">
      <c r="A402" s="2">
        <f>IF('Data Entry'!J402&gt;0,'Data Entry'!K402,'Data Entry'!L402)</f>
        <v>0</v>
      </c>
      <c r="B402" s="1">
        <f>IF('Data Entry'!J402&gt;0,'Data Entry'!L402,'Data Entry'!M402)</f>
        <v>0</v>
      </c>
      <c r="C402" s="1">
        <f>IF('Data Entry'!N402&gt;0,'Data Entry'!N402,'Data Entry'!O402)</f>
        <v>0</v>
      </c>
      <c r="D402" s="47">
        <f>IF('Data Entry'!P402&gt;0,'Data Entry'!P402,'Data Entry'!Q402)</f>
        <v>0</v>
      </c>
      <c r="E402" s="46">
        <f>IF('Data Entry'!J402&gt;0,'Data Entry'!J402,'Data Entry'!K402)</f>
        <v>0</v>
      </c>
    </row>
    <row r="403" spans="1:5" x14ac:dyDescent="0.25">
      <c r="A403" s="2">
        <f>IF('Data Entry'!J403&gt;0,'Data Entry'!K403,'Data Entry'!L403)</f>
        <v>0</v>
      </c>
      <c r="B403" s="1">
        <f>IF('Data Entry'!J403&gt;0,'Data Entry'!L403,'Data Entry'!M403)</f>
        <v>0</v>
      </c>
      <c r="C403" s="1">
        <f>IF('Data Entry'!N403&gt;0,'Data Entry'!N403,'Data Entry'!O403)</f>
        <v>0</v>
      </c>
      <c r="D403" s="47">
        <f>IF('Data Entry'!P403&gt;0,'Data Entry'!P403,'Data Entry'!Q403)</f>
        <v>0</v>
      </c>
      <c r="E403" s="46">
        <f>IF('Data Entry'!J403&gt;0,'Data Entry'!J403,'Data Entry'!K403)</f>
        <v>0</v>
      </c>
    </row>
    <row r="404" spans="1:5" x14ac:dyDescent="0.25">
      <c r="A404" s="2">
        <f>IF('Data Entry'!J404&gt;0,'Data Entry'!K404,'Data Entry'!L404)</f>
        <v>0</v>
      </c>
      <c r="B404" s="1">
        <f>IF('Data Entry'!J404&gt;0,'Data Entry'!L404,'Data Entry'!M404)</f>
        <v>0</v>
      </c>
      <c r="C404" s="1">
        <f>IF('Data Entry'!N404&gt;0,'Data Entry'!N404,'Data Entry'!O404)</f>
        <v>0</v>
      </c>
      <c r="D404" s="47">
        <f>IF('Data Entry'!P404&gt;0,'Data Entry'!P404,'Data Entry'!Q404)</f>
        <v>0</v>
      </c>
      <c r="E404" s="46">
        <f>IF('Data Entry'!J404&gt;0,'Data Entry'!J404,'Data Entry'!K404)</f>
        <v>0</v>
      </c>
    </row>
    <row r="405" spans="1:5" x14ac:dyDescent="0.25">
      <c r="A405" s="2">
        <f>IF('Data Entry'!J405&gt;0,'Data Entry'!K405,'Data Entry'!L405)</f>
        <v>0</v>
      </c>
      <c r="B405" s="1">
        <f>IF('Data Entry'!J405&gt;0,'Data Entry'!L405,'Data Entry'!M405)</f>
        <v>0</v>
      </c>
      <c r="C405" s="1">
        <f>IF('Data Entry'!N405&gt;0,'Data Entry'!N405,'Data Entry'!O405)</f>
        <v>0</v>
      </c>
      <c r="D405" s="47">
        <f>IF('Data Entry'!P405&gt;0,'Data Entry'!P405,'Data Entry'!Q405)</f>
        <v>0</v>
      </c>
      <c r="E405" s="46">
        <f>IF('Data Entry'!J405&gt;0,'Data Entry'!J405,'Data Entry'!K405)</f>
        <v>0</v>
      </c>
    </row>
    <row r="406" spans="1:5" x14ac:dyDescent="0.25">
      <c r="A406" s="2">
        <f>IF('Data Entry'!J406&gt;0,'Data Entry'!K406,'Data Entry'!L406)</f>
        <v>0</v>
      </c>
      <c r="B406" s="1">
        <f>IF('Data Entry'!J406&gt;0,'Data Entry'!L406,'Data Entry'!M406)</f>
        <v>0</v>
      </c>
      <c r="C406" s="1">
        <f>IF('Data Entry'!N406&gt;0,'Data Entry'!N406,'Data Entry'!O406)</f>
        <v>0</v>
      </c>
      <c r="D406" s="47">
        <f>IF('Data Entry'!P406&gt;0,'Data Entry'!P406,'Data Entry'!Q406)</f>
        <v>0</v>
      </c>
      <c r="E406" s="46">
        <f>IF('Data Entry'!J406&gt;0,'Data Entry'!J406,'Data Entry'!K406)</f>
        <v>0</v>
      </c>
    </row>
    <row r="407" spans="1:5" x14ac:dyDescent="0.25">
      <c r="A407" s="2">
        <f>IF('Data Entry'!J407&gt;0,'Data Entry'!K407,'Data Entry'!L407)</f>
        <v>0</v>
      </c>
      <c r="B407" s="1">
        <f>IF('Data Entry'!J407&gt;0,'Data Entry'!L407,'Data Entry'!M407)</f>
        <v>0</v>
      </c>
      <c r="C407" s="1">
        <f>IF('Data Entry'!N407&gt;0,'Data Entry'!N407,'Data Entry'!O407)</f>
        <v>0</v>
      </c>
      <c r="D407" s="47">
        <f>IF('Data Entry'!P407&gt;0,'Data Entry'!P407,'Data Entry'!Q407)</f>
        <v>0</v>
      </c>
      <c r="E407" s="46">
        <f>IF('Data Entry'!J407&gt;0,'Data Entry'!J407,'Data Entry'!K407)</f>
        <v>0</v>
      </c>
    </row>
    <row r="408" spans="1:5" x14ac:dyDescent="0.25">
      <c r="A408" s="2">
        <f>IF('Data Entry'!J408&gt;0,'Data Entry'!K408,'Data Entry'!L408)</f>
        <v>0</v>
      </c>
      <c r="B408" s="1">
        <f>IF('Data Entry'!J408&gt;0,'Data Entry'!L408,'Data Entry'!M408)</f>
        <v>0</v>
      </c>
      <c r="C408" s="1">
        <f>IF('Data Entry'!N408&gt;0,'Data Entry'!N408,'Data Entry'!O408)</f>
        <v>0</v>
      </c>
      <c r="D408" s="47">
        <f>IF('Data Entry'!P408&gt;0,'Data Entry'!P408,'Data Entry'!Q408)</f>
        <v>0</v>
      </c>
      <c r="E408" s="46">
        <f>IF('Data Entry'!J408&gt;0,'Data Entry'!J408,'Data Entry'!K408)</f>
        <v>0</v>
      </c>
    </row>
    <row r="409" spans="1:5" x14ac:dyDescent="0.25">
      <c r="A409" s="2">
        <f>IF('Data Entry'!J409&gt;0,'Data Entry'!K409,'Data Entry'!L409)</f>
        <v>0</v>
      </c>
      <c r="B409" s="1">
        <f>IF('Data Entry'!J409&gt;0,'Data Entry'!L409,'Data Entry'!M409)</f>
        <v>0</v>
      </c>
      <c r="C409" s="1">
        <f>IF('Data Entry'!N409&gt;0,'Data Entry'!N409,'Data Entry'!O409)</f>
        <v>0</v>
      </c>
      <c r="D409" s="47">
        <f>IF('Data Entry'!P409&gt;0,'Data Entry'!P409,'Data Entry'!Q409)</f>
        <v>0</v>
      </c>
      <c r="E409" s="46">
        <f>IF('Data Entry'!J409&gt;0,'Data Entry'!J409,'Data Entry'!K409)</f>
        <v>0</v>
      </c>
    </row>
    <row r="410" spans="1:5" x14ac:dyDescent="0.25">
      <c r="A410" s="2">
        <f>IF('Data Entry'!J410&gt;0,'Data Entry'!K410,'Data Entry'!L410)</f>
        <v>0</v>
      </c>
      <c r="B410" s="1">
        <f>IF('Data Entry'!J410&gt;0,'Data Entry'!L410,'Data Entry'!M410)</f>
        <v>0</v>
      </c>
      <c r="C410" s="1">
        <f>IF('Data Entry'!N410&gt;0,'Data Entry'!N410,'Data Entry'!O410)</f>
        <v>0</v>
      </c>
      <c r="D410" s="47">
        <f>IF('Data Entry'!P410&gt;0,'Data Entry'!P410,'Data Entry'!Q410)</f>
        <v>0</v>
      </c>
      <c r="E410" s="46">
        <f>IF('Data Entry'!J410&gt;0,'Data Entry'!J410,'Data Entry'!K410)</f>
        <v>0</v>
      </c>
    </row>
    <row r="411" spans="1:5" x14ac:dyDescent="0.25">
      <c r="A411" s="2">
        <f>IF('Data Entry'!J411&gt;0,'Data Entry'!K411,'Data Entry'!L411)</f>
        <v>0</v>
      </c>
      <c r="B411" s="1">
        <f>IF('Data Entry'!J411&gt;0,'Data Entry'!L411,'Data Entry'!M411)</f>
        <v>0</v>
      </c>
      <c r="C411" s="1">
        <f>IF('Data Entry'!N411&gt;0,'Data Entry'!N411,'Data Entry'!O411)</f>
        <v>0</v>
      </c>
      <c r="D411" s="47">
        <f>IF('Data Entry'!P411&gt;0,'Data Entry'!P411,'Data Entry'!Q411)</f>
        <v>0</v>
      </c>
      <c r="E411" s="46">
        <f>IF('Data Entry'!J411&gt;0,'Data Entry'!J411,'Data Entry'!K411)</f>
        <v>0</v>
      </c>
    </row>
    <row r="412" spans="1:5" x14ac:dyDescent="0.25">
      <c r="A412" s="2">
        <f>IF('Data Entry'!J412&gt;0,'Data Entry'!K412,'Data Entry'!L412)</f>
        <v>0</v>
      </c>
      <c r="B412" s="1">
        <f>IF('Data Entry'!J412&gt;0,'Data Entry'!L412,'Data Entry'!M412)</f>
        <v>0</v>
      </c>
      <c r="C412" s="1">
        <f>IF('Data Entry'!N412&gt;0,'Data Entry'!N412,'Data Entry'!O412)</f>
        <v>0</v>
      </c>
      <c r="D412" s="47">
        <f>IF('Data Entry'!P412&gt;0,'Data Entry'!P412,'Data Entry'!Q412)</f>
        <v>0</v>
      </c>
      <c r="E412" s="46">
        <f>IF('Data Entry'!J412&gt;0,'Data Entry'!J412,'Data Entry'!K412)</f>
        <v>0</v>
      </c>
    </row>
    <row r="413" spans="1:5" x14ac:dyDescent="0.25">
      <c r="A413" s="2">
        <f>IF('Data Entry'!J413&gt;0,'Data Entry'!K413,'Data Entry'!L413)</f>
        <v>0</v>
      </c>
      <c r="B413" s="1">
        <f>IF('Data Entry'!J413&gt;0,'Data Entry'!L413,'Data Entry'!M413)</f>
        <v>0</v>
      </c>
      <c r="C413" s="1">
        <f>IF('Data Entry'!N413&gt;0,'Data Entry'!N413,'Data Entry'!O413)</f>
        <v>0</v>
      </c>
      <c r="D413" s="47">
        <f>IF('Data Entry'!P413&gt;0,'Data Entry'!P413,'Data Entry'!Q413)</f>
        <v>0</v>
      </c>
      <c r="E413" s="46">
        <f>IF('Data Entry'!J413&gt;0,'Data Entry'!J413,'Data Entry'!K413)</f>
        <v>0</v>
      </c>
    </row>
    <row r="414" spans="1:5" x14ac:dyDescent="0.25">
      <c r="A414" s="2">
        <f>IF('Data Entry'!J414&gt;0,'Data Entry'!K414,'Data Entry'!L414)</f>
        <v>0</v>
      </c>
      <c r="B414" s="1">
        <f>IF('Data Entry'!J414&gt;0,'Data Entry'!L414,'Data Entry'!M414)</f>
        <v>0</v>
      </c>
      <c r="C414" s="1">
        <f>IF('Data Entry'!N414&gt;0,'Data Entry'!N414,'Data Entry'!O414)</f>
        <v>0</v>
      </c>
      <c r="D414" s="47">
        <f>IF('Data Entry'!P414&gt;0,'Data Entry'!P414,'Data Entry'!Q414)</f>
        <v>0</v>
      </c>
      <c r="E414" s="46">
        <f>IF('Data Entry'!J414&gt;0,'Data Entry'!J414,'Data Entry'!K414)</f>
        <v>0</v>
      </c>
    </row>
    <row r="415" spans="1:5" x14ac:dyDescent="0.25">
      <c r="A415" s="2">
        <f>IF('Data Entry'!J415&gt;0,'Data Entry'!K415,'Data Entry'!L415)</f>
        <v>0</v>
      </c>
      <c r="B415" s="1">
        <f>IF('Data Entry'!J415&gt;0,'Data Entry'!L415,'Data Entry'!M415)</f>
        <v>0</v>
      </c>
      <c r="C415" s="1">
        <f>IF('Data Entry'!N415&gt;0,'Data Entry'!N415,'Data Entry'!O415)</f>
        <v>0</v>
      </c>
      <c r="D415" s="47">
        <f>IF('Data Entry'!P415&gt;0,'Data Entry'!P415,'Data Entry'!Q415)</f>
        <v>0</v>
      </c>
      <c r="E415" s="46">
        <f>IF('Data Entry'!J415&gt;0,'Data Entry'!J415,'Data Entry'!K415)</f>
        <v>0</v>
      </c>
    </row>
    <row r="416" spans="1:5" x14ac:dyDescent="0.25">
      <c r="A416" s="2">
        <f>IF('Data Entry'!J416&gt;0,'Data Entry'!K416,'Data Entry'!L416)</f>
        <v>0</v>
      </c>
      <c r="B416" s="1">
        <f>IF('Data Entry'!J416&gt;0,'Data Entry'!L416,'Data Entry'!M416)</f>
        <v>0</v>
      </c>
      <c r="C416" s="1">
        <f>IF('Data Entry'!N416&gt;0,'Data Entry'!N416,'Data Entry'!O416)</f>
        <v>0</v>
      </c>
      <c r="D416" s="47">
        <f>IF('Data Entry'!P416&gt;0,'Data Entry'!P416,'Data Entry'!Q416)</f>
        <v>0</v>
      </c>
      <c r="E416" s="46">
        <f>IF('Data Entry'!J416&gt;0,'Data Entry'!J416,'Data Entry'!K416)</f>
        <v>0</v>
      </c>
    </row>
    <row r="417" spans="1:5" x14ac:dyDescent="0.25">
      <c r="A417" s="2">
        <f>IF('Data Entry'!J417&gt;0,'Data Entry'!K417,'Data Entry'!L417)</f>
        <v>0</v>
      </c>
      <c r="B417" s="1">
        <f>IF('Data Entry'!J417&gt;0,'Data Entry'!L417,'Data Entry'!M417)</f>
        <v>0</v>
      </c>
      <c r="C417" s="1">
        <f>IF('Data Entry'!N417&gt;0,'Data Entry'!N417,'Data Entry'!O417)</f>
        <v>0</v>
      </c>
      <c r="D417" s="47">
        <f>IF('Data Entry'!P417&gt;0,'Data Entry'!P417,'Data Entry'!Q417)</f>
        <v>0</v>
      </c>
      <c r="E417" s="46">
        <f>IF('Data Entry'!J417&gt;0,'Data Entry'!J417,'Data Entry'!K417)</f>
        <v>0</v>
      </c>
    </row>
    <row r="418" spans="1:5" x14ac:dyDescent="0.25">
      <c r="A418" s="2">
        <f>IF('Data Entry'!J418&gt;0,'Data Entry'!K418,'Data Entry'!L418)</f>
        <v>0</v>
      </c>
      <c r="B418" s="1">
        <f>IF('Data Entry'!J418&gt;0,'Data Entry'!L418,'Data Entry'!M418)</f>
        <v>0</v>
      </c>
      <c r="C418" s="1">
        <f>IF('Data Entry'!N418&gt;0,'Data Entry'!N418,'Data Entry'!O418)</f>
        <v>0</v>
      </c>
      <c r="D418" s="47">
        <f>IF('Data Entry'!P418&gt;0,'Data Entry'!P418,'Data Entry'!Q418)</f>
        <v>0</v>
      </c>
      <c r="E418" s="46">
        <f>IF('Data Entry'!J418&gt;0,'Data Entry'!J418,'Data Entry'!K418)</f>
        <v>0</v>
      </c>
    </row>
    <row r="419" spans="1:5" x14ac:dyDescent="0.25">
      <c r="A419" s="2">
        <f>IF('Data Entry'!J419&gt;0,'Data Entry'!K419,'Data Entry'!L419)</f>
        <v>0</v>
      </c>
      <c r="B419" s="1">
        <f>IF('Data Entry'!J419&gt;0,'Data Entry'!L419,'Data Entry'!M419)</f>
        <v>0</v>
      </c>
      <c r="C419" s="1">
        <f>IF('Data Entry'!N419&gt;0,'Data Entry'!N419,'Data Entry'!O419)</f>
        <v>0</v>
      </c>
      <c r="D419" s="47">
        <f>IF('Data Entry'!P419&gt;0,'Data Entry'!P419,'Data Entry'!Q419)</f>
        <v>0</v>
      </c>
      <c r="E419" s="46">
        <f>IF('Data Entry'!J419&gt;0,'Data Entry'!J419,'Data Entry'!K419)</f>
        <v>0</v>
      </c>
    </row>
    <row r="420" spans="1:5" x14ac:dyDescent="0.25">
      <c r="A420" s="2">
        <f>IF('Data Entry'!J420&gt;0,'Data Entry'!K420,'Data Entry'!L420)</f>
        <v>0</v>
      </c>
      <c r="B420" s="1">
        <f>IF('Data Entry'!J420&gt;0,'Data Entry'!L420,'Data Entry'!M420)</f>
        <v>0</v>
      </c>
      <c r="C420" s="1">
        <f>IF('Data Entry'!N420&gt;0,'Data Entry'!N420,'Data Entry'!O420)</f>
        <v>0</v>
      </c>
      <c r="D420" s="47">
        <f>IF('Data Entry'!P420&gt;0,'Data Entry'!P420,'Data Entry'!Q420)</f>
        <v>0</v>
      </c>
      <c r="E420" s="46">
        <f>IF('Data Entry'!J420&gt;0,'Data Entry'!J420,'Data Entry'!K420)</f>
        <v>0</v>
      </c>
    </row>
    <row r="421" spans="1:5" x14ac:dyDescent="0.25">
      <c r="A421" s="2">
        <f>IF('Data Entry'!J421&gt;0,'Data Entry'!K421,'Data Entry'!L421)</f>
        <v>0</v>
      </c>
      <c r="B421" s="1">
        <f>IF('Data Entry'!J421&gt;0,'Data Entry'!L421,'Data Entry'!M421)</f>
        <v>0</v>
      </c>
      <c r="C421" s="1">
        <f>IF('Data Entry'!N421&gt;0,'Data Entry'!N421,'Data Entry'!O421)</f>
        <v>0</v>
      </c>
      <c r="D421" s="47">
        <f>IF('Data Entry'!P421&gt;0,'Data Entry'!P421,'Data Entry'!Q421)</f>
        <v>0</v>
      </c>
      <c r="E421" s="46">
        <f>IF('Data Entry'!J421&gt;0,'Data Entry'!J421,'Data Entry'!K421)</f>
        <v>0</v>
      </c>
    </row>
    <row r="422" spans="1:5" x14ac:dyDescent="0.25">
      <c r="A422" s="2">
        <f>IF('Data Entry'!J422&gt;0,'Data Entry'!K422,'Data Entry'!L422)</f>
        <v>0</v>
      </c>
      <c r="B422" s="1">
        <f>IF('Data Entry'!J422&gt;0,'Data Entry'!L422,'Data Entry'!M422)</f>
        <v>0</v>
      </c>
      <c r="C422" s="1">
        <f>IF('Data Entry'!N422&gt;0,'Data Entry'!N422,'Data Entry'!O422)</f>
        <v>0</v>
      </c>
      <c r="D422" s="47">
        <f>IF('Data Entry'!P422&gt;0,'Data Entry'!P422,'Data Entry'!Q422)</f>
        <v>0</v>
      </c>
      <c r="E422" s="46">
        <f>IF('Data Entry'!J422&gt;0,'Data Entry'!J422,'Data Entry'!K422)</f>
        <v>0</v>
      </c>
    </row>
    <row r="423" spans="1:5" x14ac:dyDescent="0.25">
      <c r="A423" s="2">
        <f>IF('Data Entry'!J423&gt;0,'Data Entry'!K423,'Data Entry'!L423)</f>
        <v>0</v>
      </c>
      <c r="B423" s="1">
        <f>IF('Data Entry'!J423&gt;0,'Data Entry'!L423,'Data Entry'!M423)</f>
        <v>0</v>
      </c>
      <c r="C423" s="1">
        <f>IF('Data Entry'!N423&gt;0,'Data Entry'!N423,'Data Entry'!O423)</f>
        <v>0</v>
      </c>
      <c r="D423" s="47">
        <f>IF('Data Entry'!P423&gt;0,'Data Entry'!P423,'Data Entry'!Q423)</f>
        <v>0</v>
      </c>
      <c r="E423" s="46">
        <f>IF('Data Entry'!J423&gt;0,'Data Entry'!J423,'Data Entry'!K423)</f>
        <v>0</v>
      </c>
    </row>
    <row r="424" spans="1:5" x14ac:dyDescent="0.25">
      <c r="A424" s="2">
        <f>IF('Data Entry'!J424&gt;0,'Data Entry'!K424,'Data Entry'!L424)</f>
        <v>0</v>
      </c>
      <c r="B424" s="1">
        <f>IF('Data Entry'!J424&gt;0,'Data Entry'!L424,'Data Entry'!M424)</f>
        <v>0</v>
      </c>
      <c r="C424" s="1">
        <f>IF('Data Entry'!N424&gt;0,'Data Entry'!N424,'Data Entry'!O424)</f>
        <v>0</v>
      </c>
      <c r="D424" s="47">
        <f>IF('Data Entry'!P424&gt;0,'Data Entry'!P424,'Data Entry'!Q424)</f>
        <v>0</v>
      </c>
      <c r="E424" s="46">
        <f>IF('Data Entry'!J424&gt;0,'Data Entry'!J424,'Data Entry'!K424)</f>
        <v>0</v>
      </c>
    </row>
    <row r="425" spans="1:5" x14ac:dyDescent="0.25">
      <c r="A425" s="2">
        <f>IF('Data Entry'!J425&gt;0,'Data Entry'!K425,'Data Entry'!L425)</f>
        <v>0</v>
      </c>
      <c r="B425" s="1">
        <f>IF('Data Entry'!J425&gt;0,'Data Entry'!L425,'Data Entry'!M425)</f>
        <v>0</v>
      </c>
      <c r="C425" s="1">
        <f>IF('Data Entry'!N425&gt;0,'Data Entry'!N425,'Data Entry'!O425)</f>
        <v>0</v>
      </c>
      <c r="D425" s="47">
        <f>IF('Data Entry'!P425&gt;0,'Data Entry'!P425,'Data Entry'!Q425)</f>
        <v>0</v>
      </c>
      <c r="E425" s="46">
        <f>IF('Data Entry'!J425&gt;0,'Data Entry'!J425,'Data Entry'!K425)</f>
        <v>0</v>
      </c>
    </row>
    <row r="426" spans="1:5" x14ac:dyDescent="0.25">
      <c r="A426" s="2">
        <f>IF('Data Entry'!J426&gt;0,'Data Entry'!K426,'Data Entry'!L426)</f>
        <v>0</v>
      </c>
      <c r="B426" s="1">
        <f>IF('Data Entry'!J426&gt;0,'Data Entry'!L426,'Data Entry'!M426)</f>
        <v>0</v>
      </c>
      <c r="C426" s="1">
        <f>IF('Data Entry'!N426&gt;0,'Data Entry'!N426,'Data Entry'!O426)</f>
        <v>0</v>
      </c>
      <c r="D426" s="47">
        <f>IF('Data Entry'!P426&gt;0,'Data Entry'!P426,'Data Entry'!Q426)</f>
        <v>0</v>
      </c>
      <c r="E426" s="46">
        <f>IF('Data Entry'!J426&gt;0,'Data Entry'!J426,'Data Entry'!K426)</f>
        <v>0</v>
      </c>
    </row>
    <row r="427" spans="1:5" x14ac:dyDescent="0.25">
      <c r="A427" s="2">
        <f>IF('Data Entry'!J427&gt;0,'Data Entry'!K427,'Data Entry'!L427)</f>
        <v>0</v>
      </c>
      <c r="B427" s="1">
        <f>IF('Data Entry'!J427&gt;0,'Data Entry'!L427,'Data Entry'!M427)</f>
        <v>0</v>
      </c>
      <c r="C427" s="1">
        <f>IF('Data Entry'!N427&gt;0,'Data Entry'!N427,'Data Entry'!O427)</f>
        <v>0</v>
      </c>
      <c r="D427" s="47">
        <f>IF('Data Entry'!P427&gt;0,'Data Entry'!P427,'Data Entry'!Q427)</f>
        <v>0</v>
      </c>
      <c r="E427" s="46">
        <f>IF('Data Entry'!J427&gt;0,'Data Entry'!J427,'Data Entry'!K427)</f>
        <v>0</v>
      </c>
    </row>
    <row r="428" spans="1:5" x14ac:dyDescent="0.25">
      <c r="A428" s="2">
        <f>IF('Data Entry'!J428&gt;0,'Data Entry'!K428,'Data Entry'!L428)</f>
        <v>0</v>
      </c>
      <c r="B428" s="1">
        <f>IF('Data Entry'!J428&gt;0,'Data Entry'!L428,'Data Entry'!M428)</f>
        <v>0</v>
      </c>
      <c r="C428" s="1">
        <f>IF('Data Entry'!N428&gt;0,'Data Entry'!N428,'Data Entry'!O428)</f>
        <v>0</v>
      </c>
      <c r="D428" s="47">
        <f>IF('Data Entry'!P428&gt;0,'Data Entry'!P428,'Data Entry'!Q428)</f>
        <v>0</v>
      </c>
      <c r="E428" s="46">
        <f>IF('Data Entry'!J428&gt;0,'Data Entry'!J428,'Data Entry'!K428)</f>
        <v>0</v>
      </c>
    </row>
    <row r="429" spans="1:5" x14ac:dyDescent="0.25">
      <c r="A429" s="2">
        <f>IF('Data Entry'!J429&gt;0,'Data Entry'!K429,'Data Entry'!L429)</f>
        <v>0</v>
      </c>
      <c r="B429" s="1">
        <f>IF('Data Entry'!J429&gt;0,'Data Entry'!L429,'Data Entry'!M429)</f>
        <v>0</v>
      </c>
      <c r="C429" s="1">
        <f>IF('Data Entry'!N429&gt;0,'Data Entry'!N429,'Data Entry'!O429)</f>
        <v>0</v>
      </c>
      <c r="D429" s="47">
        <f>IF('Data Entry'!P429&gt;0,'Data Entry'!P429,'Data Entry'!Q429)</f>
        <v>0</v>
      </c>
      <c r="E429" s="46">
        <f>IF('Data Entry'!J429&gt;0,'Data Entry'!J429,'Data Entry'!K429)</f>
        <v>0</v>
      </c>
    </row>
    <row r="430" spans="1:5" x14ac:dyDescent="0.25">
      <c r="A430" s="2">
        <f>IF('Data Entry'!J430&gt;0,'Data Entry'!K430,'Data Entry'!L430)</f>
        <v>0</v>
      </c>
      <c r="B430" s="1">
        <f>IF('Data Entry'!J430&gt;0,'Data Entry'!L430,'Data Entry'!M430)</f>
        <v>0</v>
      </c>
      <c r="C430" s="1">
        <f>IF('Data Entry'!N430&gt;0,'Data Entry'!N430,'Data Entry'!O430)</f>
        <v>0</v>
      </c>
      <c r="D430" s="47">
        <f>IF('Data Entry'!P430&gt;0,'Data Entry'!P430,'Data Entry'!Q430)</f>
        <v>0</v>
      </c>
      <c r="E430" s="46">
        <f>IF('Data Entry'!J430&gt;0,'Data Entry'!J430,'Data Entry'!K430)</f>
        <v>0</v>
      </c>
    </row>
    <row r="431" spans="1:5" x14ac:dyDescent="0.25">
      <c r="A431" s="2">
        <f>IF('Data Entry'!J431&gt;0,'Data Entry'!K431,'Data Entry'!L431)</f>
        <v>0</v>
      </c>
      <c r="B431" s="1">
        <f>IF('Data Entry'!J431&gt;0,'Data Entry'!L431,'Data Entry'!M431)</f>
        <v>0</v>
      </c>
      <c r="C431" s="1">
        <f>IF('Data Entry'!N431&gt;0,'Data Entry'!N431,'Data Entry'!O431)</f>
        <v>0</v>
      </c>
      <c r="D431" s="47">
        <f>IF('Data Entry'!P431&gt;0,'Data Entry'!P431,'Data Entry'!Q431)</f>
        <v>0</v>
      </c>
      <c r="E431" s="46">
        <f>IF('Data Entry'!J431&gt;0,'Data Entry'!J431,'Data Entry'!K431)</f>
        <v>0</v>
      </c>
    </row>
    <row r="432" spans="1:5" x14ac:dyDescent="0.25">
      <c r="A432" s="2">
        <f>IF('Data Entry'!J432&gt;0,'Data Entry'!K432,'Data Entry'!L432)</f>
        <v>0</v>
      </c>
      <c r="B432" s="1">
        <f>IF('Data Entry'!J432&gt;0,'Data Entry'!L432,'Data Entry'!M432)</f>
        <v>0</v>
      </c>
      <c r="C432" s="1">
        <f>IF('Data Entry'!N432&gt;0,'Data Entry'!N432,'Data Entry'!O432)</f>
        <v>0</v>
      </c>
      <c r="D432" s="47">
        <f>IF('Data Entry'!P432&gt;0,'Data Entry'!P432,'Data Entry'!Q432)</f>
        <v>0</v>
      </c>
      <c r="E432" s="46">
        <f>IF('Data Entry'!J432&gt;0,'Data Entry'!J432,'Data Entry'!K432)</f>
        <v>0</v>
      </c>
    </row>
    <row r="433" spans="1:5" x14ac:dyDescent="0.25">
      <c r="A433" s="2">
        <f>IF('Data Entry'!J433&gt;0,'Data Entry'!K433,'Data Entry'!L433)</f>
        <v>0</v>
      </c>
      <c r="B433" s="1">
        <f>IF('Data Entry'!J433&gt;0,'Data Entry'!L433,'Data Entry'!M433)</f>
        <v>0</v>
      </c>
      <c r="C433" s="1">
        <f>IF('Data Entry'!N433&gt;0,'Data Entry'!N433,'Data Entry'!O433)</f>
        <v>0</v>
      </c>
      <c r="D433" s="47">
        <f>IF('Data Entry'!P433&gt;0,'Data Entry'!P433,'Data Entry'!Q433)</f>
        <v>0</v>
      </c>
      <c r="E433" s="46">
        <f>IF('Data Entry'!J433&gt;0,'Data Entry'!J433,'Data Entry'!K433)</f>
        <v>0</v>
      </c>
    </row>
    <row r="434" spans="1:5" x14ac:dyDescent="0.25">
      <c r="A434" s="2">
        <f>IF('Data Entry'!J434&gt;0,'Data Entry'!K434,'Data Entry'!L434)</f>
        <v>0</v>
      </c>
      <c r="B434" s="1">
        <f>IF('Data Entry'!J434&gt;0,'Data Entry'!L434,'Data Entry'!M434)</f>
        <v>0</v>
      </c>
      <c r="C434" s="1">
        <f>IF('Data Entry'!N434&gt;0,'Data Entry'!N434,'Data Entry'!O434)</f>
        <v>0</v>
      </c>
      <c r="D434" s="47">
        <f>IF('Data Entry'!P434&gt;0,'Data Entry'!P434,'Data Entry'!Q434)</f>
        <v>0</v>
      </c>
      <c r="E434" s="46">
        <f>IF('Data Entry'!J434&gt;0,'Data Entry'!J434,'Data Entry'!K434)</f>
        <v>0</v>
      </c>
    </row>
    <row r="435" spans="1:5" x14ac:dyDescent="0.25">
      <c r="A435" s="2">
        <f>IF('Data Entry'!J435&gt;0,'Data Entry'!K435,'Data Entry'!L435)</f>
        <v>0</v>
      </c>
      <c r="B435" s="1">
        <f>IF('Data Entry'!J435&gt;0,'Data Entry'!L435,'Data Entry'!M435)</f>
        <v>0</v>
      </c>
      <c r="C435" s="1">
        <f>IF('Data Entry'!N435&gt;0,'Data Entry'!N435,'Data Entry'!O435)</f>
        <v>0</v>
      </c>
      <c r="D435" s="47">
        <f>IF('Data Entry'!P435&gt;0,'Data Entry'!P435,'Data Entry'!Q435)</f>
        <v>0</v>
      </c>
      <c r="E435" s="46">
        <f>IF('Data Entry'!J435&gt;0,'Data Entry'!J435,'Data Entry'!K435)</f>
        <v>0</v>
      </c>
    </row>
    <row r="436" spans="1:5" x14ac:dyDescent="0.25">
      <c r="A436" s="2">
        <f>IF('Data Entry'!J436&gt;0,'Data Entry'!K436,'Data Entry'!L436)</f>
        <v>0</v>
      </c>
      <c r="B436" s="1">
        <f>IF('Data Entry'!J436&gt;0,'Data Entry'!L436,'Data Entry'!M436)</f>
        <v>0</v>
      </c>
      <c r="C436" s="1">
        <f>IF('Data Entry'!N436&gt;0,'Data Entry'!N436,'Data Entry'!O436)</f>
        <v>0</v>
      </c>
      <c r="D436" s="47">
        <f>IF('Data Entry'!P436&gt;0,'Data Entry'!P436,'Data Entry'!Q436)</f>
        <v>0</v>
      </c>
      <c r="E436" s="46">
        <f>IF('Data Entry'!J436&gt;0,'Data Entry'!J436,'Data Entry'!K436)</f>
        <v>0</v>
      </c>
    </row>
    <row r="437" spans="1:5" x14ac:dyDescent="0.25">
      <c r="A437" s="2">
        <f>IF('Data Entry'!J437&gt;0,'Data Entry'!K437,'Data Entry'!L437)</f>
        <v>0</v>
      </c>
      <c r="B437" s="1">
        <f>IF('Data Entry'!J437&gt;0,'Data Entry'!L437,'Data Entry'!M437)</f>
        <v>0</v>
      </c>
      <c r="C437" s="1">
        <f>IF('Data Entry'!N437&gt;0,'Data Entry'!N437,'Data Entry'!O437)</f>
        <v>0</v>
      </c>
      <c r="D437" s="47">
        <f>IF('Data Entry'!P437&gt;0,'Data Entry'!P437,'Data Entry'!Q437)</f>
        <v>0</v>
      </c>
      <c r="E437" s="46">
        <f>IF('Data Entry'!J437&gt;0,'Data Entry'!J437,'Data Entry'!K437)</f>
        <v>0</v>
      </c>
    </row>
    <row r="438" spans="1:5" x14ac:dyDescent="0.25">
      <c r="A438" s="2">
        <f>IF('Data Entry'!J438&gt;0,'Data Entry'!K438,'Data Entry'!L438)</f>
        <v>0</v>
      </c>
      <c r="B438" s="1">
        <f>IF('Data Entry'!J438&gt;0,'Data Entry'!L438,'Data Entry'!M438)</f>
        <v>0</v>
      </c>
      <c r="C438" s="1">
        <f>IF('Data Entry'!N438&gt;0,'Data Entry'!N438,'Data Entry'!O438)</f>
        <v>0</v>
      </c>
      <c r="D438" s="47">
        <f>IF('Data Entry'!P438&gt;0,'Data Entry'!P438,'Data Entry'!Q438)</f>
        <v>0</v>
      </c>
      <c r="E438" s="46">
        <f>IF('Data Entry'!J438&gt;0,'Data Entry'!J438,'Data Entry'!K438)</f>
        <v>0</v>
      </c>
    </row>
    <row r="439" spans="1:5" x14ac:dyDescent="0.25">
      <c r="A439" s="2">
        <f>IF('Data Entry'!J439&gt;0,'Data Entry'!K439,'Data Entry'!L439)</f>
        <v>0</v>
      </c>
      <c r="B439" s="1">
        <f>IF('Data Entry'!J439&gt;0,'Data Entry'!L439,'Data Entry'!M439)</f>
        <v>0</v>
      </c>
      <c r="C439" s="1">
        <f>IF('Data Entry'!N439&gt;0,'Data Entry'!N439,'Data Entry'!O439)</f>
        <v>0</v>
      </c>
      <c r="D439" s="47">
        <f>IF('Data Entry'!P439&gt;0,'Data Entry'!P439,'Data Entry'!Q439)</f>
        <v>0</v>
      </c>
      <c r="E439" s="46">
        <f>IF('Data Entry'!J439&gt;0,'Data Entry'!J439,'Data Entry'!K439)</f>
        <v>0</v>
      </c>
    </row>
    <row r="440" spans="1:5" x14ac:dyDescent="0.25">
      <c r="A440" s="2">
        <f>IF('Data Entry'!J440&gt;0,'Data Entry'!K440,'Data Entry'!L440)</f>
        <v>0</v>
      </c>
      <c r="B440" s="1">
        <f>IF('Data Entry'!J440&gt;0,'Data Entry'!L440,'Data Entry'!M440)</f>
        <v>0</v>
      </c>
      <c r="C440" s="1">
        <f>IF('Data Entry'!N440&gt;0,'Data Entry'!N440,'Data Entry'!O440)</f>
        <v>0</v>
      </c>
      <c r="D440" s="47">
        <f>IF('Data Entry'!P440&gt;0,'Data Entry'!P440,'Data Entry'!Q440)</f>
        <v>0</v>
      </c>
      <c r="E440" s="46">
        <f>IF('Data Entry'!J440&gt;0,'Data Entry'!J440,'Data Entry'!K440)</f>
        <v>0</v>
      </c>
    </row>
    <row r="441" spans="1:5" x14ac:dyDescent="0.25">
      <c r="A441" s="2">
        <f>IF('Data Entry'!J441&gt;0,'Data Entry'!K441,'Data Entry'!L441)</f>
        <v>0</v>
      </c>
      <c r="B441" s="1">
        <f>IF('Data Entry'!J441&gt;0,'Data Entry'!L441,'Data Entry'!M441)</f>
        <v>0</v>
      </c>
      <c r="C441" s="1">
        <f>IF('Data Entry'!N441&gt;0,'Data Entry'!N441,'Data Entry'!O441)</f>
        <v>0</v>
      </c>
      <c r="D441" s="47">
        <f>IF('Data Entry'!P441&gt;0,'Data Entry'!P441,'Data Entry'!Q441)</f>
        <v>0</v>
      </c>
      <c r="E441" s="46">
        <f>IF('Data Entry'!J441&gt;0,'Data Entry'!J441,'Data Entry'!K441)</f>
        <v>0</v>
      </c>
    </row>
    <row r="442" spans="1:5" x14ac:dyDescent="0.25">
      <c r="A442" s="2">
        <f>IF('Data Entry'!J442&gt;0,'Data Entry'!K442,'Data Entry'!L442)</f>
        <v>0</v>
      </c>
      <c r="B442" s="1">
        <f>IF('Data Entry'!J442&gt;0,'Data Entry'!L442,'Data Entry'!M442)</f>
        <v>0</v>
      </c>
      <c r="C442" s="1">
        <f>IF('Data Entry'!N442&gt;0,'Data Entry'!N442,'Data Entry'!O442)</f>
        <v>0</v>
      </c>
      <c r="D442" s="47">
        <f>IF('Data Entry'!P442&gt;0,'Data Entry'!P442,'Data Entry'!Q442)</f>
        <v>0</v>
      </c>
      <c r="E442" s="46">
        <f>IF('Data Entry'!J442&gt;0,'Data Entry'!J442,'Data Entry'!K442)</f>
        <v>0</v>
      </c>
    </row>
    <row r="443" spans="1:5" x14ac:dyDescent="0.25">
      <c r="A443" s="2">
        <f>IF('Data Entry'!J443&gt;0,'Data Entry'!K443,'Data Entry'!L443)</f>
        <v>0</v>
      </c>
      <c r="B443" s="1">
        <f>IF('Data Entry'!J443&gt;0,'Data Entry'!L443,'Data Entry'!M443)</f>
        <v>0</v>
      </c>
      <c r="C443" s="1">
        <f>IF('Data Entry'!N443&gt;0,'Data Entry'!N443,'Data Entry'!O443)</f>
        <v>0</v>
      </c>
      <c r="D443" s="47">
        <f>IF('Data Entry'!P443&gt;0,'Data Entry'!P443,'Data Entry'!Q443)</f>
        <v>0</v>
      </c>
      <c r="E443" s="46">
        <f>IF('Data Entry'!J443&gt;0,'Data Entry'!J443,'Data Entry'!K443)</f>
        <v>0</v>
      </c>
    </row>
    <row r="444" spans="1:5" x14ac:dyDescent="0.25">
      <c r="A444" s="2">
        <f>IF('Data Entry'!J444&gt;0,'Data Entry'!K444,'Data Entry'!L444)</f>
        <v>0</v>
      </c>
      <c r="B444" s="1">
        <f>IF('Data Entry'!J444&gt;0,'Data Entry'!L444,'Data Entry'!M444)</f>
        <v>0</v>
      </c>
      <c r="C444" s="1">
        <f>IF('Data Entry'!N444&gt;0,'Data Entry'!N444,'Data Entry'!O444)</f>
        <v>0</v>
      </c>
      <c r="D444" s="47">
        <f>IF('Data Entry'!P444&gt;0,'Data Entry'!P444,'Data Entry'!Q444)</f>
        <v>0</v>
      </c>
      <c r="E444" s="46">
        <f>IF('Data Entry'!J444&gt;0,'Data Entry'!J444,'Data Entry'!K444)</f>
        <v>0</v>
      </c>
    </row>
    <row r="445" spans="1:5" x14ac:dyDescent="0.25">
      <c r="A445" s="2">
        <f>IF('Data Entry'!J445&gt;0,'Data Entry'!K445,'Data Entry'!L445)</f>
        <v>0</v>
      </c>
      <c r="B445" s="1">
        <f>IF('Data Entry'!J445&gt;0,'Data Entry'!L445,'Data Entry'!M445)</f>
        <v>0</v>
      </c>
      <c r="C445" s="1">
        <f>IF('Data Entry'!N445&gt;0,'Data Entry'!N445,'Data Entry'!O445)</f>
        <v>0</v>
      </c>
      <c r="D445" s="47">
        <f>IF('Data Entry'!P445&gt;0,'Data Entry'!P445,'Data Entry'!Q445)</f>
        <v>0</v>
      </c>
      <c r="E445" s="46">
        <f>IF('Data Entry'!J445&gt;0,'Data Entry'!J445,'Data Entry'!K445)</f>
        <v>0</v>
      </c>
    </row>
    <row r="446" spans="1:5" x14ac:dyDescent="0.25">
      <c r="A446" s="2">
        <f>IF('Data Entry'!J446&gt;0,'Data Entry'!K446,'Data Entry'!L446)</f>
        <v>0</v>
      </c>
      <c r="B446" s="1">
        <f>IF('Data Entry'!J446&gt;0,'Data Entry'!L446,'Data Entry'!M446)</f>
        <v>0</v>
      </c>
      <c r="C446" s="1">
        <f>IF('Data Entry'!N446&gt;0,'Data Entry'!N446,'Data Entry'!O446)</f>
        <v>0</v>
      </c>
      <c r="D446" s="47">
        <f>IF('Data Entry'!P446&gt;0,'Data Entry'!P446,'Data Entry'!Q446)</f>
        <v>0</v>
      </c>
      <c r="E446" s="46">
        <f>IF('Data Entry'!J446&gt;0,'Data Entry'!J446,'Data Entry'!K446)</f>
        <v>0</v>
      </c>
    </row>
    <row r="447" spans="1:5" x14ac:dyDescent="0.25">
      <c r="A447" s="2">
        <f>IF('Data Entry'!J447&gt;0,'Data Entry'!K447,'Data Entry'!L447)</f>
        <v>0</v>
      </c>
      <c r="B447" s="1">
        <f>IF('Data Entry'!J447&gt;0,'Data Entry'!L447,'Data Entry'!M447)</f>
        <v>0</v>
      </c>
      <c r="C447" s="1">
        <f>IF('Data Entry'!N447&gt;0,'Data Entry'!N447,'Data Entry'!O447)</f>
        <v>0</v>
      </c>
      <c r="D447" s="47">
        <f>IF('Data Entry'!P447&gt;0,'Data Entry'!P447,'Data Entry'!Q447)</f>
        <v>0</v>
      </c>
      <c r="E447" s="46">
        <f>IF('Data Entry'!J447&gt;0,'Data Entry'!J447,'Data Entry'!K447)</f>
        <v>0</v>
      </c>
    </row>
    <row r="448" spans="1:5" x14ac:dyDescent="0.25">
      <c r="A448" s="2">
        <f>IF('Data Entry'!J448&gt;0,'Data Entry'!K448,'Data Entry'!L448)</f>
        <v>0</v>
      </c>
      <c r="B448" s="1">
        <f>IF('Data Entry'!J448&gt;0,'Data Entry'!L448,'Data Entry'!M448)</f>
        <v>0</v>
      </c>
      <c r="C448" s="1">
        <f>IF('Data Entry'!N448&gt;0,'Data Entry'!N448,'Data Entry'!O448)</f>
        <v>0</v>
      </c>
      <c r="D448" s="47">
        <f>IF('Data Entry'!P448&gt;0,'Data Entry'!P448,'Data Entry'!Q448)</f>
        <v>0</v>
      </c>
      <c r="E448" s="46">
        <f>IF('Data Entry'!J448&gt;0,'Data Entry'!J448,'Data Entry'!K448)</f>
        <v>0</v>
      </c>
    </row>
    <row r="449" spans="1:5" x14ac:dyDescent="0.25">
      <c r="A449" s="2">
        <f>IF('Data Entry'!J449&gt;0,'Data Entry'!K449,'Data Entry'!L449)</f>
        <v>0</v>
      </c>
      <c r="B449" s="1">
        <f>IF('Data Entry'!J449&gt;0,'Data Entry'!L449,'Data Entry'!M449)</f>
        <v>0</v>
      </c>
      <c r="C449" s="1">
        <f>IF('Data Entry'!N449&gt;0,'Data Entry'!N449,'Data Entry'!O449)</f>
        <v>0</v>
      </c>
      <c r="D449" s="47">
        <f>IF('Data Entry'!P449&gt;0,'Data Entry'!P449,'Data Entry'!Q449)</f>
        <v>0</v>
      </c>
      <c r="E449" s="46">
        <f>IF('Data Entry'!J449&gt;0,'Data Entry'!J449,'Data Entry'!K449)</f>
        <v>0</v>
      </c>
    </row>
    <row r="450" spans="1:5" x14ac:dyDescent="0.25">
      <c r="A450" s="2">
        <f>IF('Data Entry'!J450&gt;0,'Data Entry'!K450,'Data Entry'!L450)</f>
        <v>0</v>
      </c>
      <c r="B450" s="1">
        <f>IF('Data Entry'!J450&gt;0,'Data Entry'!L450,'Data Entry'!M450)</f>
        <v>0</v>
      </c>
      <c r="C450" s="1">
        <f>IF('Data Entry'!N450&gt;0,'Data Entry'!N450,'Data Entry'!O450)</f>
        <v>0</v>
      </c>
      <c r="D450" s="47">
        <f>IF('Data Entry'!P450&gt;0,'Data Entry'!P450,'Data Entry'!Q450)</f>
        <v>0</v>
      </c>
      <c r="E450" s="46">
        <f>IF('Data Entry'!J450&gt;0,'Data Entry'!J450,'Data Entry'!K450)</f>
        <v>0</v>
      </c>
    </row>
    <row r="451" spans="1:5" x14ac:dyDescent="0.25">
      <c r="A451" s="2">
        <f>IF('Data Entry'!J451&gt;0,'Data Entry'!K451,'Data Entry'!L451)</f>
        <v>0</v>
      </c>
      <c r="B451" s="1">
        <f>IF('Data Entry'!J451&gt;0,'Data Entry'!L451,'Data Entry'!M451)</f>
        <v>0</v>
      </c>
      <c r="C451" s="1">
        <f>IF('Data Entry'!N451&gt;0,'Data Entry'!N451,'Data Entry'!O451)</f>
        <v>0</v>
      </c>
      <c r="D451" s="47">
        <f>IF('Data Entry'!P451&gt;0,'Data Entry'!P451,'Data Entry'!Q451)</f>
        <v>0</v>
      </c>
      <c r="E451" s="46">
        <f>IF('Data Entry'!J451&gt;0,'Data Entry'!J451,'Data Entry'!K451)</f>
        <v>0</v>
      </c>
    </row>
    <row r="452" spans="1:5" x14ac:dyDescent="0.25">
      <c r="A452" s="2">
        <f>IF('Data Entry'!J452&gt;0,'Data Entry'!K452,'Data Entry'!L452)</f>
        <v>0</v>
      </c>
      <c r="B452" s="1">
        <f>IF('Data Entry'!J452&gt;0,'Data Entry'!L452,'Data Entry'!M452)</f>
        <v>0</v>
      </c>
      <c r="C452" s="1">
        <f>IF('Data Entry'!N452&gt;0,'Data Entry'!N452,'Data Entry'!O452)</f>
        <v>0</v>
      </c>
      <c r="D452" s="47">
        <f>IF('Data Entry'!P452&gt;0,'Data Entry'!P452,'Data Entry'!Q452)</f>
        <v>0</v>
      </c>
      <c r="E452" s="46">
        <f>IF('Data Entry'!J452&gt;0,'Data Entry'!J452,'Data Entry'!K452)</f>
        <v>0</v>
      </c>
    </row>
    <row r="453" spans="1:5" x14ac:dyDescent="0.25">
      <c r="A453" s="2">
        <f>IF('Data Entry'!J453&gt;0,'Data Entry'!K453,'Data Entry'!L453)</f>
        <v>0</v>
      </c>
      <c r="B453" s="1">
        <f>IF('Data Entry'!J453&gt;0,'Data Entry'!L453,'Data Entry'!M453)</f>
        <v>0</v>
      </c>
      <c r="C453" s="1">
        <f>IF('Data Entry'!N453&gt;0,'Data Entry'!N453,'Data Entry'!O453)</f>
        <v>0</v>
      </c>
      <c r="D453" s="47">
        <f>IF('Data Entry'!P453&gt;0,'Data Entry'!P453,'Data Entry'!Q453)</f>
        <v>0</v>
      </c>
      <c r="E453" s="46">
        <f>IF('Data Entry'!J453&gt;0,'Data Entry'!J453,'Data Entry'!K453)</f>
        <v>0</v>
      </c>
    </row>
    <row r="454" spans="1:5" x14ac:dyDescent="0.25">
      <c r="A454" s="2">
        <f>IF('Data Entry'!J454&gt;0,'Data Entry'!K454,'Data Entry'!L454)</f>
        <v>0</v>
      </c>
      <c r="B454" s="1">
        <f>IF('Data Entry'!J454&gt;0,'Data Entry'!L454,'Data Entry'!M454)</f>
        <v>0</v>
      </c>
      <c r="C454" s="1">
        <f>IF('Data Entry'!N454&gt;0,'Data Entry'!N454,'Data Entry'!O454)</f>
        <v>0</v>
      </c>
      <c r="D454" s="47">
        <f>IF('Data Entry'!P454&gt;0,'Data Entry'!P454,'Data Entry'!Q454)</f>
        <v>0</v>
      </c>
      <c r="E454" s="46">
        <f>IF('Data Entry'!J454&gt;0,'Data Entry'!J454,'Data Entry'!K454)</f>
        <v>0</v>
      </c>
    </row>
    <row r="455" spans="1:5" x14ac:dyDescent="0.25">
      <c r="A455" s="2">
        <f>IF('Data Entry'!J455&gt;0,'Data Entry'!K455,'Data Entry'!L455)</f>
        <v>0</v>
      </c>
      <c r="B455" s="1">
        <f>IF('Data Entry'!J455&gt;0,'Data Entry'!L455,'Data Entry'!M455)</f>
        <v>0</v>
      </c>
      <c r="C455" s="1">
        <f>IF('Data Entry'!N455&gt;0,'Data Entry'!N455,'Data Entry'!O455)</f>
        <v>0</v>
      </c>
      <c r="D455" s="47">
        <f>IF('Data Entry'!P455&gt;0,'Data Entry'!P455,'Data Entry'!Q455)</f>
        <v>0</v>
      </c>
      <c r="E455" s="46">
        <f>IF('Data Entry'!J455&gt;0,'Data Entry'!J455,'Data Entry'!K455)</f>
        <v>0</v>
      </c>
    </row>
    <row r="456" spans="1:5" x14ac:dyDescent="0.25">
      <c r="A456" s="2">
        <f>IF('Data Entry'!J456&gt;0,'Data Entry'!K456,'Data Entry'!L456)</f>
        <v>0</v>
      </c>
      <c r="B456" s="1">
        <f>IF('Data Entry'!J456&gt;0,'Data Entry'!L456,'Data Entry'!M456)</f>
        <v>0</v>
      </c>
      <c r="C456" s="1">
        <f>IF('Data Entry'!N456&gt;0,'Data Entry'!N456,'Data Entry'!O456)</f>
        <v>0</v>
      </c>
      <c r="D456" s="47">
        <f>IF('Data Entry'!P456&gt;0,'Data Entry'!P456,'Data Entry'!Q456)</f>
        <v>0</v>
      </c>
      <c r="E456" s="46">
        <f>IF('Data Entry'!J456&gt;0,'Data Entry'!J456,'Data Entry'!K456)</f>
        <v>0</v>
      </c>
    </row>
    <row r="457" spans="1:5" x14ac:dyDescent="0.25">
      <c r="A457" s="2">
        <f>IF('Data Entry'!J457&gt;0,'Data Entry'!K457,'Data Entry'!L457)</f>
        <v>0</v>
      </c>
      <c r="B457" s="1">
        <f>IF('Data Entry'!J457&gt;0,'Data Entry'!L457,'Data Entry'!M457)</f>
        <v>0</v>
      </c>
      <c r="C457" s="1">
        <f>IF('Data Entry'!N457&gt;0,'Data Entry'!N457,'Data Entry'!O457)</f>
        <v>0</v>
      </c>
      <c r="D457" s="47">
        <f>IF('Data Entry'!P457&gt;0,'Data Entry'!P457,'Data Entry'!Q457)</f>
        <v>0</v>
      </c>
      <c r="E457" s="46">
        <f>IF('Data Entry'!J457&gt;0,'Data Entry'!J457,'Data Entry'!K457)</f>
        <v>0</v>
      </c>
    </row>
    <row r="458" spans="1:5" x14ac:dyDescent="0.25">
      <c r="A458" s="2">
        <f>IF('Data Entry'!J458&gt;0,'Data Entry'!K458,'Data Entry'!L458)</f>
        <v>0</v>
      </c>
      <c r="B458" s="1">
        <f>IF('Data Entry'!J458&gt;0,'Data Entry'!L458,'Data Entry'!M458)</f>
        <v>0</v>
      </c>
      <c r="C458" s="1">
        <f>IF('Data Entry'!N458&gt;0,'Data Entry'!N458,'Data Entry'!O458)</f>
        <v>0</v>
      </c>
      <c r="D458" s="47">
        <f>IF('Data Entry'!P458&gt;0,'Data Entry'!P458,'Data Entry'!Q458)</f>
        <v>0</v>
      </c>
      <c r="E458" s="46">
        <f>IF('Data Entry'!J458&gt;0,'Data Entry'!J458,'Data Entry'!K458)</f>
        <v>0</v>
      </c>
    </row>
    <row r="459" spans="1:5" x14ac:dyDescent="0.25">
      <c r="A459" s="2">
        <f>IF('Data Entry'!J459&gt;0,'Data Entry'!K459,'Data Entry'!L459)</f>
        <v>0</v>
      </c>
      <c r="B459" s="1">
        <f>IF('Data Entry'!J459&gt;0,'Data Entry'!L459,'Data Entry'!M459)</f>
        <v>0</v>
      </c>
      <c r="C459" s="1">
        <f>IF('Data Entry'!N459&gt;0,'Data Entry'!N459,'Data Entry'!O459)</f>
        <v>0</v>
      </c>
      <c r="D459" s="47">
        <f>IF('Data Entry'!P459&gt;0,'Data Entry'!P459,'Data Entry'!Q459)</f>
        <v>0</v>
      </c>
      <c r="E459" s="46">
        <f>IF('Data Entry'!J459&gt;0,'Data Entry'!J459,'Data Entry'!K459)</f>
        <v>0</v>
      </c>
    </row>
    <row r="460" spans="1:5" x14ac:dyDescent="0.25">
      <c r="A460" s="2">
        <f>IF('Data Entry'!J460&gt;0,'Data Entry'!K460,'Data Entry'!L460)</f>
        <v>0</v>
      </c>
      <c r="B460" s="1">
        <f>IF('Data Entry'!J460&gt;0,'Data Entry'!L460,'Data Entry'!M460)</f>
        <v>0</v>
      </c>
      <c r="C460" s="1">
        <f>IF('Data Entry'!N460&gt;0,'Data Entry'!N460,'Data Entry'!O460)</f>
        <v>0</v>
      </c>
      <c r="D460" s="47">
        <f>IF('Data Entry'!P460&gt;0,'Data Entry'!P460,'Data Entry'!Q460)</f>
        <v>0</v>
      </c>
      <c r="E460" s="46">
        <f>IF('Data Entry'!J460&gt;0,'Data Entry'!J460,'Data Entry'!K460)</f>
        <v>0</v>
      </c>
    </row>
    <row r="461" spans="1:5" x14ac:dyDescent="0.25">
      <c r="A461" s="2">
        <f>IF('Data Entry'!J461&gt;0,'Data Entry'!K461,'Data Entry'!L461)</f>
        <v>0</v>
      </c>
      <c r="B461" s="1">
        <f>IF('Data Entry'!J461&gt;0,'Data Entry'!L461,'Data Entry'!M461)</f>
        <v>0</v>
      </c>
      <c r="C461" s="1">
        <f>IF('Data Entry'!N461&gt;0,'Data Entry'!N461,'Data Entry'!O461)</f>
        <v>0</v>
      </c>
      <c r="D461" s="47">
        <f>IF('Data Entry'!P461&gt;0,'Data Entry'!P461,'Data Entry'!Q461)</f>
        <v>0</v>
      </c>
      <c r="E461" s="46">
        <f>IF('Data Entry'!J461&gt;0,'Data Entry'!J461,'Data Entry'!K461)</f>
        <v>0</v>
      </c>
    </row>
    <row r="462" spans="1:5" x14ac:dyDescent="0.25">
      <c r="A462" s="2">
        <f>IF('Data Entry'!J462&gt;0,'Data Entry'!K462,'Data Entry'!L462)</f>
        <v>0</v>
      </c>
      <c r="B462" s="1">
        <f>IF('Data Entry'!J462&gt;0,'Data Entry'!L462,'Data Entry'!M462)</f>
        <v>0</v>
      </c>
      <c r="C462" s="1">
        <f>IF('Data Entry'!N462&gt;0,'Data Entry'!N462,'Data Entry'!O462)</f>
        <v>0</v>
      </c>
      <c r="D462" s="47">
        <f>IF('Data Entry'!P462&gt;0,'Data Entry'!P462,'Data Entry'!Q462)</f>
        <v>0</v>
      </c>
      <c r="E462" s="46">
        <f>IF('Data Entry'!J462&gt;0,'Data Entry'!J462,'Data Entry'!K462)</f>
        <v>0</v>
      </c>
    </row>
    <row r="463" spans="1:5" x14ac:dyDescent="0.25">
      <c r="A463" s="2">
        <f>IF('Data Entry'!J463&gt;0,'Data Entry'!K463,'Data Entry'!L463)</f>
        <v>0</v>
      </c>
      <c r="B463" s="1">
        <f>IF('Data Entry'!J463&gt;0,'Data Entry'!L463,'Data Entry'!M463)</f>
        <v>0</v>
      </c>
      <c r="C463" s="1">
        <f>IF('Data Entry'!N463&gt;0,'Data Entry'!N463,'Data Entry'!O463)</f>
        <v>0</v>
      </c>
      <c r="D463" s="47">
        <f>IF('Data Entry'!P463&gt;0,'Data Entry'!P463,'Data Entry'!Q463)</f>
        <v>0</v>
      </c>
      <c r="E463" s="46">
        <f>IF('Data Entry'!J463&gt;0,'Data Entry'!J463,'Data Entry'!K463)</f>
        <v>0</v>
      </c>
    </row>
    <row r="464" spans="1:5" x14ac:dyDescent="0.25">
      <c r="A464" s="2">
        <f>IF('Data Entry'!J464&gt;0,'Data Entry'!K464,'Data Entry'!L464)</f>
        <v>0</v>
      </c>
      <c r="B464" s="1">
        <f>IF('Data Entry'!J464&gt;0,'Data Entry'!L464,'Data Entry'!M464)</f>
        <v>0</v>
      </c>
      <c r="C464" s="1">
        <f>IF('Data Entry'!N464&gt;0,'Data Entry'!N464,'Data Entry'!O464)</f>
        <v>0</v>
      </c>
      <c r="D464" s="47">
        <f>IF('Data Entry'!P464&gt;0,'Data Entry'!P464,'Data Entry'!Q464)</f>
        <v>0</v>
      </c>
      <c r="E464" s="46">
        <f>IF('Data Entry'!J464&gt;0,'Data Entry'!J464,'Data Entry'!K464)</f>
        <v>0</v>
      </c>
    </row>
    <row r="465" spans="1:5" x14ac:dyDescent="0.25">
      <c r="A465" s="2">
        <f>IF('Data Entry'!J465&gt;0,'Data Entry'!K465,'Data Entry'!L465)</f>
        <v>0</v>
      </c>
      <c r="B465" s="1">
        <f>IF('Data Entry'!J465&gt;0,'Data Entry'!L465,'Data Entry'!M465)</f>
        <v>0</v>
      </c>
      <c r="C465" s="1">
        <f>IF('Data Entry'!N465&gt;0,'Data Entry'!N465,'Data Entry'!O465)</f>
        <v>0</v>
      </c>
      <c r="D465" s="47">
        <f>IF('Data Entry'!P465&gt;0,'Data Entry'!P465,'Data Entry'!Q465)</f>
        <v>0</v>
      </c>
      <c r="E465" s="46">
        <f>IF('Data Entry'!J465&gt;0,'Data Entry'!J465,'Data Entry'!K465)</f>
        <v>0</v>
      </c>
    </row>
    <row r="466" spans="1:5" x14ac:dyDescent="0.25">
      <c r="A466" s="2">
        <f>IF('Data Entry'!J466&gt;0,'Data Entry'!K466,'Data Entry'!L466)</f>
        <v>0</v>
      </c>
      <c r="B466" s="1">
        <f>IF('Data Entry'!J466&gt;0,'Data Entry'!L466,'Data Entry'!M466)</f>
        <v>0</v>
      </c>
      <c r="C466" s="1">
        <f>IF('Data Entry'!N466&gt;0,'Data Entry'!N466,'Data Entry'!O466)</f>
        <v>0</v>
      </c>
      <c r="D466" s="47">
        <f>IF('Data Entry'!P466&gt;0,'Data Entry'!P466,'Data Entry'!Q466)</f>
        <v>0</v>
      </c>
      <c r="E466" s="46">
        <f>IF('Data Entry'!J466&gt;0,'Data Entry'!J466,'Data Entry'!K466)</f>
        <v>0</v>
      </c>
    </row>
    <row r="467" spans="1:5" x14ac:dyDescent="0.25">
      <c r="A467" s="2">
        <f>IF('Data Entry'!J467&gt;0,'Data Entry'!K467,'Data Entry'!L467)</f>
        <v>0</v>
      </c>
      <c r="B467" s="1">
        <f>IF('Data Entry'!J467&gt;0,'Data Entry'!L467,'Data Entry'!M467)</f>
        <v>0</v>
      </c>
      <c r="C467" s="1">
        <f>IF('Data Entry'!N467&gt;0,'Data Entry'!N467,'Data Entry'!O467)</f>
        <v>0</v>
      </c>
      <c r="D467" s="47">
        <f>IF('Data Entry'!P467&gt;0,'Data Entry'!P467,'Data Entry'!Q467)</f>
        <v>0</v>
      </c>
      <c r="E467" s="46">
        <f>IF('Data Entry'!J467&gt;0,'Data Entry'!J467,'Data Entry'!K467)</f>
        <v>0</v>
      </c>
    </row>
    <row r="468" spans="1:5" x14ac:dyDescent="0.25">
      <c r="A468" s="2">
        <f>IF('Data Entry'!J468&gt;0,'Data Entry'!K468,'Data Entry'!L468)</f>
        <v>0</v>
      </c>
      <c r="B468" s="1">
        <f>IF('Data Entry'!J468&gt;0,'Data Entry'!L468,'Data Entry'!M468)</f>
        <v>0</v>
      </c>
      <c r="C468" s="1">
        <f>IF('Data Entry'!N468&gt;0,'Data Entry'!N468,'Data Entry'!O468)</f>
        <v>0</v>
      </c>
      <c r="D468" s="47">
        <f>IF('Data Entry'!P468&gt;0,'Data Entry'!P468,'Data Entry'!Q468)</f>
        <v>0</v>
      </c>
      <c r="E468" s="46">
        <f>IF('Data Entry'!J468&gt;0,'Data Entry'!J468,'Data Entry'!K468)</f>
        <v>0</v>
      </c>
    </row>
    <row r="469" spans="1:5" x14ac:dyDescent="0.25">
      <c r="A469" s="2">
        <f>IF('Data Entry'!J469&gt;0,'Data Entry'!K469,'Data Entry'!L469)</f>
        <v>0</v>
      </c>
      <c r="B469" s="1">
        <f>IF('Data Entry'!J469&gt;0,'Data Entry'!L469,'Data Entry'!M469)</f>
        <v>0</v>
      </c>
      <c r="C469" s="1">
        <f>IF('Data Entry'!N469&gt;0,'Data Entry'!N469,'Data Entry'!O469)</f>
        <v>0</v>
      </c>
      <c r="D469" s="47">
        <f>IF('Data Entry'!P469&gt;0,'Data Entry'!P469,'Data Entry'!Q469)</f>
        <v>0</v>
      </c>
      <c r="E469" s="46">
        <f>IF('Data Entry'!J469&gt;0,'Data Entry'!J469,'Data Entry'!K469)</f>
        <v>0</v>
      </c>
    </row>
    <row r="470" spans="1:5" x14ac:dyDescent="0.25">
      <c r="A470" s="2">
        <f>IF('Data Entry'!J470&gt;0,'Data Entry'!K470,'Data Entry'!L470)</f>
        <v>0</v>
      </c>
      <c r="B470" s="1">
        <f>IF('Data Entry'!J470&gt;0,'Data Entry'!L470,'Data Entry'!M470)</f>
        <v>0</v>
      </c>
      <c r="C470" s="1">
        <f>IF('Data Entry'!N470&gt;0,'Data Entry'!N470,'Data Entry'!O470)</f>
        <v>0</v>
      </c>
      <c r="D470" s="47">
        <f>IF('Data Entry'!P470&gt;0,'Data Entry'!P470,'Data Entry'!Q470)</f>
        <v>0</v>
      </c>
      <c r="E470" s="46">
        <f>IF('Data Entry'!J470&gt;0,'Data Entry'!J470,'Data Entry'!K470)</f>
        <v>0</v>
      </c>
    </row>
    <row r="471" spans="1:5" x14ac:dyDescent="0.25">
      <c r="A471" s="2">
        <f>IF('Data Entry'!J471&gt;0,'Data Entry'!K471,'Data Entry'!L471)</f>
        <v>0</v>
      </c>
      <c r="B471" s="1">
        <f>IF('Data Entry'!J471&gt;0,'Data Entry'!L471,'Data Entry'!M471)</f>
        <v>0</v>
      </c>
      <c r="C471" s="1">
        <f>IF('Data Entry'!N471&gt;0,'Data Entry'!N471,'Data Entry'!O471)</f>
        <v>0</v>
      </c>
      <c r="D471" s="47">
        <f>IF('Data Entry'!P471&gt;0,'Data Entry'!P471,'Data Entry'!Q471)</f>
        <v>0</v>
      </c>
      <c r="E471" s="46">
        <f>IF('Data Entry'!J471&gt;0,'Data Entry'!J471,'Data Entry'!K471)</f>
        <v>0</v>
      </c>
    </row>
    <row r="472" spans="1:5" x14ac:dyDescent="0.25">
      <c r="A472" s="2">
        <f>IF('Data Entry'!J472&gt;0,'Data Entry'!K472,'Data Entry'!L472)</f>
        <v>0</v>
      </c>
      <c r="B472" s="1">
        <f>IF('Data Entry'!J472&gt;0,'Data Entry'!L472,'Data Entry'!M472)</f>
        <v>0</v>
      </c>
      <c r="C472" s="1">
        <f>IF('Data Entry'!N472&gt;0,'Data Entry'!N472,'Data Entry'!O472)</f>
        <v>0</v>
      </c>
      <c r="D472" s="47">
        <f>IF('Data Entry'!P472&gt;0,'Data Entry'!P472,'Data Entry'!Q472)</f>
        <v>0</v>
      </c>
      <c r="E472" s="46">
        <f>IF('Data Entry'!J472&gt;0,'Data Entry'!J472,'Data Entry'!K472)</f>
        <v>0</v>
      </c>
    </row>
    <row r="473" spans="1:5" x14ac:dyDescent="0.25">
      <c r="A473" s="2">
        <f>IF('Data Entry'!J473&gt;0,'Data Entry'!K473,'Data Entry'!L473)</f>
        <v>0</v>
      </c>
      <c r="B473" s="1">
        <f>IF('Data Entry'!J473&gt;0,'Data Entry'!L473,'Data Entry'!M473)</f>
        <v>0</v>
      </c>
      <c r="C473" s="1">
        <f>IF('Data Entry'!N473&gt;0,'Data Entry'!N473,'Data Entry'!O473)</f>
        <v>0</v>
      </c>
      <c r="D473" s="47">
        <f>IF('Data Entry'!P473&gt;0,'Data Entry'!P473,'Data Entry'!Q473)</f>
        <v>0</v>
      </c>
      <c r="E473" s="46">
        <f>IF('Data Entry'!J473&gt;0,'Data Entry'!J473,'Data Entry'!K473)</f>
        <v>0</v>
      </c>
    </row>
    <row r="474" spans="1:5" x14ac:dyDescent="0.25">
      <c r="A474" s="2">
        <f>IF('Data Entry'!J474&gt;0,'Data Entry'!K474,'Data Entry'!L474)</f>
        <v>0</v>
      </c>
      <c r="B474" s="1">
        <f>IF('Data Entry'!J474&gt;0,'Data Entry'!L474,'Data Entry'!M474)</f>
        <v>0</v>
      </c>
      <c r="C474" s="1">
        <f>IF('Data Entry'!N474&gt;0,'Data Entry'!N474,'Data Entry'!O474)</f>
        <v>0</v>
      </c>
      <c r="D474" s="47">
        <f>IF('Data Entry'!P474&gt;0,'Data Entry'!P474,'Data Entry'!Q474)</f>
        <v>0</v>
      </c>
      <c r="E474" s="46">
        <f>IF('Data Entry'!J474&gt;0,'Data Entry'!J474,'Data Entry'!K474)</f>
        <v>0</v>
      </c>
    </row>
    <row r="475" spans="1:5" x14ac:dyDescent="0.25">
      <c r="A475" s="2">
        <f>IF('Data Entry'!J475&gt;0,'Data Entry'!K475,'Data Entry'!L475)</f>
        <v>0</v>
      </c>
      <c r="B475" s="1">
        <f>IF('Data Entry'!J475&gt;0,'Data Entry'!L475,'Data Entry'!M475)</f>
        <v>0</v>
      </c>
      <c r="C475" s="1">
        <f>IF('Data Entry'!N475&gt;0,'Data Entry'!N475,'Data Entry'!O475)</f>
        <v>0</v>
      </c>
      <c r="D475" s="47">
        <f>IF('Data Entry'!P475&gt;0,'Data Entry'!P475,'Data Entry'!Q475)</f>
        <v>0</v>
      </c>
      <c r="E475" s="46">
        <f>IF('Data Entry'!J475&gt;0,'Data Entry'!J475,'Data Entry'!K475)</f>
        <v>0</v>
      </c>
    </row>
    <row r="476" spans="1:5" x14ac:dyDescent="0.25">
      <c r="A476" s="2">
        <f>IF('Data Entry'!J476&gt;0,'Data Entry'!K476,'Data Entry'!L476)</f>
        <v>0</v>
      </c>
      <c r="B476" s="1">
        <f>IF('Data Entry'!J476&gt;0,'Data Entry'!L476,'Data Entry'!M476)</f>
        <v>0</v>
      </c>
      <c r="C476" s="1">
        <f>IF('Data Entry'!N476&gt;0,'Data Entry'!N476,'Data Entry'!O476)</f>
        <v>0</v>
      </c>
      <c r="D476" s="47">
        <f>IF('Data Entry'!P476&gt;0,'Data Entry'!P476,'Data Entry'!Q476)</f>
        <v>0</v>
      </c>
      <c r="E476" s="46">
        <f>IF('Data Entry'!J476&gt;0,'Data Entry'!J476,'Data Entry'!K476)</f>
        <v>0</v>
      </c>
    </row>
    <row r="477" spans="1:5" x14ac:dyDescent="0.25">
      <c r="A477" s="2">
        <f>IF('Data Entry'!J477&gt;0,'Data Entry'!K477,'Data Entry'!L477)</f>
        <v>0</v>
      </c>
      <c r="B477" s="1">
        <f>IF('Data Entry'!J477&gt;0,'Data Entry'!L477,'Data Entry'!M477)</f>
        <v>0</v>
      </c>
      <c r="C477" s="1">
        <f>IF('Data Entry'!N477&gt;0,'Data Entry'!N477,'Data Entry'!O477)</f>
        <v>0</v>
      </c>
      <c r="D477" s="47">
        <f>IF('Data Entry'!P477&gt;0,'Data Entry'!P477,'Data Entry'!Q477)</f>
        <v>0</v>
      </c>
      <c r="E477" s="46">
        <f>IF('Data Entry'!J477&gt;0,'Data Entry'!J477,'Data Entry'!K477)</f>
        <v>0</v>
      </c>
    </row>
    <row r="478" spans="1:5" x14ac:dyDescent="0.25">
      <c r="A478" s="2">
        <f>IF('Data Entry'!J478&gt;0,'Data Entry'!K478,'Data Entry'!L478)</f>
        <v>0</v>
      </c>
      <c r="B478" s="1">
        <f>IF('Data Entry'!J478&gt;0,'Data Entry'!L478,'Data Entry'!M478)</f>
        <v>0</v>
      </c>
      <c r="C478" s="1">
        <f>IF('Data Entry'!N478&gt;0,'Data Entry'!N478,'Data Entry'!O478)</f>
        <v>0</v>
      </c>
      <c r="D478" s="47">
        <f>IF('Data Entry'!P478&gt;0,'Data Entry'!P478,'Data Entry'!Q478)</f>
        <v>0</v>
      </c>
      <c r="E478" s="46">
        <f>IF('Data Entry'!J478&gt;0,'Data Entry'!J478,'Data Entry'!K478)</f>
        <v>0</v>
      </c>
    </row>
    <row r="479" spans="1:5" x14ac:dyDescent="0.25">
      <c r="A479" s="2">
        <f>IF('Data Entry'!J479&gt;0,'Data Entry'!K479,'Data Entry'!L479)</f>
        <v>0</v>
      </c>
      <c r="B479" s="1">
        <f>IF('Data Entry'!J479&gt;0,'Data Entry'!L479,'Data Entry'!M479)</f>
        <v>0</v>
      </c>
      <c r="C479" s="1">
        <f>IF('Data Entry'!N479&gt;0,'Data Entry'!N479,'Data Entry'!O479)</f>
        <v>0</v>
      </c>
      <c r="D479" s="47">
        <f>IF('Data Entry'!P479&gt;0,'Data Entry'!P479,'Data Entry'!Q479)</f>
        <v>0</v>
      </c>
      <c r="E479" s="46">
        <f>IF('Data Entry'!J479&gt;0,'Data Entry'!J479,'Data Entry'!K479)</f>
        <v>0</v>
      </c>
    </row>
    <row r="480" spans="1:5" x14ac:dyDescent="0.25">
      <c r="A480" s="2">
        <f>IF('Data Entry'!J480&gt;0,'Data Entry'!K480,'Data Entry'!L480)</f>
        <v>0</v>
      </c>
      <c r="B480" s="1">
        <f>IF('Data Entry'!J480&gt;0,'Data Entry'!L480,'Data Entry'!M480)</f>
        <v>0</v>
      </c>
      <c r="C480" s="1">
        <f>IF('Data Entry'!N480&gt;0,'Data Entry'!N480,'Data Entry'!O480)</f>
        <v>0</v>
      </c>
      <c r="D480" s="47">
        <f>IF('Data Entry'!P480&gt;0,'Data Entry'!P480,'Data Entry'!Q480)</f>
        <v>0</v>
      </c>
      <c r="E480" s="46">
        <f>IF('Data Entry'!J480&gt;0,'Data Entry'!J480,'Data Entry'!K480)</f>
        <v>0</v>
      </c>
    </row>
    <row r="481" spans="1:5" x14ac:dyDescent="0.25">
      <c r="A481" s="2">
        <f>IF('Data Entry'!J481&gt;0,'Data Entry'!K481,'Data Entry'!L481)</f>
        <v>0</v>
      </c>
      <c r="B481" s="1">
        <f>IF('Data Entry'!J481&gt;0,'Data Entry'!L481,'Data Entry'!M481)</f>
        <v>0</v>
      </c>
      <c r="C481" s="1">
        <f>IF('Data Entry'!N481&gt;0,'Data Entry'!N481,'Data Entry'!O481)</f>
        <v>0</v>
      </c>
      <c r="D481" s="47">
        <f>IF('Data Entry'!P481&gt;0,'Data Entry'!P481,'Data Entry'!Q481)</f>
        <v>0</v>
      </c>
      <c r="E481" s="46">
        <f>IF('Data Entry'!J481&gt;0,'Data Entry'!J481,'Data Entry'!K481)</f>
        <v>0</v>
      </c>
    </row>
    <row r="482" spans="1:5" x14ac:dyDescent="0.25">
      <c r="A482" s="2">
        <f>IF('Data Entry'!J482&gt;0,'Data Entry'!K482,'Data Entry'!L482)</f>
        <v>0</v>
      </c>
      <c r="B482" s="1">
        <f>IF('Data Entry'!J482&gt;0,'Data Entry'!L482,'Data Entry'!M482)</f>
        <v>0</v>
      </c>
      <c r="C482" s="1">
        <f>IF('Data Entry'!N482&gt;0,'Data Entry'!N482,'Data Entry'!O482)</f>
        <v>0</v>
      </c>
      <c r="D482" s="47">
        <f>IF('Data Entry'!P482&gt;0,'Data Entry'!P482,'Data Entry'!Q482)</f>
        <v>0</v>
      </c>
      <c r="E482" s="46">
        <f>IF('Data Entry'!J482&gt;0,'Data Entry'!J482,'Data Entry'!K482)</f>
        <v>0</v>
      </c>
    </row>
    <row r="483" spans="1:5" x14ac:dyDescent="0.25">
      <c r="A483" s="2">
        <f>IF('Data Entry'!J483&gt;0,'Data Entry'!K483,'Data Entry'!L483)</f>
        <v>0</v>
      </c>
      <c r="B483" s="1">
        <f>IF('Data Entry'!J483&gt;0,'Data Entry'!L483,'Data Entry'!M483)</f>
        <v>0</v>
      </c>
      <c r="C483" s="1">
        <f>IF('Data Entry'!N483&gt;0,'Data Entry'!N483,'Data Entry'!O483)</f>
        <v>0</v>
      </c>
      <c r="D483" s="47">
        <f>IF('Data Entry'!P483&gt;0,'Data Entry'!P483,'Data Entry'!Q483)</f>
        <v>0</v>
      </c>
      <c r="E483" s="46">
        <f>IF('Data Entry'!J483&gt;0,'Data Entry'!J483,'Data Entry'!K483)</f>
        <v>0</v>
      </c>
    </row>
    <row r="484" spans="1:5" x14ac:dyDescent="0.25">
      <c r="A484" s="2">
        <f>IF('Data Entry'!J484&gt;0,'Data Entry'!K484,'Data Entry'!L484)</f>
        <v>0</v>
      </c>
      <c r="B484" s="1">
        <f>IF('Data Entry'!J484&gt;0,'Data Entry'!L484,'Data Entry'!M484)</f>
        <v>0</v>
      </c>
      <c r="C484" s="1">
        <f>IF('Data Entry'!N484&gt;0,'Data Entry'!N484,'Data Entry'!O484)</f>
        <v>0</v>
      </c>
      <c r="D484" s="47">
        <f>IF('Data Entry'!P484&gt;0,'Data Entry'!P484,'Data Entry'!Q484)</f>
        <v>0</v>
      </c>
      <c r="E484" s="46">
        <f>IF('Data Entry'!J484&gt;0,'Data Entry'!J484,'Data Entry'!K484)</f>
        <v>0</v>
      </c>
    </row>
    <row r="485" spans="1:5" x14ac:dyDescent="0.25">
      <c r="A485" s="2">
        <f>IF('Data Entry'!J485&gt;0,'Data Entry'!K485,'Data Entry'!L485)</f>
        <v>0</v>
      </c>
      <c r="B485" s="1">
        <f>IF('Data Entry'!J485&gt;0,'Data Entry'!L485,'Data Entry'!M485)</f>
        <v>0</v>
      </c>
      <c r="C485" s="1">
        <f>IF('Data Entry'!N485&gt;0,'Data Entry'!N485,'Data Entry'!O485)</f>
        <v>0</v>
      </c>
      <c r="D485" s="47">
        <f>IF('Data Entry'!P485&gt;0,'Data Entry'!P485,'Data Entry'!Q485)</f>
        <v>0</v>
      </c>
      <c r="E485" s="46">
        <f>IF('Data Entry'!J485&gt;0,'Data Entry'!J485,'Data Entry'!K485)</f>
        <v>0</v>
      </c>
    </row>
    <row r="486" spans="1:5" x14ac:dyDescent="0.25">
      <c r="A486" s="2">
        <f>IF('Data Entry'!J486&gt;0,'Data Entry'!K486,'Data Entry'!L486)</f>
        <v>0</v>
      </c>
      <c r="B486" s="1">
        <f>IF('Data Entry'!J486&gt;0,'Data Entry'!L486,'Data Entry'!M486)</f>
        <v>0</v>
      </c>
      <c r="C486" s="1">
        <f>IF('Data Entry'!N486&gt;0,'Data Entry'!N486,'Data Entry'!O486)</f>
        <v>0</v>
      </c>
      <c r="D486" s="47">
        <f>IF('Data Entry'!P486&gt;0,'Data Entry'!P486,'Data Entry'!Q486)</f>
        <v>0</v>
      </c>
      <c r="E486" s="46">
        <f>IF('Data Entry'!J486&gt;0,'Data Entry'!J486,'Data Entry'!K486)</f>
        <v>0</v>
      </c>
    </row>
    <row r="487" spans="1:5" x14ac:dyDescent="0.25">
      <c r="A487" s="2">
        <f>IF('Data Entry'!J487&gt;0,'Data Entry'!K487,'Data Entry'!L487)</f>
        <v>0</v>
      </c>
      <c r="B487" s="1">
        <f>IF('Data Entry'!J487&gt;0,'Data Entry'!L487,'Data Entry'!M487)</f>
        <v>0</v>
      </c>
      <c r="C487" s="1">
        <f>IF('Data Entry'!N487&gt;0,'Data Entry'!N487,'Data Entry'!O487)</f>
        <v>0</v>
      </c>
      <c r="D487" s="47">
        <f>IF('Data Entry'!P487&gt;0,'Data Entry'!P487,'Data Entry'!Q487)</f>
        <v>0</v>
      </c>
      <c r="E487" s="46">
        <f>IF('Data Entry'!J487&gt;0,'Data Entry'!J487,'Data Entry'!K487)</f>
        <v>0</v>
      </c>
    </row>
    <row r="488" spans="1:5" x14ac:dyDescent="0.25">
      <c r="A488" s="2">
        <f>IF('Data Entry'!J488&gt;0,'Data Entry'!K488,'Data Entry'!L488)</f>
        <v>0</v>
      </c>
      <c r="B488" s="1">
        <f>IF('Data Entry'!J488&gt;0,'Data Entry'!L488,'Data Entry'!M488)</f>
        <v>0</v>
      </c>
      <c r="C488" s="1">
        <f>IF('Data Entry'!N488&gt;0,'Data Entry'!N488,'Data Entry'!O488)</f>
        <v>0</v>
      </c>
      <c r="D488" s="47">
        <f>IF('Data Entry'!P488&gt;0,'Data Entry'!P488,'Data Entry'!Q488)</f>
        <v>0</v>
      </c>
      <c r="E488" s="46">
        <f>IF('Data Entry'!J488&gt;0,'Data Entry'!J488,'Data Entry'!K488)</f>
        <v>0</v>
      </c>
    </row>
    <row r="489" spans="1:5" x14ac:dyDescent="0.25">
      <c r="A489" s="2">
        <f>IF('Data Entry'!J489&gt;0,'Data Entry'!K489,'Data Entry'!L489)</f>
        <v>0</v>
      </c>
      <c r="B489" s="1">
        <f>IF('Data Entry'!J489&gt;0,'Data Entry'!L489,'Data Entry'!M489)</f>
        <v>0</v>
      </c>
      <c r="C489" s="1">
        <f>IF('Data Entry'!N489&gt;0,'Data Entry'!N489,'Data Entry'!O489)</f>
        <v>0</v>
      </c>
      <c r="D489" s="47">
        <f>IF('Data Entry'!P489&gt;0,'Data Entry'!P489,'Data Entry'!Q489)</f>
        <v>0</v>
      </c>
      <c r="E489" s="46">
        <f>IF('Data Entry'!J489&gt;0,'Data Entry'!J489,'Data Entry'!K489)</f>
        <v>0</v>
      </c>
    </row>
    <row r="490" spans="1:5" x14ac:dyDescent="0.25">
      <c r="A490" s="2">
        <f>IF('Data Entry'!J490&gt;0,'Data Entry'!K490,'Data Entry'!L490)</f>
        <v>0</v>
      </c>
      <c r="B490" s="1">
        <f>IF('Data Entry'!J490&gt;0,'Data Entry'!L490,'Data Entry'!M490)</f>
        <v>0</v>
      </c>
      <c r="C490" s="1">
        <f>IF('Data Entry'!N490&gt;0,'Data Entry'!N490,'Data Entry'!O490)</f>
        <v>0</v>
      </c>
      <c r="D490" s="47">
        <f>IF('Data Entry'!P490&gt;0,'Data Entry'!P490,'Data Entry'!Q490)</f>
        <v>0</v>
      </c>
      <c r="E490" s="46">
        <f>IF('Data Entry'!J490&gt;0,'Data Entry'!J490,'Data Entry'!K490)</f>
        <v>0</v>
      </c>
    </row>
    <row r="491" spans="1:5" x14ac:dyDescent="0.25">
      <c r="A491" s="2">
        <f>IF('Data Entry'!J491&gt;0,'Data Entry'!K491,'Data Entry'!L491)</f>
        <v>0</v>
      </c>
      <c r="B491" s="1">
        <f>IF('Data Entry'!J491&gt;0,'Data Entry'!L491,'Data Entry'!M491)</f>
        <v>0</v>
      </c>
      <c r="C491" s="1">
        <f>IF('Data Entry'!N491&gt;0,'Data Entry'!N491,'Data Entry'!O491)</f>
        <v>0</v>
      </c>
      <c r="D491" s="47">
        <f>IF('Data Entry'!P491&gt;0,'Data Entry'!P491,'Data Entry'!Q491)</f>
        <v>0</v>
      </c>
      <c r="E491" s="46">
        <f>IF('Data Entry'!J491&gt;0,'Data Entry'!J491,'Data Entry'!K491)</f>
        <v>0</v>
      </c>
    </row>
    <row r="492" spans="1:5" x14ac:dyDescent="0.25">
      <c r="A492" s="2">
        <f>IF('Data Entry'!J492&gt;0,'Data Entry'!K492,'Data Entry'!L492)</f>
        <v>0</v>
      </c>
      <c r="B492" s="1">
        <f>IF('Data Entry'!J492&gt;0,'Data Entry'!L492,'Data Entry'!M492)</f>
        <v>0</v>
      </c>
      <c r="C492" s="1">
        <f>IF('Data Entry'!N492&gt;0,'Data Entry'!N492,'Data Entry'!O492)</f>
        <v>0</v>
      </c>
      <c r="D492" s="47">
        <f>IF('Data Entry'!P492&gt;0,'Data Entry'!P492,'Data Entry'!Q492)</f>
        <v>0</v>
      </c>
      <c r="E492" s="46">
        <f>IF('Data Entry'!J492&gt;0,'Data Entry'!J492,'Data Entry'!K492)</f>
        <v>0</v>
      </c>
    </row>
    <row r="493" spans="1:5" x14ac:dyDescent="0.25">
      <c r="A493" s="2">
        <f>IF('Data Entry'!J493&gt;0,'Data Entry'!K493,'Data Entry'!L493)</f>
        <v>0</v>
      </c>
      <c r="B493" s="1">
        <f>IF('Data Entry'!J493&gt;0,'Data Entry'!L493,'Data Entry'!M493)</f>
        <v>0</v>
      </c>
      <c r="C493" s="1">
        <f>IF('Data Entry'!N493&gt;0,'Data Entry'!N493,'Data Entry'!O493)</f>
        <v>0</v>
      </c>
      <c r="D493" s="47">
        <f>IF('Data Entry'!P493&gt;0,'Data Entry'!P493,'Data Entry'!Q493)</f>
        <v>0</v>
      </c>
      <c r="E493" s="46">
        <f>IF('Data Entry'!J493&gt;0,'Data Entry'!J493,'Data Entry'!K493)</f>
        <v>0</v>
      </c>
    </row>
    <row r="494" spans="1:5" x14ac:dyDescent="0.25">
      <c r="A494" s="2">
        <f>IF('Data Entry'!J494&gt;0,'Data Entry'!K494,'Data Entry'!L494)</f>
        <v>0</v>
      </c>
      <c r="B494" s="1">
        <f>IF('Data Entry'!J494&gt;0,'Data Entry'!L494,'Data Entry'!M494)</f>
        <v>0</v>
      </c>
      <c r="C494" s="1">
        <f>IF('Data Entry'!N494&gt;0,'Data Entry'!N494,'Data Entry'!O494)</f>
        <v>0</v>
      </c>
      <c r="D494" s="47">
        <f>IF('Data Entry'!P494&gt;0,'Data Entry'!P494,'Data Entry'!Q494)</f>
        <v>0</v>
      </c>
      <c r="E494" s="46">
        <f>IF('Data Entry'!J494&gt;0,'Data Entry'!J494,'Data Entry'!K494)</f>
        <v>0</v>
      </c>
    </row>
    <row r="495" spans="1:5" x14ac:dyDescent="0.25">
      <c r="A495" s="2">
        <f>IF('Data Entry'!J495&gt;0,'Data Entry'!K495,'Data Entry'!L495)</f>
        <v>0</v>
      </c>
      <c r="B495" s="1">
        <f>IF('Data Entry'!J495&gt;0,'Data Entry'!L495,'Data Entry'!M495)</f>
        <v>0</v>
      </c>
      <c r="C495" s="1">
        <f>IF('Data Entry'!N495&gt;0,'Data Entry'!N495,'Data Entry'!O495)</f>
        <v>0</v>
      </c>
      <c r="D495" s="47">
        <f>IF('Data Entry'!P495&gt;0,'Data Entry'!P495,'Data Entry'!Q495)</f>
        <v>0</v>
      </c>
      <c r="E495" s="46">
        <f>IF('Data Entry'!J495&gt;0,'Data Entry'!J495,'Data Entry'!K495)</f>
        <v>0</v>
      </c>
    </row>
    <row r="496" spans="1:5" x14ac:dyDescent="0.25">
      <c r="A496" s="2">
        <f>IF('Data Entry'!J496&gt;0,'Data Entry'!K496,'Data Entry'!L496)</f>
        <v>0</v>
      </c>
      <c r="B496" s="1">
        <f>IF('Data Entry'!J496&gt;0,'Data Entry'!L496,'Data Entry'!M496)</f>
        <v>0</v>
      </c>
      <c r="C496" s="1">
        <f>IF('Data Entry'!N496&gt;0,'Data Entry'!N496,'Data Entry'!O496)</f>
        <v>0</v>
      </c>
      <c r="D496" s="47">
        <f>IF('Data Entry'!P496&gt;0,'Data Entry'!P496,'Data Entry'!Q496)</f>
        <v>0</v>
      </c>
      <c r="E496" s="46">
        <f>IF('Data Entry'!J496&gt;0,'Data Entry'!J496,'Data Entry'!K496)</f>
        <v>0</v>
      </c>
    </row>
    <row r="497" spans="1:5" x14ac:dyDescent="0.25">
      <c r="A497" s="2">
        <f>IF('Data Entry'!J497&gt;0,'Data Entry'!K497,'Data Entry'!L497)</f>
        <v>0</v>
      </c>
      <c r="B497" s="1">
        <f>IF('Data Entry'!J497&gt;0,'Data Entry'!L497,'Data Entry'!M497)</f>
        <v>0</v>
      </c>
      <c r="C497" s="1">
        <f>IF('Data Entry'!N497&gt;0,'Data Entry'!N497,'Data Entry'!O497)</f>
        <v>0</v>
      </c>
      <c r="D497" s="47">
        <f>IF('Data Entry'!P497&gt;0,'Data Entry'!P497,'Data Entry'!Q497)</f>
        <v>0</v>
      </c>
      <c r="E497" s="46">
        <f>IF('Data Entry'!J497&gt;0,'Data Entry'!J497,'Data Entry'!K497)</f>
        <v>0</v>
      </c>
    </row>
    <row r="498" spans="1:5" x14ac:dyDescent="0.25">
      <c r="A498" s="2">
        <f>IF('Data Entry'!J498&gt;0,'Data Entry'!K498,'Data Entry'!L498)</f>
        <v>0</v>
      </c>
      <c r="B498" s="1">
        <f>IF('Data Entry'!J498&gt;0,'Data Entry'!L498,'Data Entry'!M498)</f>
        <v>0</v>
      </c>
      <c r="C498" s="1">
        <f>IF('Data Entry'!N498&gt;0,'Data Entry'!N498,'Data Entry'!O498)</f>
        <v>0</v>
      </c>
      <c r="D498" s="47">
        <f>IF('Data Entry'!P498&gt;0,'Data Entry'!P498,'Data Entry'!Q498)</f>
        <v>0</v>
      </c>
      <c r="E498" s="46">
        <f>IF('Data Entry'!J498&gt;0,'Data Entry'!J498,'Data Entry'!K498)</f>
        <v>0</v>
      </c>
    </row>
    <row r="499" spans="1:5" x14ac:dyDescent="0.25">
      <c r="A499" s="2">
        <f>IF('Data Entry'!J499&gt;0,'Data Entry'!K499,'Data Entry'!L499)</f>
        <v>0</v>
      </c>
      <c r="B499" s="1">
        <f>IF('Data Entry'!J499&gt;0,'Data Entry'!L499,'Data Entry'!M499)</f>
        <v>0</v>
      </c>
      <c r="C499" s="1">
        <f>IF('Data Entry'!N499&gt;0,'Data Entry'!N499,'Data Entry'!O499)</f>
        <v>0</v>
      </c>
      <c r="D499" s="47">
        <f>IF('Data Entry'!P499&gt;0,'Data Entry'!P499,'Data Entry'!Q499)</f>
        <v>0</v>
      </c>
      <c r="E499" s="46">
        <f>IF('Data Entry'!J499&gt;0,'Data Entry'!J499,'Data Entry'!K499)</f>
        <v>0</v>
      </c>
    </row>
    <row r="500" spans="1:5" x14ac:dyDescent="0.25">
      <c r="A500" s="2">
        <f>IF('Data Entry'!J500&gt;0,'Data Entry'!K500,'Data Entry'!L500)</f>
        <v>0</v>
      </c>
      <c r="B500" s="1">
        <f>IF('Data Entry'!J500&gt;0,'Data Entry'!L500,'Data Entry'!M500)</f>
        <v>0</v>
      </c>
      <c r="C500" s="1">
        <f>IF('Data Entry'!N500&gt;0,'Data Entry'!N500,'Data Entry'!O500)</f>
        <v>0</v>
      </c>
      <c r="D500" s="47">
        <f>IF('Data Entry'!P500&gt;0,'Data Entry'!P500,'Data Entry'!Q500)</f>
        <v>0</v>
      </c>
      <c r="E500" s="46">
        <f>IF('Data Entry'!J500&gt;0,'Data Entry'!J500,'Data Entry'!K500)</f>
        <v>0</v>
      </c>
    </row>
    <row r="501" spans="1:5" x14ac:dyDescent="0.25">
      <c r="A501" s="2">
        <f>IF('Data Entry'!J501&gt;0,'Data Entry'!K501,'Data Entry'!L501)</f>
        <v>0</v>
      </c>
      <c r="B501" s="1">
        <f>IF('Data Entry'!J501&gt;0,'Data Entry'!L501,'Data Entry'!M501)</f>
        <v>0</v>
      </c>
      <c r="C501" s="1">
        <f>IF('Data Entry'!N501&gt;0,'Data Entry'!N501,'Data Entry'!O501)</f>
        <v>0</v>
      </c>
      <c r="D501" s="47">
        <f>IF('Data Entry'!P501&gt;0,'Data Entry'!P501,'Data Entry'!Q501)</f>
        <v>0</v>
      </c>
      <c r="E501" s="46">
        <f>IF('Data Entry'!J501&gt;0,'Data Entry'!J501,'Data Entry'!K501)</f>
        <v>0</v>
      </c>
    </row>
    <row r="502" spans="1:5" x14ac:dyDescent="0.25">
      <c r="A502" s="2">
        <f>IF('Data Entry'!J502&gt;0,'Data Entry'!K502,'Data Entry'!L502)</f>
        <v>0</v>
      </c>
      <c r="B502" s="1">
        <f>IF('Data Entry'!J502&gt;0,'Data Entry'!L502,'Data Entry'!M502)</f>
        <v>0</v>
      </c>
      <c r="C502" s="1">
        <f>IF('Data Entry'!N502&gt;0,'Data Entry'!N502,'Data Entry'!O502)</f>
        <v>0</v>
      </c>
      <c r="D502" s="47">
        <f>IF('Data Entry'!P502&gt;0,'Data Entry'!P502,'Data Entry'!Q502)</f>
        <v>0</v>
      </c>
      <c r="E502" s="46">
        <f>IF('Data Entry'!J502&gt;0,'Data Entry'!J502,'Data Entry'!K502)</f>
        <v>0</v>
      </c>
    </row>
    <row r="503" spans="1:5" x14ac:dyDescent="0.25">
      <c r="A503" s="2">
        <f>IF('Data Entry'!J503&gt;0,'Data Entry'!K503,'Data Entry'!L503)</f>
        <v>0</v>
      </c>
      <c r="B503" s="1">
        <f>IF('Data Entry'!J503&gt;0,'Data Entry'!L503,'Data Entry'!M503)</f>
        <v>0</v>
      </c>
      <c r="C503" s="1">
        <f>IF('Data Entry'!N503&gt;0,'Data Entry'!N503,'Data Entry'!O503)</f>
        <v>0</v>
      </c>
      <c r="D503" s="47">
        <f>IF('Data Entry'!P503&gt;0,'Data Entry'!P503,'Data Entry'!Q503)</f>
        <v>0</v>
      </c>
      <c r="E503" s="46">
        <f>IF('Data Entry'!J503&gt;0,'Data Entry'!J503,'Data Entry'!K503)</f>
        <v>0</v>
      </c>
    </row>
    <row r="504" spans="1:5" x14ac:dyDescent="0.25">
      <c r="A504" s="2">
        <f>IF('Data Entry'!J504&gt;0,'Data Entry'!K504,'Data Entry'!L504)</f>
        <v>0</v>
      </c>
      <c r="B504" s="1">
        <f>IF('Data Entry'!J504&gt;0,'Data Entry'!L504,'Data Entry'!M504)</f>
        <v>0</v>
      </c>
      <c r="C504" s="1">
        <f>IF('Data Entry'!N504&gt;0,'Data Entry'!N504,'Data Entry'!O504)</f>
        <v>0</v>
      </c>
      <c r="D504" s="47">
        <f>IF('Data Entry'!P504&gt;0,'Data Entry'!P504,'Data Entry'!Q504)</f>
        <v>0</v>
      </c>
      <c r="E504" s="46">
        <f>IF('Data Entry'!J504&gt;0,'Data Entry'!J504,'Data Entry'!K504)</f>
        <v>0</v>
      </c>
    </row>
    <row r="505" spans="1:5" x14ac:dyDescent="0.25">
      <c r="A505" s="2">
        <f>IF('Data Entry'!J505&gt;0,'Data Entry'!K505,'Data Entry'!L505)</f>
        <v>0</v>
      </c>
      <c r="B505" s="1">
        <f>IF('Data Entry'!J505&gt;0,'Data Entry'!L505,'Data Entry'!M505)</f>
        <v>0</v>
      </c>
      <c r="C505" s="1">
        <f>IF('Data Entry'!N505&gt;0,'Data Entry'!N505,'Data Entry'!O505)</f>
        <v>0</v>
      </c>
      <c r="D505" s="47">
        <f>IF('Data Entry'!P505&gt;0,'Data Entry'!P505,'Data Entry'!Q505)</f>
        <v>0</v>
      </c>
      <c r="E505" s="46">
        <f>IF('Data Entry'!J505&gt;0,'Data Entry'!J505,'Data Entry'!K505)</f>
        <v>0</v>
      </c>
    </row>
    <row r="506" spans="1:5" x14ac:dyDescent="0.25">
      <c r="A506" s="2">
        <f>IF('Data Entry'!J506&gt;0,'Data Entry'!K506,'Data Entry'!L506)</f>
        <v>0</v>
      </c>
      <c r="B506" s="1">
        <f>IF('Data Entry'!J506&gt;0,'Data Entry'!L506,'Data Entry'!M506)</f>
        <v>0</v>
      </c>
      <c r="C506" s="1">
        <f>IF('Data Entry'!N506&gt;0,'Data Entry'!N506,'Data Entry'!O506)</f>
        <v>0</v>
      </c>
      <c r="D506" s="47">
        <f>IF('Data Entry'!P506&gt;0,'Data Entry'!P506,'Data Entry'!Q506)</f>
        <v>0</v>
      </c>
      <c r="E506" s="46">
        <f>IF('Data Entry'!J506&gt;0,'Data Entry'!J506,'Data Entry'!K506)</f>
        <v>0</v>
      </c>
    </row>
    <row r="507" spans="1:5" x14ac:dyDescent="0.25">
      <c r="A507" s="2">
        <f>IF('Data Entry'!J507&gt;0,'Data Entry'!K507,'Data Entry'!L507)</f>
        <v>0</v>
      </c>
      <c r="B507" s="1">
        <f>IF('Data Entry'!J507&gt;0,'Data Entry'!L507,'Data Entry'!M507)</f>
        <v>0</v>
      </c>
      <c r="C507" s="1">
        <f>IF('Data Entry'!N507&gt;0,'Data Entry'!N507,'Data Entry'!O507)</f>
        <v>0</v>
      </c>
      <c r="D507" s="47">
        <f>IF('Data Entry'!P507&gt;0,'Data Entry'!P507,'Data Entry'!Q507)</f>
        <v>0</v>
      </c>
      <c r="E507" s="46">
        <f>IF('Data Entry'!J507&gt;0,'Data Entry'!J507,'Data Entry'!K507)</f>
        <v>0</v>
      </c>
    </row>
    <row r="508" spans="1:5" x14ac:dyDescent="0.25">
      <c r="A508" s="2">
        <f>IF('Data Entry'!J508&gt;0,'Data Entry'!K508,'Data Entry'!L508)</f>
        <v>0</v>
      </c>
      <c r="B508" s="1">
        <f>IF('Data Entry'!J508&gt;0,'Data Entry'!L508,'Data Entry'!M508)</f>
        <v>0</v>
      </c>
      <c r="C508" s="1">
        <f>IF('Data Entry'!N508&gt;0,'Data Entry'!N508,'Data Entry'!O508)</f>
        <v>0</v>
      </c>
      <c r="D508" s="47">
        <f>IF('Data Entry'!P508&gt;0,'Data Entry'!P508,'Data Entry'!Q508)</f>
        <v>0</v>
      </c>
      <c r="E508" s="46">
        <f>IF('Data Entry'!J508&gt;0,'Data Entry'!J508,'Data Entry'!K508)</f>
        <v>0</v>
      </c>
    </row>
    <row r="509" spans="1:5" x14ac:dyDescent="0.25">
      <c r="A509" s="2">
        <f>IF('Data Entry'!J509&gt;0,'Data Entry'!K509,'Data Entry'!L509)</f>
        <v>0</v>
      </c>
      <c r="B509" s="1">
        <f>IF('Data Entry'!J509&gt;0,'Data Entry'!L509,'Data Entry'!M509)</f>
        <v>0</v>
      </c>
      <c r="C509" s="1">
        <f>IF('Data Entry'!N509&gt;0,'Data Entry'!N509,'Data Entry'!O509)</f>
        <v>0</v>
      </c>
      <c r="D509" s="47">
        <f>IF('Data Entry'!P509&gt;0,'Data Entry'!P509,'Data Entry'!Q509)</f>
        <v>0</v>
      </c>
      <c r="E509" s="46">
        <f>IF('Data Entry'!J509&gt;0,'Data Entry'!J509,'Data Entry'!K509)</f>
        <v>0</v>
      </c>
    </row>
    <row r="510" spans="1:5" x14ac:dyDescent="0.25">
      <c r="A510" s="2">
        <f>IF('Data Entry'!J510&gt;0,'Data Entry'!K510,'Data Entry'!L510)</f>
        <v>0</v>
      </c>
      <c r="B510" s="1">
        <f>IF('Data Entry'!J510&gt;0,'Data Entry'!L510,'Data Entry'!M510)</f>
        <v>0</v>
      </c>
      <c r="C510" s="1">
        <f>IF('Data Entry'!N510&gt;0,'Data Entry'!N510,'Data Entry'!O510)</f>
        <v>0</v>
      </c>
      <c r="D510" s="47">
        <f>IF('Data Entry'!P510&gt;0,'Data Entry'!P510,'Data Entry'!Q510)</f>
        <v>0</v>
      </c>
      <c r="E510" s="46">
        <f>IF('Data Entry'!J510&gt;0,'Data Entry'!J510,'Data Entry'!K510)</f>
        <v>0</v>
      </c>
    </row>
    <row r="511" spans="1:5" x14ac:dyDescent="0.25">
      <c r="A511" s="2">
        <f>IF('Data Entry'!J511&gt;0,'Data Entry'!K511,'Data Entry'!L511)</f>
        <v>0</v>
      </c>
      <c r="B511" s="1">
        <f>IF('Data Entry'!J511&gt;0,'Data Entry'!L511,'Data Entry'!M511)</f>
        <v>0</v>
      </c>
      <c r="C511" s="1">
        <f>IF('Data Entry'!N511&gt;0,'Data Entry'!N511,'Data Entry'!O511)</f>
        <v>0</v>
      </c>
      <c r="D511" s="47">
        <f>IF('Data Entry'!P511&gt;0,'Data Entry'!P511,'Data Entry'!Q511)</f>
        <v>0</v>
      </c>
      <c r="E511" s="46">
        <f>IF('Data Entry'!J511&gt;0,'Data Entry'!J511,'Data Entry'!K511)</f>
        <v>0</v>
      </c>
    </row>
    <row r="512" spans="1:5" x14ac:dyDescent="0.25">
      <c r="A512" s="2">
        <f>IF('Data Entry'!J512&gt;0,'Data Entry'!K512,'Data Entry'!L512)</f>
        <v>0</v>
      </c>
      <c r="B512" s="1">
        <f>IF('Data Entry'!J512&gt;0,'Data Entry'!L512,'Data Entry'!M512)</f>
        <v>0</v>
      </c>
      <c r="C512" s="1">
        <f>IF('Data Entry'!N512&gt;0,'Data Entry'!N512,'Data Entry'!O512)</f>
        <v>0</v>
      </c>
      <c r="D512" s="47">
        <f>IF('Data Entry'!P512&gt;0,'Data Entry'!P512,'Data Entry'!Q512)</f>
        <v>0</v>
      </c>
      <c r="E512" s="46">
        <f>IF('Data Entry'!J512&gt;0,'Data Entry'!J512,'Data Entry'!K512)</f>
        <v>0</v>
      </c>
    </row>
    <row r="513" spans="1:5" x14ac:dyDescent="0.25">
      <c r="A513" s="2">
        <f>IF('Data Entry'!J513&gt;0,'Data Entry'!K513,'Data Entry'!L513)</f>
        <v>0</v>
      </c>
      <c r="B513" s="1">
        <f>IF('Data Entry'!J513&gt;0,'Data Entry'!L513,'Data Entry'!M513)</f>
        <v>0</v>
      </c>
      <c r="C513" s="1">
        <f>IF('Data Entry'!N513&gt;0,'Data Entry'!N513,'Data Entry'!O513)</f>
        <v>0</v>
      </c>
      <c r="D513" s="47">
        <f>IF('Data Entry'!P513&gt;0,'Data Entry'!P513,'Data Entry'!Q513)</f>
        <v>0</v>
      </c>
      <c r="E513" s="46">
        <f>IF('Data Entry'!J513&gt;0,'Data Entry'!J513,'Data Entry'!K513)</f>
        <v>0</v>
      </c>
    </row>
    <row r="514" spans="1:5" x14ac:dyDescent="0.25">
      <c r="A514" s="2">
        <f>IF('Data Entry'!J514&gt;0,'Data Entry'!K514,'Data Entry'!L514)</f>
        <v>0</v>
      </c>
      <c r="B514" s="1">
        <f>IF('Data Entry'!J514&gt;0,'Data Entry'!L514,'Data Entry'!M514)</f>
        <v>0</v>
      </c>
      <c r="C514" s="1">
        <f>IF('Data Entry'!N514&gt;0,'Data Entry'!N514,'Data Entry'!O514)</f>
        <v>0</v>
      </c>
      <c r="D514" s="47">
        <f>IF('Data Entry'!P514&gt;0,'Data Entry'!P514,'Data Entry'!Q514)</f>
        <v>0</v>
      </c>
      <c r="E514" s="46">
        <f>IF('Data Entry'!J514&gt;0,'Data Entry'!J514,'Data Entry'!K514)</f>
        <v>0</v>
      </c>
    </row>
    <row r="515" spans="1:5" x14ac:dyDescent="0.25">
      <c r="A515" s="2">
        <f>IF('Data Entry'!J515&gt;0,'Data Entry'!K515,'Data Entry'!L515)</f>
        <v>0</v>
      </c>
      <c r="B515" s="1">
        <f>IF('Data Entry'!J515&gt;0,'Data Entry'!L515,'Data Entry'!M515)</f>
        <v>0</v>
      </c>
      <c r="C515" s="1">
        <f>IF('Data Entry'!N515&gt;0,'Data Entry'!N515,'Data Entry'!O515)</f>
        <v>0</v>
      </c>
      <c r="D515" s="47">
        <f>IF('Data Entry'!P515&gt;0,'Data Entry'!P515,'Data Entry'!Q515)</f>
        <v>0</v>
      </c>
      <c r="E515" s="46">
        <f>IF('Data Entry'!J515&gt;0,'Data Entry'!J515,'Data Entry'!K515)</f>
        <v>0</v>
      </c>
    </row>
    <row r="516" spans="1:5" x14ac:dyDescent="0.25">
      <c r="A516" s="2">
        <f>IF('Data Entry'!J516&gt;0,'Data Entry'!K516,'Data Entry'!L516)</f>
        <v>0</v>
      </c>
      <c r="B516" s="1">
        <f>IF('Data Entry'!J516&gt;0,'Data Entry'!L516,'Data Entry'!M516)</f>
        <v>0</v>
      </c>
      <c r="C516" s="1">
        <f>IF('Data Entry'!N516&gt;0,'Data Entry'!N516,'Data Entry'!O516)</f>
        <v>0</v>
      </c>
      <c r="D516" s="47">
        <f>IF('Data Entry'!P516&gt;0,'Data Entry'!P516,'Data Entry'!Q516)</f>
        <v>0</v>
      </c>
      <c r="E516" s="46">
        <f>IF('Data Entry'!J516&gt;0,'Data Entry'!J516,'Data Entry'!K516)</f>
        <v>0</v>
      </c>
    </row>
    <row r="517" spans="1:5" x14ac:dyDescent="0.25">
      <c r="A517" s="2">
        <f>IF('Data Entry'!J517&gt;0,'Data Entry'!K517,'Data Entry'!L517)</f>
        <v>0</v>
      </c>
      <c r="B517" s="1">
        <f>IF('Data Entry'!J517&gt;0,'Data Entry'!L517,'Data Entry'!M517)</f>
        <v>0</v>
      </c>
      <c r="C517" s="1">
        <f>IF('Data Entry'!N517&gt;0,'Data Entry'!N517,'Data Entry'!O517)</f>
        <v>0</v>
      </c>
      <c r="D517" s="47">
        <f>IF('Data Entry'!P517&gt;0,'Data Entry'!P517,'Data Entry'!Q517)</f>
        <v>0</v>
      </c>
      <c r="E517" s="46">
        <f>IF('Data Entry'!J517&gt;0,'Data Entry'!J517,'Data Entry'!K517)</f>
        <v>0</v>
      </c>
    </row>
    <row r="518" spans="1:5" x14ac:dyDescent="0.25">
      <c r="A518" s="2">
        <f>IF('Data Entry'!J518&gt;0,'Data Entry'!K518,'Data Entry'!L518)</f>
        <v>0</v>
      </c>
      <c r="B518" s="1">
        <f>IF('Data Entry'!J518&gt;0,'Data Entry'!L518,'Data Entry'!M518)</f>
        <v>0</v>
      </c>
      <c r="C518" s="1">
        <f>IF('Data Entry'!N518&gt;0,'Data Entry'!N518,'Data Entry'!O518)</f>
        <v>0</v>
      </c>
      <c r="D518" s="47">
        <f>IF('Data Entry'!P518&gt;0,'Data Entry'!P518,'Data Entry'!Q518)</f>
        <v>0</v>
      </c>
      <c r="E518" s="46">
        <f>IF('Data Entry'!J518&gt;0,'Data Entry'!J518,'Data Entry'!K518)</f>
        <v>0</v>
      </c>
    </row>
    <row r="519" spans="1:5" x14ac:dyDescent="0.25">
      <c r="A519" s="2">
        <f>IF('Data Entry'!J519&gt;0,'Data Entry'!K519,'Data Entry'!L519)</f>
        <v>0</v>
      </c>
      <c r="B519" s="1">
        <f>IF('Data Entry'!J519&gt;0,'Data Entry'!L519,'Data Entry'!M519)</f>
        <v>0</v>
      </c>
      <c r="C519" s="1">
        <f>IF('Data Entry'!N519&gt;0,'Data Entry'!N519,'Data Entry'!O519)</f>
        <v>0</v>
      </c>
      <c r="D519" s="47">
        <f>IF('Data Entry'!P519&gt;0,'Data Entry'!P519,'Data Entry'!Q519)</f>
        <v>0</v>
      </c>
      <c r="E519" s="46">
        <f>IF('Data Entry'!J519&gt;0,'Data Entry'!J519,'Data Entry'!K519)</f>
        <v>0</v>
      </c>
    </row>
    <row r="520" spans="1:5" x14ac:dyDescent="0.25">
      <c r="A520" s="2">
        <f>IF('Data Entry'!J520&gt;0,'Data Entry'!K520,'Data Entry'!L520)</f>
        <v>0</v>
      </c>
      <c r="B520" s="1">
        <f>IF('Data Entry'!J520&gt;0,'Data Entry'!L520,'Data Entry'!M520)</f>
        <v>0</v>
      </c>
      <c r="C520" s="1">
        <f>IF('Data Entry'!N520&gt;0,'Data Entry'!N520,'Data Entry'!O520)</f>
        <v>0</v>
      </c>
      <c r="D520" s="47">
        <f>IF('Data Entry'!P520&gt;0,'Data Entry'!P520,'Data Entry'!Q520)</f>
        <v>0</v>
      </c>
      <c r="E520" s="46">
        <f>IF('Data Entry'!J520&gt;0,'Data Entry'!J520,'Data Entry'!K520)</f>
        <v>0</v>
      </c>
    </row>
    <row r="521" spans="1:5" x14ac:dyDescent="0.25">
      <c r="A521" s="2">
        <f>IF('Data Entry'!J521&gt;0,'Data Entry'!K521,'Data Entry'!L521)</f>
        <v>0</v>
      </c>
      <c r="B521" s="1">
        <f>IF('Data Entry'!J521&gt;0,'Data Entry'!L521,'Data Entry'!M521)</f>
        <v>0</v>
      </c>
      <c r="C521" s="1">
        <f>IF('Data Entry'!N521&gt;0,'Data Entry'!N521,'Data Entry'!O521)</f>
        <v>0</v>
      </c>
      <c r="D521" s="47">
        <f>IF('Data Entry'!P521&gt;0,'Data Entry'!P521,'Data Entry'!Q521)</f>
        <v>0</v>
      </c>
      <c r="E521" s="46">
        <f>IF('Data Entry'!J521&gt;0,'Data Entry'!J521,'Data Entry'!K521)</f>
        <v>0</v>
      </c>
    </row>
    <row r="522" spans="1:5" x14ac:dyDescent="0.25">
      <c r="A522" s="2">
        <f>IF('Data Entry'!J522&gt;0,'Data Entry'!K522,'Data Entry'!L522)</f>
        <v>0</v>
      </c>
      <c r="B522" s="1">
        <f>IF('Data Entry'!J522&gt;0,'Data Entry'!L522,'Data Entry'!M522)</f>
        <v>0</v>
      </c>
      <c r="C522" s="1">
        <f>IF('Data Entry'!N522&gt;0,'Data Entry'!N522,'Data Entry'!O522)</f>
        <v>0</v>
      </c>
      <c r="D522" s="47">
        <f>IF('Data Entry'!P522&gt;0,'Data Entry'!P522,'Data Entry'!Q522)</f>
        <v>0</v>
      </c>
      <c r="E522" s="46">
        <f>IF('Data Entry'!J522&gt;0,'Data Entry'!J522,'Data Entry'!K522)</f>
        <v>0</v>
      </c>
    </row>
    <row r="523" spans="1:5" x14ac:dyDescent="0.25">
      <c r="A523" s="2">
        <f>IF('Data Entry'!J523&gt;0,'Data Entry'!K523,'Data Entry'!L523)</f>
        <v>0</v>
      </c>
      <c r="B523" s="1">
        <f>IF('Data Entry'!J523&gt;0,'Data Entry'!L523,'Data Entry'!M523)</f>
        <v>0</v>
      </c>
      <c r="C523" s="1">
        <f>IF('Data Entry'!N523&gt;0,'Data Entry'!N523,'Data Entry'!O523)</f>
        <v>0</v>
      </c>
      <c r="D523" s="47">
        <f>IF('Data Entry'!P523&gt;0,'Data Entry'!P523,'Data Entry'!Q523)</f>
        <v>0</v>
      </c>
      <c r="E523" s="46">
        <f>IF('Data Entry'!J523&gt;0,'Data Entry'!J523,'Data Entry'!K523)</f>
        <v>0</v>
      </c>
    </row>
    <row r="524" spans="1:5" x14ac:dyDescent="0.25">
      <c r="A524" s="2">
        <f>IF('Data Entry'!J524&gt;0,'Data Entry'!K524,'Data Entry'!L524)</f>
        <v>0</v>
      </c>
      <c r="B524" s="1">
        <f>IF('Data Entry'!J524&gt;0,'Data Entry'!L524,'Data Entry'!M524)</f>
        <v>0</v>
      </c>
      <c r="C524" s="1">
        <f>IF('Data Entry'!N524&gt;0,'Data Entry'!N524,'Data Entry'!O524)</f>
        <v>0</v>
      </c>
      <c r="D524" s="47">
        <f>IF('Data Entry'!P524&gt;0,'Data Entry'!P524,'Data Entry'!Q524)</f>
        <v>0</v>
      </c>
      <c r="E524" s="46">
        <f>IF('Data Entry'!J524&gt;0,'Data Entry'!J524,'Data Entry'!K524)</f>
        <v>0</v>
      </c>
    </row>
    <row r="525" spans="1:5" x14ac:dyDescent="0.25">
      <c r="A525" s="2">
        <f>IF('Data Entry'!J525&gt;0,'Data Entry'!K525,'Data Entry'!L525)</f>
        <v>0</v>
      </c>
      <c r="B525" s="1">
        <f>IF('Data Entry'!J525&gt;0,'Data Entry'!L525,'Data Entry'!M525)</f>
        <v>0</v>
      </c>
      <c r="C525" s="1">
        <f>IF('Data Entry'!N525&gt;0,'Data Entry'!N525,'Data Entry'!O525)</f>
        <v>0</v>
      </c>
      <c r="D525" s="47">
        <f>IF('Data Entry'!P525&gt;0,'Data Entry'!P525,'Data Entry'!Q525)</f>
        <v>0</v>
      </c>
      <c r="E525" s="46">
        <f>IF('Data Entry'!J525&gt;0,'Data Entry'!J525,'Data Entry'!K525)</f>
        <v>0</v>
      </c>
    </row>
    <row r="526" spans="1:5" x14ac:dyDescent="0.25">
      <c r="A526" s="2">
        <f>IF('Data Entry'!J526&gt;0,'Data Entry'!K526,'Data Entry'!L526)</f>
        <v>0</v>
      </c>
      <c r="B526" s="1">
        <f>IF('Data Entry'!J526&gt;0,'Data Entry'!L526,'Data Entry'!M526)</f>
        <v>0</v>
      </c>
      <c r="C526" s="1">
        <f>IF('Data Entry'!N526&gt;0,'Data Entry'!N526,'Data Entry'!O526)</f>
        <v>0</v>
      </c>
      <c r="D526" s="47">
        <f>IF('Data Entry'!P526&gt;0,'Data Entry'!P526,'Data Entry'!Q526)</f>
        <v>0</v>
      </c>
      <c r="E526" s="46">
        <f>IF('Data Entry'!J526&gt;0,'Data Entry'!J526,'Data Entry'!K526)</f>
        <v>0</v>
      </c>
    </row>
    <row r="527" spans="1:5" x14ac:dyDescent="0.25">
      <c r="A527" s="2">
        <f>IF('Data Entry'!J527&gt;0,'Data Entry'!K527,'Data Entry'!L527)</f>
        <v>0</v>
      </c>
      <c r="B527" s="1">
        <f>IF('Data Entry'!J527&gt;0,'Data Entry'!L527,'Data Entry'!M527)</f>
        <v>0</v>
      </c>
      <c r="C527" s="1">
        <f>IF('Data Entry'!N527&gt;0,'Data Entry'!N527,'Data Entry'!O527)</f>
        <v>0</v>
      </c>
      <c r="D527" s="47">
        <f>IF('Data Entry'!P527&gt;0,'Data Entry'!P527,'Data Entry'!Q527)</f>
        <v>0</v>
      </c>
      <c r="E527" s="46">
        <f>IF('Data Entry'!J527&gt;0,'Data Entry'!J527,'Data Entry'!K527)</f>
        <v>0</v>
      </c>
    </row>
    <row r="528" spans="1:5" x14ac:dyDescent="0.25">
      <c r="A528" s="2">
        <f>IF('Data Entry'!J528&gt;0,'Data Entry'!K528,'Data Entry'!L528)</f>
        <v>0</v>
      </c>
      <c r="B528" s="1">
        <f>IF('Data Entry'!J528&gt;0,'Data Entry'!L528,'Data Entry'!M528)</f>
        <v>0</v>
      </c>
      <c r="C528" s="1">
        <f>IF('Data Entry'!N528&gt;0,'Data Entry'!N528,'Data Entry'!O528)</f>
        <v>0</v>
      </c>
      <c r="D528" s="47">
        <f>IF('Data Entry'!P528&gt;0,'Data Entry'!P528,'Data Entry'!Q528)</f>
        <v>0</v>
      </c>
      <c r="E528" s="46">
        <f>IF('Data Entry'!J528&gt;0,'Data Entry'!J528,'Data Entry'!K528)</f>
        <v>0</v>
      </c>
    </row>
    <row r="529" spans="1:5" x14ac:dyDescent="0.25">
      <c r="A529" s="2">
        <f>IF('Data Entry'!J529&gt;0,'Data Entry'!K529,'Data Entry'!L529)</f>
        <v>0</v>
      </c>
      <c r="B529" s="1">
        <f>IF('Data Entry'!J529&gt;0,'Data Entry'!L529,'Data Entry'!M529)</f>
        <v>0</v>
      </c>
      <c r="C529" s="1">
        <f>IF('Data Entry'!N529&gt;0,'Data Entry'!N529,'Data Entry'!O529)</f>
        <v>0</v>
      </c>
      <c r="D529" s="47">
        <f>IF('Data Entry'!P529&gt;0,'Data Entry'!P529,'Data Entry'!Q529)</f>
        <v>0</v>
      </c>
      <c r="E529" s="46">
        <f>IF('Data Entry'!J529&gt;0,'Data Entry'!J529,'Data Entry'!K529)</f>
        <v>0</v>
      </c>
    </row>
    <row r="530" spans="1:5" x14ac:dyDescent="0.25">
      <c r="A530" s="2">
        <f>IF('Data Entry'!J530&gt;0,'Data Entry'!K530,'Data Entry'!L530)</f>
        <v>0</v>
      </c>
      <c r="B530" s="1">
        <f>IF('Data Entry'!J530&gt;0,'Data Entry'!L530,'Data Entry'!M530)</f>
        <v>0</v>
      </c>
      <c r="C530" s="1">
        <f>IF('Data Entry'!N530&gt;0,'Data Entry'!N530,'Data Entry'!O530)</f>
        <v>0</v>
      </c>
      <c r="D530" s="47">
        <f>IF('Data Entry'!P530&gt;0,'Data Entry'!P530,'Data Entry'!Q530)</f>
        <v>0</v>
      </c>
      <c r="E530" s="46">
        <f>IF('Data Entry'!J530&gt;0,'Data Entry'!J530,'Data Entry'!K530)</f>
        <v>0</v>
      </c>
    </row>
    <row r="531" spans="1:5" x14ac:dyDescent="0.25">
      <c r="A531" s="2">
        <f>IF('Data Entry'!J531&gt;0,'Data Entry'!K531,'Data Entry'!L531)</f>
        <v>0</v>
      </c>
      <c r="B531" s="1">
        <f>IF('Data Entry'!J531&gt;0,'Data Entry'!L531,'Data Entry'!M531)</f>
        <v>0</v>
      </c>
      <c r="C531" s="1">
        <f>IF('Data Entry'!N531&gt;0,'Data Entry'!N531,'Data Entry'!O531)</f>
        <v>0</v>
      </c>
      <c r="D531" s="47">
        <f>IF('Data Entry'!P531&gt;0,'Data Entry'!P531,'Data Entry'!Q531)</f>
        <v>0</v>
      </c>
      <c r="E531" s="46">
        <f>IF('Data Entry'!J531&gt;0,'Data Entry'!J531,'Data Entry'!K531)</f>
        <v>0</v>
      </c>
    </row>
    <row r="532" spans="1:5" x14ac:dyDescent="0.25">
      <c r="A532" s="2">
        <f>IF('Data Entry'!J532&gt;0,'Data Entry'!K532,'Data Entry'!L532)</f>
        <v>0</v>
      </c>
      <c r="B532" s="1">
        <f>IF('Data Entry'!J532&gt;0,'Data Entry'!L532,'Data Entry'!M532)</f>
        <v>0</v>
      </c>
      <c r="C532" s="1">
        <f>IF('Data Entry'!N532&gt;0,'Data Entry'!N532,'Data Entry'!O532)</f>
        <v>0</v>
      </c>
      <c r="D532" s="47">
        <f>IF('Data Entry'!P532&gt;0,'Data Entry'!P532,'Data Entry'!Q532)</f>
        <v>0</v>
      </c>
      <c r="E532" s="46">
        <f>IF('Data Entry'!J532&gt;0,'Data Entry'!J532,'Data Entry'!K532)</f>
        <v>0</v>
      </c>
    </row>
    <row r="533" spans="1:5" x14ac:dyDescent="0.25">
      <c r="A533" s="2">
        <f>IF('Data Entry'!J533&gt;0,'Data Entry'!K533,'Data Entry'!L533)</f>
        <v>0</v>
      </c>
      <c r="B533" s="1">
        <f>IF('Data Entry'!J533&gt;0,'Data Entry'!L533,'Data Entry'!M533)</f>
        <v>0</v>
      </c>
      <c r="C533" s="1">
        <f>IF('Data Entry'!N533&gt;0,'Data Entry'!N533,'Data Entry'!O533)</f>
        <v>0</v>
      </c>
      <c r="D533" s="47">
        <f>IF('Data Entry'!P533&gt;0,'Data Entry'!P533,'Data Entry'!Q533)</f>
        <v>0</v>
      </c>
      <c r="E533" s="46">
        <f>IF('Data Entry'!J533&gt;0,'Data Entry'!J533,'Data Entry'!K533)</f>
        <v>0</v>
      </c>
    </row>
    <row r="534" spans="1:5" x14ac:dyDescent="0.25">
      <c r="A534" s="2">
        <f>IF('Data Entry'!J534&gt;0,'Data Entry'!K534,'Data Entry'!L534)</f>
        <v>0</v>
      </c>
      <c r="B534" s="1">
        <f>IF('Data Entry'!J534&gt;0,'Data Entry'!L534,'Data Entry'!M534)</f>
        <v>0</v>
      </c>
      <c r="C534" s="1">
        <f>IF('Data Entry'!N534&gt;0,'Data Entry'!N534,'Data Entry'!O534)</f>
        <v>0</v>
      </c>
      <c r="D534" s="47">
        <f>IF('Data Entry'!P534&gt;0,'Data Entry'!P534,'Data Entry'!Q534)</f>
        <v>0</v>
      </c>
      <c r="E534" s="46">
        <f>IF('Data Entry'!J534&gt;0,'Data Entry'!J534,'Data Entry'!K534)</f>
        <v>0</v>
      </c>
    </row>
    <row r="535" spans="1:5" x14ac:dyDescent="0.25">
      <c r="A535" s="2">
        <f>IF('Data Entry'!J535&gt;0,'Data Entry'!K535,'Data Entry'!L535)</f>
        <v>0</v>
      </c>
      <c r="B535" s="1">
        <f>IF('Data Entry'!J535&gt;0,'Data Entry'!L535,'Data Entry'!M535)</f>
        <v>0</v>
      </c>
      <c r="C535" s="1">
        <f>IF('Data Entry'!N535&gt;0,'Data Entry'!N535,'Data Entry'!O535)</f>
        <v>0</v>
      </c>
      <c r="D535" s="47">
        <f>IF('Data Entry'!P535&gt;0,'Data Entry'!P535,'Data Entry'!Q535)</f>
        <v>0</v>
      </c>
      <c r="E535" s="46">
        <f>IF('Data Entry'!J535&gt;0,'Data Entry'!J535,'Data Entry'!K535)</f>
        <v>0</v>
      </c>
    </row>
    <row r="536" spans="1:5" x14ac:dyDescent="0.25">
      <c r="A536" s="2">
        <f>IF('Data Entry'!J536&gt;0,'Data Entry'!K536,'Data Entry'!L536)</f>
        <v>0</v>
      </c>
      <c r="B536" s="1">
        <f>IF('Data Entry'!J536&gt;0,'Data Entry'!L536,'Data Entry'!M536)</f>
        <v>0</v>
      </c>
      <c r="C536" s="1">
        <f>IF('Data Entry'!N536&gt;0,'Data Entry'!N536,'Data Entry'!O536)</f>
        <v>0</v>
      </c>
      <c r="D536" s="47">
        <f>IF('Data Entry'!P536&gt;0,'Data Entry'!P536,'Data Entry'!Q536)</f>
        <v>0</v>
      </c>
      <c r="E536" s="46">
        <f>IF('Data Entry'!J536&gt;0,'Data Entry'!J536,'Data Entry'!K536)</f>
        <v>0</v>
      </c>
    </row>
    <row r="537" spans="1:5" x14ac:dyDescent="0.25">
      <c r="A537" s="2">
        <f>IF('Data Entry'!J537&gt;0,'Data Entry'!K537,'Data Entry'!L537)</f>
        <v>0</v>
      </c>
      <c r="B537" s="1">
        <f>IF('Data Entry'!J537&gt;0,'Data Entry'!L537,'Data Entry'!M537)</f>
        <v>0</v>
      </c>
      <c r="C537" s="1">
        <f>IF('Data Entry'!N537&gt;0,'Data Entry'!N537,'Data Entry'!O537)</f>
        <v>0</v>
      </c>
      <c r="D537" s="47">
        <f>IF('Data Entry'!P537&gt;0,'Data Entry'!P537,'Data Entry'!Q537)</f>
        <v>0</v>
      </c>
      <c r="E537" s="46">
        <f>IF('Data Entry'!J537&gt;0,'Data Entry'!J537,'Data Entry'!K537)</f>
        <v>0</v>
      </c>
    </row>
    <row r="538" spans="1:5" x14ac:dyDescent="0.25">
      <c r="A538" s="2">
        <f>IF('Data Entry'!J538&gt;0,'Data Entry'!K538,'Data Entry'!L538)</f>
        <v>0</v>
      </c>
      <c r="B538" s="1">
        <f>IF('Data Entry'!J538&gt;0,'Data Entry'!L538,'Data Entry'!M538)</f>
        <v>0</v>
      </c>
      <c r="C538" s="1">
        <f>IF('Data Entry'!N538&gt;0,'Data Entry'!N538,'Data Entry'!O538)</f>
        <v>0</v>
      </c>
      <c r="D538" s="47">
        <f>IF('Data Entry'!P538&gt;0,'Data Entry'!P538,'Data Entry'!Q538)</f>
        <v>0</v>
      </c>
      <c r="E538" s="46">
        <f>IF('Data Entry'!J538&gt;0,'Data Entry'!J538,'Data Entry'!K538)</f>
        <v>0</v>
      </c>
    </row>
    <row r="539" spans="1:5" x14ac:dyDescent="0.25">
      <c r="A539" s="2">
        <f>IF('Data Entry'!J539&gt;0,'Data Entry'!K539,'Data Entry'!L539)</f>
        <v>0</v>
      </c>
      <c r="B539" s="1">
        <f>IF('Data Entry'!J539&gt;0,'Data Entry'!L539,'Data Entry'!M539)</f>
        <v>0</v>
      </c>
      <c r="C539" s="1">
        <f>IF('Data Entry'!N539&gt;0,'Data Entry'!N539,'Data Entry'!O539)</f>
        <v>0</v>
      </c>
      <c r="D539" s="47">
        <f>IF('Data Entry'!P539&gt;0,'Data Entry'!P539,'Data Entry'!Q539)</f>
        <v>0</v>
      </c>
      <c r="E539" s="46">
        <f>IF('Data Entry'!J539&gt;0,'Data Entry'!J539,'Data Entry'!K539)</f>
        <v>0</v>
      </c>
    </row>
    <row r="540" spans="1:5" x14ac:dyDescent="0.25">
      <c r="A540" s="2">
        <f>IF('Data Entry'!J540&gt;0,'Data Entry'!K540,'Data Entry'!L540)</f>
        <v>0</v>
      </c>
      <c r="B540" s="1">
        <f>IF('Data Entry'!J540&gt;0,'Data Entry'!L540,'Data Entry'!M540)</f>
        <v>0</v>
      </c>
      <c r="C540" s="1">
        <f>IF('Data Entry'!N540&gt;0,'Data Entry'!N540,'Data Entry'!O540)</f>
        <v>0</v>
      </c>
      <c r="D540" s="47">
        <f>IF('Data Entry'!P540&gt;0,'Data Entry'!P540,'Data Entry'!Q540)</f>
        <v>0</v>
      </c>
      <c r="E540" s="46">
        <f>IF('Data Entry'!J540&gt;0,'Data Entry'!J540,'Data Entry'!K540)</f>
        <v>0</v>
      </c>
    </row>
    <row r="541" spans="1:5" x14ac:dyDescent="0.25">
      <c r="A541" s="2">
        <f>IF('Data Entry'!J541&gt;0,'Data Entry'!K541,'Data Entry'!L541)</f>
        <v>0</v>
      </c>
      <c r="B541" s="1">
        <f>IF('Data Entry'!J541&gt;0,'Data Entry'!L541,'Data Entry'!M541)</f>
        <v>0</v>
      </c>
      <c r="C541" s="1">
        <f>IF('Data Entry'!N541&gt;0,'Data Entry'!N541,'Data Entry'!O541)</f>
        <v>0</v>
      </c>
      <c r="D541" s="47">
        <f>IF('Data Entry'!P541&gt;0,'Data Entry'!P541,'Data Entry'!Q541)</f>
        <v>0</v>
      </c>
      <c r="E541" s="46">
        <f>IF('Data Entry'!J541&gt;0,'Data Entry'!J541,'Data Entry'!K541)</f>
        <v>0</v>
      </c>
    </row>
    <row r="542" spans="1:5" x14ac:dyDescent="0.25">
      <c r="A542" s="2">
        <f>IF('Data Entry'!J542&gt;0,'Data Entry'!K542,'Data Entry'!L542)</f>
        <v>0</v>
      </c>
      <c r="B542" s="1">
        <f>IF('Data Entry'!J542&gt;0,'Data Entry'!L542,'Data Entry'!M542)</f>
        <v>0</v>
      </c>
      <c r="C542" s="1">
        <f>IF('Data Entry'!N542&gt;0,'Data Entry'!N542,'Data Entry'!O542)</f>
        <v>0</v>
      </c>
      <c r="D542" s="47">
        <f>IF('Data Entry'!P542&gt;0,'Data Entry'!P542,'Data Entry'!Q542)</f>
        <v>0</v>
      </c>
      <c r="E542" s="46">
        <f>IF('Data Entry'!J542&gt;0,'Data Entry'!J542,'Data Entry'!K542)</f>
        <v>0</v>
      </c>
    </row>
    <row r="543" spans="1:5" x14ac:dyDescent="0.25">
      <c r="A543" s="2">
        <f>IF('Data Entry'!J543&gt;0,'Data Entry'!K543,'Data Entry'!L543)</f>
        <v>0</v>
      </c>
      <c r="B543" s="1">
        <f>IF('Data Entry'!J543&gt;0,'Data Entry'!L543,'Data Entry'!M543)</f>
        <v>0</v>
      </c>
      <c r="C543" s="1">
        <f>IF('Data Entry'!N543&gt;0,'Data Entry'!N543,'Data Entry'!O543)</f>
        <v>0</v>
      </c>
      <c r="D543" s="47">
        <f>IF('Data Entry'!P543&gt;0,'Data Entry'!P543,'Data Entry'!Q543)</f>
        <v>0</v>
      </c>
      <c r="E543" s="46">
        <f>IF('Data Entry'!J543&gt;0,'Data Entry'!J543,'Data Entry'!K543)</f>
        <v>0</v>
      </c>
    </row>
    <row r="544" spans="1:5" x14ac:dyDescent="0.25">
      <c r="A544" s="2">
        <f>IF('Data Entry'!J544&gt;0,'Data Entry'!K544,'Data Entry'!L544)</f>
        <v>0</v>
      </c>
      <c r="B544" s="1">
        <f>IF('Data Entry'!J544&gt;0,'Data Entry'!L544,'Data Entry'!M544)</f>
        <v>0</v>
      </c>
      <c r="C544" s="1">
        <f>IF('Data Entry'!N544&gt;0,'Data Entry'!N544,'Data Entry'!O544)</f>
        <v>0</v>
      </c>
      <c r="D544" s="47">
        <f>IF('Data Entry'!P544&gt;0,'Data Entry'!P544,'Data Entry'!Q544)</f>
        <v>0</v>
      </c>
      <c r="E544" s="46">
        <f>IF('Data Entry'!J544&gt;0,'Data Entry'!J544,'Data Entry'!K544)</f>
        <v>0</v>
      </c>
    </row>
    <row r="545" spans="1:5" x14ac:dyDescent="0.25">
      <c r="A545" s="2">
        <f>IF('Data Entry'!J545&gt;0,'Data Entry'!K545,'Data Entry'!L545)</f>
        <v>0</v>
      </c>
      <c r="B545" s="1">
        <f>IF('Data Entry'!J545&gt;0,'Data Entry'!L545,'Data Entry'!M545)</f>
        <v>0</v>
      </c>
      <c r="C545" s="1">
        <f>IF('Data Entry'!N545&gt;0,'Data Entry'!N545,'Data Entry'!O545)</f>
        <v>0</v>
      </c>
      <c r="D545" s="47">
        <f>IF('Data Entry'!P545&gt;0,'Data Entry'!P545,'Data Entry'!Q545)</f>
        <v>0</v>
      </c>
      <c r="E545" s="46">
        <f>IF('Data Entry'!J545&gt;0,'Data Entry'!J545,'Data Entry'!K545)</f>
        <v>0</v>
      </c>
    </row>
    <row r="546" spans="1:5" x14ac:dyDescent="0.25">
      <c r="A546" s="2">
        <f>IF('Data Entry'!J546&gt;0,'Data Entry'!K546,'Data Entry'!L546)</f>
        <v>0</v>
      </c>
      <c r="B546" s="1">
        <f>IF('Data Entry'!J546&gt;0,'Data Entry'!L546,'Data Entry'!M546)</f>
        <v>0</v>
      </c>
      <c r="C546" s="1">
        <f>IF('Data Entry'!N546&gt;0,'Data Entry'!N546,'Data Entry'!O546)</f>
        <v>0</v>
      </c>
      <c r="D546" s="47">
        <f>IF('Data Entry'!P546&gt;0,'Data Entry'!P546,'Data Entry'!Q546)</f>
        <v>0</v>
      </c>
      <c r="E546" s="46">
        <f>IF('Data Entry'!J546&gt;0,'Data Entry'!J546,'Data Entry'!K546)</f>
        <v>0</v>
      </c>
    </row>
    <row r="547" spans="1:5" x14ac:dyDescent="0.25">
      <c r="A547" s="2">
        <f>IF('Data Entry'!J547&gt;0,'Data Entry'!K547,'Data Entry'!L547)</f>
        <v>0</v>
      </c>
      <c r="B547" s="1">
        <f>IF('Data Entry'!J547&gt;0,'Data Entry'!L547,'Data Entry'!M547)</f>
        <v>0</v>
      </c>
      <c r="C547" s="1">
        <f>IF('Data Entry'!N547&gt;0,'Data Entry'!N547,'Data Entry'!O547)</f>
        <v>0</v>
      </c>
      <c r="D547" s="47">
        <f>IF('Data Entry'!P547&gt;0,'Data Entry'!P547,'Data Entry'!Q547)</f>
        <v>0</v>
      </c>
      <c r="E547" s="46">
        <f>IF('Data Entry'!J547&gt;0,'Data Entry'!J547,'Data Entry'!K547)</f>
        <v>0</v>
      </c>
    </row>
    <row r="548" spans="1:5" x14ac:dyDescent="0.25">
      <c r="A548" s="2">
        <f>IF('Data Entry'!J548&gt;0,'Data Entry'!K548,'Data Entry'!L548)</f>
        <v>0</v>
      </c>
      <c r="B548" s="1">
        <f>IF('Data Entry'!J548&gt;0,'Data Entry'!L548,'Data Entry'!M548)</f>
        <v>0</v>
      </c>
      <c r="C548" s="1">
        <f>IF('Data Entry'!N548&gt;0,'Data Entry'!N548,'Data Entry'!O548)</f>
        <v>0</v>
      </c>
      <c r="D548" s="47">
        <f>IF('Data Entry'!P548&gt;0,'Data Entry'!P548,'Data Entry'!Q548)</f>
        <v>0</v>
      </c>
      <c r="E548" s="46">
        <f>IF('Data Entry'!J548&gt;0,'Data Entry'!J548,'Data Entry'!K548)</f>
        <v>0</v>
      </c>
    </row>
    <row r="549" spans="1:5" x14ac:dyDescent="0.25">
      <c r="A549" s="2">
        <f>IF('Data Entry'!J549&gt;0,'Data Entry'!K549,'Data Entry'!L549)</f>
        <v>0</v>
      </c>
      <c r="B549" s="1">
        <f>IF('Data Entry'!J549&gt;0,'Data Entry'!L549,'Data Entry'!M549)</f>
        <v>0</v>
      </c>
      <c r="C549" s="1">
        <f>IF('Data Entry'!N549&gt;0,'Data Entry'!N549,'Data Entry'!O549)</f>
        <v>0</v>
      </c>
      <c r="D549" s="47">
        <f>IF('Data Entry'!P549&gt;0,'Data Entry'!P549,'Data Entry'!Q549)</f>
        <v>0</v>
      </c>
      <c r="E549" s="46">
        <f>IF('Data Entry'!J549&gt;0,'Data Entry'!J549,'Data Entry'!K549)</f>
        <v>0</v>
      </c>
    </row>
    <row r="550" spans="1:5" x14ac:dyDescent="0.25">
      <c r="A550" s="2">
        <f>IF('Data Entry'!J550&gt;0,'Data Entry'!K550,'Data Entry'!L550)</f>
        <v>0</v>
      </c>
      <c r="B550" s="1">
        <f>IF('Data Entry'!J550&gt;0,'Data Entry'!L550,'Data Entry'!M550)</f>
        <v>0</v>
      </c>
      <c r="C550" s="1">
        <f>IF('Data Entry'!N550&gt;0,'Data Entry'!N550,'Data Entry'!O550)</f>
        <v>0</v>
      </c>
      <c r="D550" s="47">
        <f>IF('Data Entry'!P550&gt;0,'Data Entry'!P550,'Data Entry'!Q550)</f>
        <v>0</v>
      </c>
      <c r="E550" s="46">
        <f>IF('Data Entry'!J550&gt;0,'Data Entry'!J550,'Data Entry'!K550)</f>
        <v>0</v>
      </c>
    </row>
    <row r="551" spans="1:5" x14ac:dyDescent="0.25">
      <c r="A551" s="2">
        <f>IF('Data Entry'!J551&gt;0,'Data Entry'!K551,'Data Entry'!L551)</f>
        <v>0</v>
      </c>
      <c r="B551" s="1">
        <f>IF('Data Entry'!J551&gt;0,'Data Entry'!L551,'Data Entry'!M551)</f>
        <v>0</v>
      </c>
      <c r="C551" s="1">
        <f>IF('Data Entry'!N551&gt;0,'Data Entry'!N551,'Data Entry'!O551)</f>
        <v>0</v>
      </c>
      <c r="D551" s="47">
        <f>IF('Data Entry'!P551&gt;0,'Data Entry'!P551,'Data Entry'!Q551)</f>
        <v>0</v>
      </c>
      <c r="E551" s="46">
        <f>IF('Data Entry'!J551&gt;0,'Data Entry'!J551,'Data Entry'!K551)</f>
        <v>0</v>
      </c>
    </row>
    <row r="552" spans="1:5" x14ac:dyDescent="0.25">
      <c r="A552" s="2">
        <f>IF('Data Entry'!J552&gt;0,'Data Entry'!K552,'Data Entry'!L552)</f>
        <v>0</v>
      </c>
      <c r="B552" s="1">
        <f>IF('Data Entry'!J552&gt;0,'Data Entry'!L552,'Data Entry'!M552)</f>
        <v>0</v>
      </c>
      <c r="C552" s="1">
        <f>IF('Data Entry'!N552&gt;0,'Data Entry'!N552,'Data Entry'!O552)</f>
        <v>0</v>
      </c>
      <c r="D552" s="47">
        <f>IF('Data Entry'!P552&gt;0,'Data Entry'!P552,'Data Entry'!Q552)</f>
        <v>0</v>
      </c>
      <c r="E552" s="46">
        <f>IF('Data Entry'!J552&gt;0,'Data Entry'!J552,'Data Entry'!K552)</f>
        <v>0</v>
      </c>
    </row>
    <row r="553" spans="1:5" x14ac:dyDescent="0.25">
      <c r="A553" s="2">
        <f>IF('Data Entry'!J553&gt;0,'Data Entry'!K553,'Data Entry'!L553)</f>
        <v>0</v>
      </c>
      <c r="B553" s="1">
        <f>IF('Data Entry'!J553&gt;0,'Data Entry'!L553,'Data Entry'!M553)</f>
        <v>0</v>
      </c>
      <c r="C553" s="1">
        <f>IF('Data Entry'!N553&gt;0,'Data Entry'!N553,'Data Entry'!O553)</f>
        <v>0</v>
      </c>
      <c r="D553" s="47">
        <f>IF('Data Entry'!P553&gt;0,'Data Entry'!P553,'Data Entry'!Q553)</f>
        <v>0</v>
      </c>
      <c r="E553" s="46">
        <f>IF('Data Entry'!J553&gt;0,'Data Entry'!J553,'Data Entry'!K553)</f>
        <v>0</v>
      </c>
    </row>
    <row r="554" spans="1:5" x14ac:dyDescent="0.25">
      <c r="A554" s="2">
        <f>IF('Data Entry'!J554&gt;0,'Data Entry'!K554,'Data Entry'!L554)</f>
        <v>0</v>
      </c>
      <c r="B554" s="1">
        <f>IF('Data Entry'!J554&gt;0,'Data Entry'!L554,'Data Entry'!M554)</f>
        <v>0</v>
      </c>
      <c r="C554" s="1">
        <f>IF('Data Entry'!N554&gt;0,'Data Entry'!N554,'Data Entry'!O554)</f>
        <v>0</v>
      </c>
      <c r="D554" s="47">
        <f>IF('Data Entry'!P554&gt;0,'Data Entry'!P554,'Data Entry'!Q554)</f>
        <v>0</v>
      </c>
      <c r="E554" s="46">
        <f>IF('Data Entry'!J554&gt;0,'Data Entry'!J554,'Data Entry'!K554)</f>
        <v>0</v>
      </c>
    </row>
    <row r="555" spans="1:5" x14ac:dyDescent="0.25">
      <c r="A555" s="2">
        <f>IF('Data Entry'!J555&gt;0,'Data Entry'!K555,'Data Entry'!L555)</f>
        <v>0</v>
      </c>
      <c r="B555" s="1">
        <f>IF('Data Entry'!J555&gt;0,'Data Entry'!L555,'Data Entry'!M555)</f>
        <v>0</v>
      </c>
      <c r="C555" s="1">
        <f>IF('Data Entry'!N555&gt;0,'Data Entry'!N555,'Data Entry'!O555)</f>
        <v>0</v>
      </c>
      <c r="D555" s="47">
        <f>IF('Data Entry'!P555&gt;0,'Data Entry'!P555,'Data Entry'!Q555)</f>
        <v>0</v>
      </c>
      <c r="E555" s="46">
        <f>IF('Data Entry'!J555&gt;0,'Data Entry'!J555,'Data Entry'!K555)</f>
        <v>0</v>
      </c>
    </row>
    <row r="556" spans="1:5" x14ac:dyDescent="0.25">
      <c r="A556" s="2">
        <f>IF('Data Entry'!J556&gt;0,'Data Entry'!K556,'Data Entry'!L556)</f>
        <v>0</v>
      </c>
      <c r="B556" s="1">
        <f>IF('Data Entry'!J556&gt;0,'Data Entry'!L556,'Data Entry'!M556)</f>
        <v>0</v>
      </c>
      <c r="C556" s="1">
        <f>IF('Data Entry'!N556&gt;0,'Data Entry'!N556,'Data Entry'!O556)</f>
        <v>0</v>
      </c>
      <c r="D556" s="47">
        <f>IF('Data Entry'!P556&gt;0,'Data Entry'!P556,'Data Entry'!Q556)</f>
        <v>0</v>
      </c>
      <c r="E556" s="46">
        <f>IF('Data Entry'!J556&gt;0,'Data Entry'!J556,'Data Entry'!K556)</f>
        <v>0</v>
      </c>
    </row>
    <row r="557" spans="1:5" x14ac:dyDescent="0.25">
      <c r="A557" s="2">
        <f>IF('Data Entry'!J557&gt;0,'Data Entry'!K557,'Data Entry'!L557)</f>
        <v>0</v>
      </c>
      <c r="B557" s="1">
        <f>IF('Data Entry'!J557&gt;0,'Data Entry'!L557,'Data Entry'!M557)</f>
        <v>0</v>
      </c>
      <c r="C557" s="1">
        <f>IF('Data Entry'!N557&gt;0,'Data Entry'!N557,'Data Entry'!O557)</f>
        <v>0</v>
      </c>
      <c r="D557" s="47">
        <f>IF('Data Entry'!P557&gt;0,'Data Entry'!P557,'Data Entry'!Q557)</f>
        <v>0</v>
      </c>
      <c r="E557" s="46">
        <f>IF('Data Entry'!J557&gt;0,'Data Entry'!J557,'Data Entry'!K557)</f>
        <v>0</v>
      </c>
    </row>
    <row r="558" spans="1:5" x14ac:dyDescent="0.25">
      <c r="A558" s="2">
        <f>IF('Data Entry'!J558&gt;0,'Data Entry'!K558,'Data Entry'!L558)</f>
        <v>0</v>
      </c>
      <c r="B558" s="1">
        <f>IF('Data Entry'!J558&gt;0,'Data Entry'!L558,'Data Entry'!M558)</f>
        <v>0</v>
      </c>
      <c r="C558" s="1">
        <f>IF('Data Entry'!N558&gt;0,'Data Entry'!N558,'Data Entry'!O558)</f>
        <v>0</v>
      </c>
      <c r="D558" s="47">
        <f>IF('Data Entry'!P558&gt;0,'Data Entry'!P558,'Data Entry'!Q558)</f>
        <v>0</v>
      </c>
      <c r="E558" s="46">
        <f>IF('Data Entry'!J558&gt;0,'Data Entry'!J558,'Data Entry'!K558)</f>
        <v>0</v>
      </c>
    </row>
    <row r="559" spans="1:5" x14ac:dyDescent="0.25">
      <c r="A559" s="2">
        <f>IF('Data Entry'!J559&gt;0,'Data Entry'!K559,'Data Entry'!L559)</f>
        <v>0</v>
      </c>
      <c r="B559" s="1">
        <f>IF('Data Entry'!J559&gt;0,'Data Entry'!L559,'Data Entry'!M559)</f>
        <v>0</v>
      </c>
      <c r="C559" s="1">
        <f>IF('Data Entry'!N559&gt;0,'Data Entry'!N559,'Data Entry'!O559)</f>
        <v>0</v>
      </c>
      <c r="D559" s="47">
        <f>IF('Data Entry'!P559&gt;0,'Data Entry'!P559,'Data Entry'!Q559)</f>
        <v>0</v>
      </c>
      <c r="E559" s="46">
        <f>IF('Data Entry'!J559&gt;0,'Data Entry'!J559,'Data Entry'!K559)</f>
        <v>0</v>
      </c>
    </row>
    <row r="560" spans="1:5" x14ac:dyDescent="0.25">
      <c r="A560" s="2">
        <f>IF('Data Entry'!J560&gt;0,'Data Entry'!K560,'Data Entry'!L560)</f>
        <v>0</v>
      </c>
      <c r="B560" s="1">
        <f>IF('Data Entry'!J560&gt;0,'Data Entry'!L560,'Data Entry'!M560)</f>
        <v>0</v>
      </c>
      <c r="C560" s="1">
        <f>IF('Data Entry'!N560&gt;0,'Data Entry'!N560,'Data Entry'!O560)</f>
        <v>0</v>
      </c>
      <c r="D560" s="47">
        <f>IF('Data Entry'!P560&gt;0,'Data Entry'!P560,'Data Entry'!Q560)</f>
        <v>0</v>
      </c>
      <c r="E560" s="46">
        <f>IF('Data Entry'!J560&gt;0,'Data Entry'!J560,'Data Entry'!K560)</f>
        <v>0</v>
      </c>
    </row>
    <row r="561" spans="1:5" x14ac:dyDescent="0.25">
      <c r="A561" s="2">
        <f>IF('Data Entry'!J561&gt;0,'Data Entry'!K561,'Data Entry'!L561)</f>
        <v>0</v>
      </c>
      <c r="B561" s="1">
        <f>IF('Data Entry'!J561&gt;0,'Data Entry'!L561,'Data Entry'!M561)</f>
        <v>0</v>
      </c>
      <c r="C561" s="1">
        <f>IF('Data Entry'!N561&gt;0,'Data Entry'!N561,'Data Entry'!O561)</f>
        <v>0</v>
      </c>
      <c r="D561" s="47">
        <f>IF('Data Entry'!P561&gt;0,'Data Entry'!P561,'Data Entry'!Q561)</f>
        <v>0</v>
      </c>
      <c r="E561" s="46">
        <f>IF('Data Entry'!J561&gt;0,'Data Entry'!J561,'Data Entry'!K561)</f>
        <v>0</v>
      </c>
    </row>
    <row r="562" spans="1:5" x14ac:dyDescent="0.25">
      <c r="A562" s="2">
        <f>IF('Data Entry'!J562&gt;0,'Data Entry'!K562,'Data Entry'!L562)</f>
        <v>0</v>
      </c>
      <c r="B562" s="1">
        <f>IF('Data Entry'!J562&gt;0,'Data Entry'!L562,'Data Entry'!M562)</f>
        <v>0</v>
      </c>
      <c r="C562" s="1">
        <f>IF('Data Entry'!N562&gt;0,'Data Entry'!N562,'Data Entry'!O562)</f>
        <v>0</v>
      </c>
      <c r="D562" s="47">
        <f>IF('Data Entry'!P562&gt;0,'Data Entry'!P562,'Data Entry'!Q562)</f>
        <v>0</v>
      </c>
      <c r="E562" s="46">
        <f>IF('Data Entry'!J562&gt;0,'Data Entry'!J562,'Data Entry'!K562)</f>
        <v>0</v>
      </c>
    </row>
    <row r="563" spans="1:5" x14ac:dyDescent="0.25">
      <c r="A563" s="2">
        <f>IF('Data Entry'!J563&gt;0,'Data Entry'!K563,'Data Entry'!L563)</f>
        <v>0</v>
      </c>
      <c r="B563" s="1">
        <f>IF('Data Entry'!J563&gt;0,'Data Entry'!L563,'Data Entry'!M563)</f>
        <v>0</v>
      </c>
      <c r="C563" s="1">
        <f>IF('Data Entry'!N563&gt;0,'Data Entry'!N563,'Data Entry'!O563)</f>
        <v>0</v>
      </c>
      <c r="D563" s="47">
        <f>IF('Data Entry'!P563&gt;0,'Data Entry'!P563,'Data Entry'!Q563)</f>
        <v>0</v>
      </c>
      <c r="E563" s="46">
        <f>IF('Data Entry'!J563&gt;0,'Data Entry'!J563,'Data Entry'!K563)</f>
        <v>0</v>
      </c>
    </row>
    <row r="564" spans="1:5" x14ac:dyDescent="0.25">
      <c r="A564" s="2">
        <f>IF('Data Entry'!J564&gt;0,'Data Entry'!K564,'Data Entry'!L564)</f>
        <v>0</v>
      </c>
      <c r="B564" s="1">
        <f>IF('Data Entry'!J564&gt;0,'Data Entry'!L564,'Data Entry'!M564)</f>
        <v>0</v>
      </c>
      <c r="C564" s="1">
        <f>IF('Data Entry'!N564&gt;0,'Data Entry'!N564,'Data Entry'!O564)</f>
        <v>0</v>
      </c>
      <c r="D564" s="47">
        <f>IF('Data Entry'!P564&gt;0,'Data Entry'!P564,'Data Entry'!Q564)</f>
        <v>0</v>
      </c>
      <c r="E564" s="46">
        <f>IF('Data Entry'!J564&gt;0,'Data Entry'!J564,'Data Entry'!K564)</f>
        <v>0</v>
      </c>
    </row>
    <row r="565" spans="1:5" x14ac:dyDescent="0.25">
      <c r="A565" s="2">
        <f>IF('Data Entry'!J565&gt;0,'Data Entry'!K565,'Data Entry'!L565)</f>
        <v>0</v>
      </c>
      <c r="B565" s="1">
        <f>IF('Data Entry'!J565&gt;0,'Data Entry'!L565,'Data Entry'!M565)</f>
        <v>0</v>
      </c>
      <c r="C565" s="1">
        <f>IF('Data Entry'!N565&gt;0,'Data Entry'!N565,'Data Entry'!O565)</f>
        <v>0</v>
      </c>
      <c r="D565" s="47">
        <f>IF('Data Entry'!P565&gt;0,'Data Entry'!P565,'Data Entry'!Q565)</f>
        <v>0</v>
      </c>
      <c r="E565" s="46">
        <f>IF('Data Entry'!J565&gt;0,'Data Entry'!J565,'Data Entry'!K565)</f>
        <v>0</v>
      </c>
    </row>
    <row r="566" spans="1:5" x14ac:dyDescent="0.25">
      <c r="A566" s="2">
        <f>IF('Data Entry'!J566&gt;0,'Data Entry'!K566,'Data Entry'!L566)</f>
        <v>0</v>
      </c>
      <c r="B566" s="1">
        <f>IF('Data Entry'!J566&gt;0,'Data Entry'!L566,'Data Entry'!M566)</f>
        <v>0</v>
      </c>
      <c r="C566" s="1">
        <f>IF('Data Entry'!N566&gt;0,'Data Entry'!N566,'Data Entry'!O566)</f>
        <v>0</v>
      </c>
      <c r="D566" s="47">
        <f>IF('Data Entry'!P566&gt;0,'Data Entry'!P566,'Data Entry'!Q566)</f>
        <v>0</v>
      </c>
      <c r="E566" s="46">
        <f>IF('Data Entry'!J566&gt;0,'Data Entry'!J566,'Data Entry'!K566)</f>
        <v>0</v>
      </c>
    </row>
    <row r="567" spans="1:5" x14ac:dyDescent="0.25">
      <c r="A567" s="2">
        <f>IF('Data Entry'!J567&gt;0,'Data Entry'!K567,'Data Entry'!L567)</f>
        <v>0</v>
      </c>
      <c r="B567" s="1">
        <f>IF('Data Entry'!J567&gt;0,'Data Entry'!L567,'Data Entry'!M567)</f>
        <v>0</v>
      </c>
      <c r="C567" s="1">
        <f>IF('Data Entry'!N567&gt;0,'Data Entry'!N567,'Data Entry'!O567)</f>
        <v>0</v>
      </c>
      <c r="D567" s="47">
        <f>IF('Data Entry'!P567&gt;0,'Data Entry'!P567,'Data Entry'!Q567)</f>
        <v>0</v>
      </c>
      <c r="E567" s="46">
        <f>IF('Data Entry'!J567&gt;0,'Data Entry'!J567,'Data Entry'!K567)</f>
        <v>0</v>
      </c>
    </row>
    <row r="568" spans="1:5" x14ac:dyDescent="0.25">
      <c r="A568" s="2">
        <f>IF('Data Entry'!J568&gt;0,'Data Entry'!K568,'Data Entry'!L568)</f>
        <v>0</v>
      </c>
      <c r="B568" s="1">
        <f>IF('Data Entry'!J568&gt;0,'Data Entry'!L568,'Data Entry'!M568)</f>
        <v>0</v>
      </c>
      <c r="C568" s="1">
        <f>IF('Data Entry'!N568&gt;0,'Data Entry'!N568,'Data Entry'!O568)</f>
        <v>0</v>
      </c>
      <c r="D568" s="47">
        <f>IF('Data Entry'!P568&gt;0,'Data Entry'!P568,'Data Entry'!Q568)</f>
        <v>0</v>
      </c>
      <c r="E568" s="46">
        <f>IF('Data Entry'!J568&gt;0,'Data Entry'!J568,'Data Entry'!K568)</f>
        <v>0</v>
      </c>
    </row>
    <row r="569" spans="1:5" x14ac:dyDescent="0.25">
      <c r="A569" s="2">
        <f>IF('Data Entry'!J569&gt;0,'Data Entry'!K569,'Data Entry'!L569)</f>
        <v>0</v>
      </c>
      <c r="B569" s="1">
        <f>IF('Data Entry'!J569&gt;0,'Data Entry'!L569,'Data Entry'!M569)</f>
        <v>0</v>
      </c>
      <c r="C569" s="1">
        <f>IF('Data Entry'!N569&gt;0,'Data Entry'!N569,'Data Entry'!O569)</f>
        <v>0</v>
      </c>
      <c r="D569" s="47">
        <f>IF('Data Entry'!P569&gt;0,'Data Entry'!P569,'Data Entry'!Q569)</f>
        <v>0</v>
      </c>
      <c r="E569" s="46">
        <f>IF('Data Entry'!J569&gt;0,'Data Entry'!J569,'Data Entry'!K569)</f>
        <v>0</v>
      </c>
    </row>
    <row r="570" spans="1:5" x14ac:dyDescent="0.25">
      <c r="A570" s="2">
        <f>IF('Data Entry'!J570&gt;0,'Data Entry'!K570,'Data Entry'!L570)</f>
        <v>0</v>
      </c>
      <c r="B570" s="1">
        <f>IF('Data Entry'!J570&gt;0,'Data Entry'!L570,'Data Entry'!M570)</f>
        <v>0</v>
      </c>
      <c r="C570" s="1">
        <f>IF('Data Entry'!N570&gt;0,'Data Entry'!N570,'Data Entry'!O570)</f>
        <v>0</v>
      </c>
      <c r="D570" s="47">
        <f>IF('Data Entry'!P570&gt;0,'Data Entry'!P570,'Data Entry'!Q570)</f>
        <v>0</v>
      </c>
      <c r="E570" s="46">
        <f>IF('Data Entry'!J570&gt;0,'Data Entry'!J570,'Data Entry'!K570)</f>
        <v>0</v>
      </c>
    </row>
    <row r="571" spans="1:5" x14ac:dyDescent="0.25">
      <c r="A571" s="2">
        <f>IF('Data Entry'!J571&gt;0,'Data Entry'!K571,'Data Entry'!L571)</f>
        <v>0</v>
      </c>
      <c r="B571" s="1">
        <f>IF('Data Entry'!J571&gt;0,'Data Entry'!L571,'Data Entry'!M571)</f>
        <v>0</v>
      </c>
      <c r="C571" s="1">
        <f>IF('Data Entry'!N571&gt;0,'Data Entry'!N571,'Data Entry'!O571)</f>
        <v>0</v>
      </c>
      <c r="D571" s="47">
        <f>IF('Data Entry'!P571&gt;0,'Data Entry'!P571,'Data Entry'!Q571)</f>
        <v>0</v>
      </c>
      <c r="E571" s="46">
        <f>IF('Data Entry'!J571&gt;0,'Data Entry'!J571,'Data Entry'!K571)</f>
        <v>0</v>
      </c>
    </row>
    <row r="572" spans="1:5" x14ac:dyDescent="0.25">
      <c r="A572" s="2">
        <f>IF('Data Entry'!J572&gt;0,'Data Entry'!K572,'Data Entry'!L572)</f>
        <v>0</v>
      </c>
      <c r="B572" s="1">
        <f>IF('Data Entry'!J572&gt;0,'Data Entry'!L572,'Data Entry'!M572)</f>
        <v>0</v>
      </c>
      <c r="C572" s="1">
        <f>IF('Data Entry'!N572&gt;0,'Data Entry'!N572,'Data Entry'!O572)</f>
        <v>0</v>
      </c>
      <c r="D572" s="47">
        <f>IF('Data Entry'!P572&gt;0,'Data Entry'!P572,'Data Entry'!Q572)</f>
        <v>0</v>
      </c>
      <c r="E572" s="46">
        <f>IF('Data Entry'!J572&gt;0,'Data Entry'!J572,'Data Entry'!K572)</f>
        <v>0</v>
      </c>
    </row>
    <row r="573" spans="1:5" x14ac:dyDescent="0.25">
      <c r="A573" s="2">
        <f>IF('Data Entry'!J573&gt;0,'Data Entry'!K573,'Data Entry'!L573)</f>
        <v>0</v>
      </c>
      <c r="B573" s="1">
        <f>IF('Data Entry'!J573&gt;0,'Data Entry'!L573,'Data Entry'!M573)</f>
        <v>0</v>
      </c>
      <c r="C573" s="1">
        <f>IF('Data Entry'!N573&gt;0,'Data Entry'!N573,'Data Entry'!O573)</f>
        <v>0</v>
      </c>
      <c r="D573" s="47">
        <f>IF('Data Entry'!P573&gt;0,'Data Entry'!P573,'Data Entry'!Q573)</f>
        <v>0</v>
      </c>
      <c r="E573" s="46">
        <f>IF('Data Entry'!J573&gt;0,'Data Entry'!J573,'Data Entry'!K573)</f>
        <v>0</v>
      </c>
    </row>
    <row r="574" spans="1:5" x14ac:dyDescent="0.25">
      <c r="A574" s="2">
        <f>IF('Data Entry'!J574&gt;0,'Data Entry'!K574,'Data Entry'!L574)</f>
        <v>0</v>
      </c>
      <c r="B574" s="1">
        <f>IF('Data Entry'!J574&gt;0,'Data Entry'!L574,'Data Entry'!M574)</f>
        <v>0</v>
      </c>
      <c r="C574" s="1">
        <f>IF('Data Entry'!N574&gt;0,'Data Entry'!N574,'Data Entry'!O574)</f>
        <v>0</v>
      </c>
      <c r="D574" s="47">
        <f>IF('Data Entry'!P574&gt;0,'Data Entry'!P574,'Data Entry'!Q574)</f>
        <v>0</v>
      </c>
      <c r="E574" s="46">
        <f>IF('Data Entry'!J574&gt;0,'Data Entry'!J574,'Data Entry'!K574)</f>
        <v>0</v>
      </c>
    </row>
    <row r="575" spans="1:5" x14ac:dyDescent="0.25">
      <c r="A575" s="2">
        <f>IF('Data Entry'!J575&gt;0,'Data Entry'!K575,'Data Entry'!L575)</f>
        <v>0</v>
      </c>
      <c r="B575" s="1">
        <f>IF('Data Entry'!J575&gt;0,'Data Entry'!L575,'Data Entry'!M575)</f>
        <v>0</v>
      </c>
      <c r="C575" s="1">
        <f>IF('Data Entry'!N575&gt;0,'Data Entry'!N575,'Data Entry'!O575)</f>
        <v>0</v>
      </c>
      <c r="D575" s="47">
        <f>IF('Data Entry'!P575&gt;0,'Data Entry'!P575,'Data Entry'!Q575)</f>
        <v>0</v>
      </c>
      <c r="E575" s="46">
        <f>IF('Data Entry'!J575&gt;0,'Data Entry'!J575,'Data Entry'!K575)</f>
        <v>0</v>
      </c>
    </row>
    <row r="576" spans="1:5" x14ac:dyDescent="0.25">
      <c r="A576" s="2">
        <f>IF('Data Entry'!J576&gt;0,'Data Entry'!K576,'Data Entry'!L576)</f>
        <v>0</v>
      </c>
      <c r="B576" s="1">
        <f>IF('Data Entry'!J576&gt;0,'Data Entry'!L576,'Data Entry'!M576)</f>
        <v>0</v>
      </c>
      <c r="C576" s="1">
        <f>IF('Data Entry'!N576&gt;0,'Data Entry'!N576,'Data Entry'!O576)</f>
        <v>0</v>
      </c>
      <c r="D576" s="47">
        <f>IF('Data Entry'!P576&gt;0,'Data Entry'!P576,'Data Entry'!Q576)</f>
        <v>0</v>
      </c>
      <c r="E576" s="46">
        <f>IF('Data Entry'!J576&gt;0,'Data Entry'!J576,'Data Entry'!K576)</f>
        <v>0</v>
      </c>
    </row>
    <row r="577" spans="1:5" x14ac:dyDescent="0.25">
      <c r="A577" s="2">
        <f>IF('Data Entry'!J577&gt;0,'Data Entry'!K577,'Data Entry'!L577)</f>
        <v>0</v>
      </c>
      <c r="B577" s="1">
        <f>IF('Data Entry'!J577&gt;0,'Data Entry'!L577,'Data Entry'!M577)</f>
        <v>0</v>
      </c>
      <c r="C577" s="1">
        <f>IF('Data Entry'!N577&gt;0,'Data Entry'!N577,'Data Entry'!O577)</f>
        <v>0</v>
      </c>
      <c r="D577" s="47">
        <f>IF('Data Entry'!P577&gt;0,'Data Entry'!P577,'Data Entry'!Q577)</f>
        <v>0</v>
      </c>
      <c r="E577" s="46">
        <f>IF('Data Entry'!J577&gt;0,'Data Entry'!J577,'Data Entry'!K577)</f>
        <v>0</v>
      </c>
    </row>
    <row r="578" spans="1:5" x14ac:dyDescent="0.25">
      <c r="A578" s="2">
        <f>IF('Data Entry'!J578&gt;0,'Data Entry'!K578,'Data Entry'!L578)</f>
        <v>0</v>
      </c>
      <c r="B578" s="1">
        <f>IF('Data Entry'!J578&gt;0,'Data Entry'!L578,'Data Entry'!M578)</f>
        <v>0</v>
      </c>
      <c r="C578" s="1">
        <f>IF('Data Entry'!N578&gt;0,'Data Entry'!N578,'Data Entry'!O578)</f>
        <v>0</v>
      </c>
      <c r="D578" s="47">
        <f>IF('Data Entry'!P578&gt;0,'Data Entry'!P578,'Data Entry'!Q578)</f>
        <v>0</v>
      </c>
      <c r="E578" s="46">
        <f>IF('Data Entry'!J578&gt;0,'Data Entry'!J578,'Data Entry'!K578)</f>
        <v>0</v>
      </c>
    </row>
    <row r="579" spans="1:5" x14ac:dyDescent="0.25">
      <c r="A579" s="2">
        <f>IF('Data Entry'!J579&gt;0,'Data Entry'!K579,'Data Entry'!L579)</f>
        <v>0</v>
      </c>
      <c r="B579" s="1">
        <f>IF('Data Entry'!J579&gt;0,'Data Entry'!L579,'Data Entry'!M579)</f>
        <v>0</v>
      </c>
      <c r="C579" s="1">
        <f>IF('Data Entry'!N579&gt;0,'Data Entry'!N579,'Data Entry'!O579)</f>
        <v>0</v>
      </c>
      <c r="D579" s="47">
        <f>IF('Data Entry'!P579&gt;0,'Data Entry'!P579,'Data Entry'!Q579)</f>
        <v>0</v>
      </c>
      <c r="E579" s="46">
        <f>IF('Data Entry'!J579&gt;0,'Data Entry'!J579,'Data Entry'!K579)</f>
        <v>0</v>
      </c>
    </row>
    <row r="580" spans="1:5" x14ac:dyDescent="0.25">
      <c r="A580" s="2">
        <f>IF('Data Entry'!J580&gt;0,'Data Entry'!K580,'Data Entry'!L580)</f>
        <v>0</v>
      </c>
      <c r="B580" s="1">
        <f>IF('Data Entry'!J580&gt;0,'Data Entry'!L580,'Data Entry'!M580)</f>
        <v>0</v>
      </c>
      <c r="C580" s="1">
        <f>IF('Data Entry'!N580&gt;0,'Data Entry'!N580,'Data Entry'!O580)</f>
        <v>0</v>
      </c>
      <c r="D580" s="47">
        <f>IF('Data Entry'!P580&gt;0,'Data Entry'!P580,'Data Entry'!Q580)</f>
        <v>0</v>
      </c>
      <c r="E580" s="46">
        <f>IF('Data Entry'!J580&gt;0,'Data Entry'!J580,'Data Entry'!K580)</f>
        <v>0</v>
      </c>
    </row>
    <row r="581" spans="1:5" x14ac:dyDescent="0.25">
      <c r="A581" s="2">
        <f>IF('Data Entry'!J581&gt;0,'Data Entry'!K581,'Data Entry'!L581)</f>
        <v>0</v>
      </c>
      <c r="B581" s="1">
        <f>IF('Data Entry'!J581&gt;0,'Data Entry'!L581,'Data Entry'!M581)</f>
        <v>0</v>
      </c>
      <c r="C581" s="1">
        <f>IF('Data Entry'!N581&gt;0,'Data Entry'!N581,'Data Entry'!O581)</f>
        <v>0</v>
      </c>
      <c r="D581" s="47">
        <f>IF('Data Entry'!P581&gt;0,'Data Entry'!P581,'Data Entry'!Q581)</f>
        <v>0</v>
      </c>
      <c r="E581" s="46">
        <f>IF('Data Entry'!J581&gt;0,'Data Entry'!J581,'Data Entry'!K581)</f>
        <v>0</v>
      </c>
    </row>
    <row r="582" spans="1:5" x14ac:dyDescent="0.25">
      <c r="A582" s="2">
        <f>IF('Data Entry'!J582&gt;0,'Data Entry'!K582,'Data Entry'!L582)</f>
        <v>0</v>
      </c>
      <c r="B582" s="1">
        <f>IF('Data Entry'!J582&gt;0,'Data Entry'!L582,'Data Entry'!M582)</f>
        <v>0</v>
      </c>
      <c r="C582" s="1">
        <f>IF('Data Entry'!N582&gt;0,'Data Entry'!N582,'Data Entry'!O582)</f>
        <v>0</v>
      </c>
      <c r="D582" s="47">
        <f>IF('Data Entry'!P582&gt;0,'Data Entry'!P582,'Data Entry'!Q582)</f>
        <v>0</v>
      </c>
      <c r="E582" s="46">
        <f>IF('Data Entry'!J582&gt;0,'Data Entry'!J582,'Data Entry'!K582)</f>
        <v>0</v>
      </c>
    </row>
    <row r="583" spans="1:5" x14ac:dyDescent="0.25">
      <c r="A583" s="2">
        <f>IF('Data Entry'!J583&gt;0,'Data Entry'!K583,'Data Entry'!L583)</f>
        <v>0</v>
      </c>
      <c r="B583" s="1">
        <f>IF('Data Entry'!J583&gt;0,'Data Entry'!L583,'Data Entry'!M583)</f>
        <v>0</v>
      </c>
      <c r="C583" s="1">
        <f>IF('Data Entry'!N583&gt;0,'Data Entry'!N583,'Data Entry'!O583)</f>
        <v>0</v>
      </c>
      <c r="D583" s="47">
        <f>IF('Data Entry'!P583&gt;0,'Data Entry'!P583,'Data Entry'!Q583)</f>
        <v>0</v>
      </c>
      <c r="E583" s="46">
        <f>IF('Data Entry'!J583&gt;0,'Data Entry'!J583,'Data Entry'!K583)</f>
        <v>0</v>
      </c>
    </row>
    <row r="584" spans="1:5" x14ac:dyDescent="0.25">
      <c r="A584" s="2">
        <f>IF('Data Entry'!J584&gt;0,'Data Entry'!K584,'Data Entry'!L584)</f>
        <v>0</v>
      </c>
      <c r="B584" s="1">
        <f>IF('Data Entry'!J584&gt;0,'Data Entry'!L584,'Data Entry'!M584)</f>
        <v>0</v>
      </c>
      <c r="C584" s="1">
        <f>IF('Data Entry'!N584&gt;0,'Data Entry'!N584,'Data Entry'!O584)</f>
        <v>0</v>
      </c>
      <c r="D584" s="47">
        <f>IF('Data Entry'!P584&gt;0,'Data Entry'!P584,'Data Entry'!Q584)</f>
        <v>0</v>
      </c>
      <c r="E584" s="46">
        <f>IF('Data Entry'!J584&gt;0,'Data Entry'!J584,'Data Entry'!K584)</f>
        <v>0</v>
      </c>
    </row>
    <row r="585" spans="1:5" x14ac:dyDescent="0.25">
      <c r="A585" s="2">
        <f>IF('Data Entry'!J585&gt;0,'Data Entry'!K585,'Data Entry'!L585)</f>
        <v>0</v>
      </c>
      <c r="B585" s="1">
        <f>IF('Data Entry'!J585&gt;0,'Data Entry'!L585,'Data Entry'!M585)</f>
        <v>0</v>
      </c>
      <c r="C585" s="1">
        <f>IF('Data Entry'!N585&gt;0,'Data Entry'!N585,'Data Entry'!O585)</f>
        <v>0</v>
      </c>
      <c r="D585" s="47">
        <f>IF('Data Entry'!P585&gt;0,'Data Entry'!P585,'Data Entry'!Q585)</f>
        <v>0</v>
      </c>
      <c r="E585" s="46">
        <f>IF('Data Entry'!J585&gt;0,'Data Entry'!J585,'Data Entry'!K585)</f>
        <v>0</v>
      </c>
    </row>
    <row r="586" spans="1:5" x14ac:dyDescent="0.25">
      <c r="A586" s="2">
        <f>IF('Data Entry'!J586&gt;0,'Data Entry'!K586,'Data Entry'!L586)</f>
        <v>0</v>
      </c>
      <c r="B586" s="1">
        <f>IF('Data Entry'!J586&gt;0,'Data Entry'!L586,'Data Entry'!M586)</f>
        <v>0</v>
      </c>
      <c r="C586" s="1">
        <f>IF('Data Entry'!N586&gt;0,'Data Entry'!N586,'Data Entry'!O586)</f>
        <v>0</v>
      </c>
      <c r="D586" s="47">
        <f>IF('Data Entry'!P586&gt;0,'Data Entry'!P586,'Data Entry'!Q586)</f>
        <v>0</v>
      </c>
      <c r="E586" s="46">
        <f>IF('Data Entry'!J586&gt;0,'Data Entry'!J586,'Data Entry'!K586)</f>
        <v>0</v>
      </c>
    </row>
    <row r="587" spans="1:5" x14ac:dyDescent="0.25">
      <c r="A587" s="2">
        <f>IF('Data Entry'!J587&gt;0,'Data Entry'!K587,'Data Entry'!L587)</f>
        <v>0</v>
      </c>
      <c r="B587" s="1">
        <f>IF('Data Entry'!J587&gt;0,'Data Entry'!L587,'Data Entry'!M587)</f>
        <v>0</v>
      </c>
      <c r="C587" s="1">
        <f>IF('Data Entry'!N587&gt;0,'Data Entry'!N587,'Data Entry'!O587)</f>
        <v>0</v>
      </c>
      <c r="D587" s="47">
        <f>IF('Data Entry'!P587&gt;0,'Data Entry'!P587,'Data Entry'!Q587)</f>
        <v>0</v>
      </c>
      <c r="E587" s="46">
        <f>IF('Data Entry'!J587&gt;0,'Data Entry'!J587,'Data Entry'!K587)</f>
        <v>0</v>
      </c>
    </row>
    <row r="588" spans="1:5" x14ac:dyDescent="0.25">
      <c r="A588" s="2">
        <f>IF('Data Entry'!J588&gt;0,'Data Entry'!K588,'Data Entry'!L588)</f>
        <v>0</v>
      </c>
      <c r="B588" s="1">
        <f>IF('Data Entry'!J588&gt;0,'Data Entry'!L588,'Data Entry'!M588)</f>
        <v>0</v>
      </c>
      <c r="C588" s="1">
        <f>IF('Data Entry'!N588&gt;0,'Data Entry'!N588,'Data Entry'!O588)</f>
        <v>0</v>
      </c>
      <c r="D588" s="47">
        <f>IF('Data Entry'!P588&gt;0,'Data Entry'!P588,'Data Entry'!Q588)</f>
        <v>0</v>
      </c>
      <c r="E588" s="46">
        <f>IF('Data Entry'!J588&gt;0,'Data Entry'!J588,'Data Entry'!K588)</f>
        <v>0</v>
      </c>
    </row>
    <row r="589" spans="1:5" x14ac:dyDescent="0.25">
      <c r="A589" s="2">
        <f>IF('Data Entry'!J589&gt;0,'Data Entry'!K589,'Data Entry'!L589)</f>
        <v>0</v>
      </c>
      <c r="B589" s="1">
        <f>IF('Data Entry'!J589&gt;0,'Data Entry'!L589,'Data Entry'!M589)</f>
        <v>0</v>
      </c>
      <c r="C589" s="1">
        <f>IF('Data Entry'!N589&gt;0,'Data Entry'!N589,'Data Entry'!O589)</f>
        <v>0</v>
      </c>
      <c r="D589" s="47">
        <f>IF('Data Entry'!P589&gt;0,'Data Entry'!P589,'Data Entry'!Q589)</f>
        <v>0</v>
      </c>
      <c r="E589" s="46">
        <f>IF('Data Entry'!J589&gt;0,'Data Entry'!J589,'Data Entry'!K589)</f>
        <v>0</v>
      </c>
    </row>
    <row r="590" spans="1:5" x14ac:dyDescent="0.25">
      <c r="A590" s="2">
        <f>IF('Data Entry'!J590&gt;0,'Data Entry'!K590,'Data Entry'!L590)</f>
        <v>0</v>
      </c>
      <c r="B590" s="1">
        <f>IF('Data Entry'!J590&gt;0,'Data Entry'!L590,'Data Entry'!M590)</f>
        <v>0</v>
      </c>
      <c r="C590" s="1">
        <f>IF('Data Entry'!N590&gt;0,'Data Entry'!N590,'Data Entry'!O590)</f>
        <v>0</v>
      </c>
      <c r="D590" s="47">
        <f>IF('Data Entry'!P590&gt;0,'Data Entry'!P590,'Data Entry'!Q590)</f>
        <v>0</v>
      </c>
      <c r="E590" s="46">
        <f>IF('Data Entry'!J590&gt;0,'Data Entry'!J590,'Data Entry'!K590)</f>
        <v>0</v>
      </c>
    </row>
    <row r="591" spans="1:5" x14ac:dyDescent="0.25">
      <c r="A591" s="2">
        <f>IF('Data Entry'!J591&gt;0,'Data Entry'!K591,'Data Entry'!L591)</f>
        <v>0</v>
      </c>
      <c r="B591" s="1">
        <f>IF('Data Entry'!J591&gt;0,'Data Entry'!L591,'Data Entry'!M591)</f>
        <v>0</v>
      </c>
      <c r="C591" s="1">
        <f>IF('Data Entry'!N591&gt;0,'Data Entry'!N591,'Data Entry'!O591)</f>
        <v>0</v>
      </c>
      <c r="D591" s="47">
        <f>IF('Data Entry'!P591&gt;0,'Data Entry'!P591,'Data Entry'!Q591)</f>
        <v>0</v>
      </c>
      <c r="E591" s="46">
        <f>IF('Data Entry'!J591&gt;0,'Data Entry'!J591,'Data Entry'!K591)</f>
        <v>0</v>
      </c>
    </row>
    <row r="592" spans="1:5" x14ac:dyDescent="0.25">
      <c r="A592" s="2">
        <f>IF('Data Entry'!J592&gt;0,'Data Entry'!K592,'Data Entry'!L592)</f>
        <v>0</v>
      </c>
      <c r="B592" s="1">
        <f>IF('Data Entry'!J592&gt;0,'Data Entry'!L592,'Data Entry'!M592)</f>
        <v>0</v>
      </c>
      <c r="C592" s="1">
        <f>IF('Data Entry'!N592&gt;0,'Data Entry'!N592,'Data Entry'!O592)</f>
        <v>0</v>
      </c>
      <c r="D592" s="47">
        <f>IF('Data Entry'!P592&gt;0,'Data Entry'!P592,'Data Entry'!Q592)</f>
        <v>0</v>
      </c>
      <c r="E592" s="46">
        <f>IF('Data Entry'!J592&gt;0,'Data Entry'!J592,'Data Entry'!K592)</f>
        <v>0</v>
      </c>
    </row>
    <row r="593" spans="1:5" x14ac:dyDescent="0.25">
      <c r="A593" s="2">
        <f>IF('Data Entry'!J593&gt;0,'Data Entry'!K593,'Data Entry'!L593)</f>
        <v>0</v>
      </c>
      <c r="B593" s="1">
        <f>IF('Data Entry'!J593&gt;0,'Data Entry'!L593,'Data Entry'!M593)</f>
        <v>0</v>
      </c>
      <c r="C593" s="1">
        <f>IF('Data Entry'!N593&gt;0,'Data Entry'!N593,'Data Entry'!O593)</f>
        <v>0</v>
      </c>
      <c r="D593" s="47">
        <f>IF('Data Entry'!P593&gt;0,'Data Entry'!P593,'Data Entry'!Q593)</f>
        <v>0</v>
      </c>
      <c r="E593" s="46">
        <f>IF('Data Entry'!J593&gt;0,'Data Entry'!J593,'Data Entry'!K593)</f>
        <v>0</v>
      </c>
    </row>
    <row r="594" spans="1:5" x14ac:dyDescent="0.25">
      <c r="A594" s="2">
        <f>IF('Data Entry'!J594&gt;0,'Data Entry'!K594,'Data Entry'!L594)</f>
        <v>0</v>
      </c>
      <c r="B594" s="1">
        <f>IF('Data Entry'!J594&gt;0,'Data Entry'!L594,'Data Entry'!M594)</f>
        <v>0</v>
      </c>
      <c r="C594" s="1">
        <f>IF('Data Entry'!N594&gt;0,'Data Entry'!N594,'Data Entry'!O594)</f>
        <v>0</v>
      </c>
      <c r="D594" s="47">
        <f>IF('Data Entry'!P594&gt;0,'Data Entry'!P594,'Data Entry'!Q594)</f>
        <v>0</v>
      </c>
      <c r="E594" s="46">
        <f>IF('Data Entry'!J594&gt;0,'Data Entry'!J594,'Data Entry'!K594)</f>
        <v>0</v>
      </c>
    </row>
    <row r="595" spans="1:5" x14ac:dyDescent="0.25">
      <c r="A595" s="2">
        <f>IF('Data Entry'!J595&gt;0,'Data Entry'!K595,'Data Entry'!L595)</f>
        <v>0</v>
      </c>
      <c r="B595" s="1">
        <f>IF('Data Entry'!J595&gt;0,'Data Entry'!L595,'Data Entry'!M595)</f>
        <v>0</v>
      </c>
      <c r="C595" s="1">
        <f>IF('Data Entry'!N595&gt;0,'Data Entry'!N595,'Data Entry'!O595)</f>
        <v>0</v>
      </c>
      <c r="D595" s="47">
        <f>IF('Data Entry'!P595&gt;0,'Data Entry'!P595,'Data Entry'!Q595)</f>
        <v>0</v>
      </c>
      <c r="E595" s="46">
        <f>IF('Data Entry'!J595&gt;0,'Data Entry'!J595,'Data Entry'!K595)</f>
        <v>0</v>
      </c>
    </row>
    <row r="596" spans="1:5" x14ac:dyDescent="0.25">
      <c r="A596" s="2">
        <f>IF('Data Entry'!J596&gt;0,'Data Entry'!K596,'Data Entry'!L596)</f>
        <v>0</v>
      </c>
      <c r="B596" s="1">
        <f>IF('Data Entry'!J596&gt;0,'Data Entry'!L596,'Data Entry'!M596)</f>
        <v>0</v>
      </c>
      <c r="C596" s="1">
        <f>IF('Data Entry'!N596&gt;0,'Data Entry'!N596,'Data Entry'!O596)</f>
        <v>0</v>
      </c>
      <c r="D596" s="47">
        <f>IF('Data Entry'!P596&gt;0,'Data Entry'!P596,'Data Entry'!Q596)</f>
        <v>0</v>
      </c>
      <c r="E596" s="46">
        <f>IF('Data Entry'!J596&gt;0,'Data Entry'!J596,'Data Entry'!K596)</f>
        <v>0</v>
      </c>
    </row>
    <row r="597" spans="1:5" x14ac:dyDescent="0.25">
      <c r="A597" s="2">
        <f>IF('Data Entry'!J597&gt;0,'Data Entry'!K597,'Data Entry'!L597)</f>
        <v>0</v>
      </c>
      <c r="B597" s="1">
        <f>IF('Data Entry'!J597&gt;0,'Data Entry'!L597,'Data Entry'!M597)</f>
        <v>0</v>
      </c>
      <c r="C597" s="1">
        <f>IF('Data Entry'!N597&gt;0,'Data Entry'!N597,'Data Entry'!O597)</f>
        <v>0</v>
      </c>
      <c r="D597" s="47">
        <f>IF('Data Entry'!P597&gt;0,'Data Entry'!P597,'Data Entry'!Q597)</f>
        <v>0</v>
      </c>
      <c r="E597" s="46">
        <f>IF('Data Entry'!J597&gt;0,'Data Entry'!J597,'Data Entry'!K597)</f>
        <v>0</v>
      </c>
    </row>
    <row r="598" spans="1:5" x14ac:dyDescent="0.25">
      <c r="A598" s="2">
        <f>IF('Data Entry'!J598&gt;0,'Data Entry'!K598,'Data Entry'!L598)</f>
        <v>0</v>
      </c>
      <c r="B598" s="1">
        <f>IF('Data Entry'!J598&gt;0,'Data Entry'!L598,'Data Entry'!M598)</f>
        <v>0</v>
      </c>
      <c r="C598" s="1">
        <f>IF('Data Entry'!N598&gt;0,'Data Entry'!N598,'Data Entry'!O598)</f>
        <v>0</v>
      </c>
      <c r="D598" s="47">
        <f>IF('Data Entry'!P598&gt;0,'Data Entry'!P598,'Data Entry'!Q598)</f>
        <v>0</v>
      </c>
      <c r="E598" s="46">
        <f>IF('Data Entry'!J598&gt;0,'Data Entry'!J598,'Data Entry'!K598)</f>
        <v>0</v>
      </c>
    </row>
    <row r="599" spans="1:5" x14ac:dyDescent="0.25">
      <c r="A599" s="2">
        <f>IF('Data Entry'!J599&gt;0,'Data Entry'!K599,'Data Entry'!L599)</f>
        <v>0</v>
      </c>
      <c r="B599" s="1">
        <f>IF('Data Entry'!J599&gt;0,'Data Entry'!L599,'Data Entry'!M599)</f>
        <v>0</v>
      </c>
      <c r="C599" s="1">
        <f>IF('Data Entry'!N599&gt;0,'Data Entry'!N599,'Data Entry'!O599)</f>
        <v>0</v>
      </c>
      <c r="D599" s="47">
        <f>IF('Data Entry'!P599&gt;0,'Data Entry'!P599,'Data Entry'!Q599)</f>
        <v>0</v>
      </c>
      <c r="E599" s="46">
        <f>IF('Data Entry'!J599&gt;0,'Data Entry'!J599,'Data Entry'!K599)</f>
        <v>0</v>
      </c>
    </row>
    <row r="600" spans="1:5" x14ac:dyDescent="0.25">
      <c r="A600" s="2">
        <f>IF('Data Entry'!J600&gt;0,'Data Entry'!K600,'Data Entry'!L600)</f>
        <v>0</v>
      </c>
      <c r="B600" s="1">
        <f>IF('Data Entry'!J600&gt;0,'Data Entry'!L600,'Data Entry'!M600)</f>
        <v>0</v>
      </c>
      <c r="C600" s="1">
        <f>IF('Data Entry'!N600&gt;0,'Data Entry'!N600,'Data Entry'!O600)</f>
        <v>0</v>
      </c>
      <c r="D600" s="47">
        <f>IF('Data Entry'!P600&gt;0,'Data Entry'!P600,'Data Entry'!Q600)</f>
        <v>0</v>
      </c>
      <c r="E600" s="46">
        <f>IF('Data Entry'!J600&gt;0,'Data Entry'!J600,'Data Entry'!K600)</f>
        <v>0</v>
      </c>
    </row>
    <row r="601" spans="1:5" x14ac:dyDescent="0.25">
      <c r="A601" s="2">
        <f>IF('Data Entry'!J601&gt;0,'Data Entry'!K601,'Data Entry'!L601)</f>
        <v>0</v>
      </c>
      <c r="B601" s="1">
        <f>IF('Data Entry'!J601&gt;0,'Data Entry'!L601,'Data Entry'!M601)</f>
        <v>0</v>
      </c>
      <c r="C601" s="1">
        <f>IF('Data Entry'!N601&gt;0,'Data Entry'!N601,'Data Entry'!O601)</f>
        <v>0</v>
      </c>
      <c r="D601" s="47">
        <f>IF('Data Entry'!P601&gt;0,'Data Entry'!P601,'Data Entry'!Q601)</f>
        <v>0</v>
      </c>
      <c r="E601" s="46">
        <f>IF('Data Entry'!J601&gt;0,'Data Entry'!J601,'Data Entry'!K601)</f>
        <v>0</v>
      </c>
    </row>
    <row r="602" spans="1:5" x14ac:dyDescent="0.25">
      <c r="A602" s="2">
        <f>IF('Data Entry'!J602&gt;0,'Data Entry'!K602,'Data Entry'!L602)</f>
        <v>0</v>
      </c>
      <c r="B602" s="1">
        <f>IF('Data Entry'!J602&gt;0,'Data Entry'!L602,'Data Entry'!M602)</f>
        <v>0</v>
      </c>
      <c r="C602" s="1">
        <f>IF('Data Entry'!N602&gt;0,'Data Entry'!N602,'Data Entry'!O602)</f>
        <v>0</v>
      </c>
      <c r="D602" s="47">
        <f>IF('Data Entry'!P602&gt;0,'Data Entry'!P602,'Data Entry'!Q602)</f>
        <v>0</v>
      </c>
      <c r="E602" s="46">
        <f>IF('Data Entry'!J602&gt;0,'Data Entry'!J602,'Data Entry'!K602)</f>
        <v>0</v>
      </c>
    </row>
    <row r="603" spans="1:5" x14ac:dyDescent="0.25">
      <c r="A603" s="2">
        <f>IF('Data Entry'!J603&gt;0,'Data Entry'!K603,'Data Entry'!L603)</f>
        <v>0</v>
      </c>
      <c r="B603" s="1">
        <f>IF('Data Entry'!J603&gt;0,'Data Entry'!L603,'Data Entry'!M603)</f>
        <v>0</v>
      </c>
      <c r="C603" s="1">
        <f>IF('Data Entry'!N603&gt;0,'Data Entry'!N603,'Data Entry'!O603)</f>
        <v>0</v>
      </c>
      <c r="D603" s="47">
        <f>IF('Data Entry'!P603&gt;0,'Data Entry'!P603,'Data Entry'!Q603)</f>
        <v>0</v>
      </c>
      <c r="E603" s="46">
        <f>IF('Data Entry'!J603&gt;0,'Data Entry'!J603,'Data Entry'!K603)</f>
        <v>0</v>
      </c>
    </row>
    <row r="604" spans="1:5" x14ac:dyDescent="0.25">
      <c r="A604" s="2">
        <f>IF('Data Entry'!J604&gt;0,'Data Entry'!K604,'Data Entry'!L604)</f>
        <v>0</v>
      </c>
      <c r="B604" s="1">
        <f>IF('Data Entry'!J604&gt;0,'Data Entry'!L604,'Data Entry'!M604)</f>
        <v>0</v>
      </c>
      <c r="C604" s="1">
        <f>IF('Data Entry'!N604&gt;0,'Data Entry'!N604,'Data Entry'!O604)</f>
        <v>0</v>
      </c>
      <c r="D604" s="47">
        <f>IF('Data Entry'!P604&gt;0,'Data Entry'!P604,'Data Entry'!Q604)</f>
        <v>0</v>
      </c>
      <c r="E604" s="46">
        <f>IF('Data Entry'!J604&gt;0,'Data Entry'!J604,'Data Entry'!K604)</f>
        <v>0</v>
      </c>
    </row>
    <row r="605" spans="1:5" x14ac:dyDescent="0.25">
      <c r="B605" s="1"/>
      <c r="C605" s="1">
        <f>IF('Data Entry'!N605&gt;0,'Data Entry'!N605,'Data Entry'!O605)</f>
        <v>0</v>
      </c>
      <c r="D605" s="47">
        <f>IF('Data Entry'!P605&gt;0,'Data Entry'!P605,'Data Entry'!Q605)</f>
        <v>0</v>
      </c>
    </row>
    <row r="606" spans="1:5" x14ac:dyDescent="0.25">
      <c r="B606" s="1"/>
      <c r="C606" s="1">
        <f>IF('Data Entry'!N606&gt;0,'Data Entry'!N606,'Data Entry'!O606)</f>
        <v>0</v>
      </c>
      <c r="D606" s="47">
        <f>IF('Data Entry'!P606&gt;0,'Data Entry'!P606,'Data Entry'!Q606)</f>
        <v>0</v>
      </c>
    </row>
    <row r="607" spans="1:5" x14ac:dyDescent="0.25">
      <c r="B607" s="1"/>
      <c r="C607" s="1">
        <f>IF('Data Entry'!N607&gt;0,'Data Entry'!N607,'Data Entry'!O607)</f>
        <v>0</v>
      </c>
      <c r="D607" s="47">
        <f>IF('Data Entry'!P607&gt;0,'Data Entry'!P607,'Data Entry'!Q607)</f>
        <v>0</v>
      </c>
    </row>
    <row r="608" spans="1:5" x14ac:dyDescent="0.25">
      <c r="B608" s="1"/>
      <c r="C608" s="1">
        <f>IF('Data Entry'!N608&gt;0,'Data Entry'!N608,'Data Entry'!O608)</f>
        <v>0</v>
      </c>
      <c r="D608" s="47">
        <f>IF('Data Entry'!P608&gt;0,'Data Entry'!P608,'Data Entry'!Q608)</f>
        <v>0</v>
      </c>
    </row>
    <row r="609" spans="2:4" x14ac:dyDescent="0.25">
      <c r="B609" s="1"/>
      <c r="C609" s="1">
        <f>IF('Data Entry'!N609&gt;0,'Data Entry'!N609,'Data Entry'!O609)</f>
        <v>0</v>
      </c>
      <c r="D609" s="47">
        <f>IF('Data Entry'!P609&gt;0,'Data Entry'!P609,'Data Entry'!Q609)</f>
        <v>0</v>
      </c>
    </row>
    <row r="610" spans="2:4" x14ac:dyDescent="0.25">
      <c r="B610" s="1"/>
      <c r="C610" s="1">
        <f>IF('Data Entry'!N610&gt;0,'Data Entry'!N610,'Data Entry'!O610)</f>
        <v>0</v>
      </c>
      <c r="D610" s="47">
        <f>IF('Data Entry'!P610&gt;0,'Data Entry'!P610,'Data Entry'!Q610)</f>
        <v>0</v>
      </c>
    </row>
    <row r="611" spans="2:4" x14ac:dyDescent="0.25">
      <c r="B611" s="1"/>
      <c r="C611" s="1">
        <f>IF('Data Entry'!N611&gt;0,'Data Entry'!N611,'Data Entry'!O611)</f>
        <v>0</v>
      </c>
      <c r="D611" s="47">
        <f>IF('Data Entry'!P611&gt;0,'Data Entry'!P611,'Data Entry'!Q611)</f>
        <v>0</v>
      </c>
    </row>
    <row r="612" spans="2:4" x14ac:dyDescent="0.25">
      <c r="B612" s="1"/>
      <c r="C612" s="1">
        <f>IF('Data Entry'!N612&gt;0,'Data Entry'!N612,'Data Entry'!O612)</f>
        <v>0</v>
      </c>
      <c r="D612" s="47">
        <f>IF('Data Entry'!P612&gt;0,'Data Entry'!P612,'Data Entry'!Q612)</f>
        <v>0</v>
      </c>
    </row>
    <row r="613" spans="2:4" x14ac:dyDescent="0.25">
      <c r="C613" s="1">
        <f>IF('Data Entry'!N613&gt;0,'Data Entry'!N613,'Data Entry'!O613)</f>
        <v>0</v>
      </c>
      <c r="D613" s="47">
        <f>IF('Data Entry'!P613&gt;0,'Data Entry'!P613,'Data Entry'!Q613)</f>
        <v>0</v>
      </c>
    </row>
    <row r="614" spans="2:4" x14ac:dyDescent="0.25">
      <c r="C614" s="1">
        <f>IF('Data Entry'!N614&gt;0,'Data Entry'!N614,'Data Entry'!O614)</f>
        <v>0</v>
      </c>
      <c r="D614" s="47">
        <f>IF('Data Entry'!P614&gt;0,'Data Entry'!P614,'Data Entry'!Q614)</f>
        <v>0</v>
      </c>
    </row>
    <row r="615" spans="2:4" x14ac:dyDescent="0.25">
      <c r="C615" s="1">
        <f>IF('Data Entry'!N615&gt;0,'Data Entry'!N615,'Data Entry'!O615)</f>
        <v>0</v>
      </c>
      <c r="D615" s="47">
        <f>IF('Data Entry'!P615&gt;0,'Data Entry'!P615,'Data Entry'!Q615)</f>
        <v>0</v>
      </c>
    </row>
    <row r="616" spans="2:4" x14ac:dyDescent="0.25">
      <c r="C616" s="1">
        <f>IF('Data Entry'!N616&gt;0,'Data Entry'!N616,'Data Entry'!O616)</f>
        <v>0</v>
      </c>
      <c r="D616" s="47">
        <f>IF('Data Entry'!P616&gt;0,'Data Entry'!P616,'Data Entry'!Q616)</f>
        <v>0</v>
      </c>
    </row>
    <row r="617" spans="2:4" x14ac:dyDescent="0.25">
      <c r="C617" s="1">
        <f>IF('Data Entry'!N617&gt;0,'Data Entry'!N617,'Data Entry'!O617)</f>
        <v>0</v>
      </c>
      <c r="D617" s="47">
        <f>IF('Data Entry'!P617&gt;0,'Data Entry'!P617,'Data Entry'!Q617)</f>
        <v>0</v>
      </c>
    </row>
    <row r="618" spans="2:4" x14ac:dyDescent="0.25">
      <c r="C618" s="1">
        <f>IF('Data Entry'!N618&gt;0,'Data Entry'!N618,'Data Entry'!O618)</f>
        <v>0</v>
      </c>
      <c r="D618" s="47">
        <f>IF('Data Entry'!P618&gt;0,'Data Entry'!P618,'Data Entry'!Q618)</f>
        <v>0</v>
      </c>
    </row>
    <row r="619" spans="2:4" x14ac:dyDescent="0.25">
      <c r="C619" s="1">
        <f>IF('Data Entry'!N619&gt;0,'Data Entry'!N619,'Data Entry'!O619)</f>
        <v>0</v>
      </c>
      <c r="D619" s="47">
        <f>IF('Data Entry'!P619&gt;0,'Data Entry'!P619,'Data Entry'!Q619)</f>
        <v>0</v>
      </c>
    </row>
    <row r="620" spans="2:4" x14ac:dyDescent="0.25">
      <c r="C620" s="1">
        <f>IF('Data Entry'!N620&gt;0,'Data Entry'!N620,'Data Entry'!O620)</f>
        <v>0</v>
      </c>
      <c r="D620" s="47">
        <f>IF('Data Entry'!P620&gt;0,'Data Entry'!P620,'Data Entry'!Q620)</f>
        <v>0</v>
      </c>
    </row>
    <row r="621" spans="2:4" x14ac:dyDescent="0.25">
      <c r="C621" s="1">
        <f>IF('Data Entry'!N621&gt;0,'Data Entry'!N621,'Data Entry'!O621)</f>
        <v>0</v>
      </c>
      <c r="D621" s="47">
        <f>IF('Data Entry'!P621&gt;0,'Data Entry'!P621,'Data Entry'!Q621)</f>
        <v>0</v>
      </c>
    </row>
    <row r="622" spans="2:4" x14ac:dyDescent="0.25">
      <c r="C622" s="1">
        <f>IF('Data Entry'!N622&gt;0,'Data Entry'!N622,'Data Entry'!O622)</f>
        <v>0</v>
      </c>
      <c r="D622" s="47">
        <f>IF('Data Entry'!P622&gt;0,'Data Entry'!P622,'Data Entry'!Q622)</f>
        <v>0</v>
      </c>
    </row>
    <row r="623" spans="2:4" x14ac:dyDescent="0.25">
      <c r="C623" s="1">
        <f>IF('Data Entry'!N623&gt;0,'Data Entry'!N623,'Data Entry'!O623)</f>
        <v>0</v>
      </c>
      <c r="D623" s="47">
        <f>IF('Data Entry'!P623&gt;0,'Data Entry'!P623,'Data Entry'!Q623)</f>
        <v>0</v>
      </c>
    </row>
    <row r="624" spans="2:4" x14ac:dyDescent="0.25">
      <c r="C624" s="1">
        <f>IF('Data Entry'!N624&gt;0,'Data Entry'!N624,'Data Entry'!O624)</f>
        <v>0</v>
      </c>
      <c r="D624" s="47">
        <f>IF('Data Entry'!P624&gt;0,'Data Entry'!P624,'Data Entry'!Q624)</f>
        <v>0</v>
      </c>
    </row>
    <row r="625" spans="3:4" x14ac:dyDescent="0.25">
      <c r="C625" s="1">
        <f>IF('Data Entry'!N625&gt;0,'Data Entry'!N625,'Data Entry'!O625)</f>
        <v>0</v>
      </c>
      <c r="D625" s="47">
        <f>IF('Data Entry'!P625&gt;0,'Data Entry'!P625,'Data Entry'!Q625)</f>
        <v>0</v>
      </c>
    </row>
    <row r="626" spans="3:4" x14ac:dyDescent="0.25">
      <c r="C626" s="1">
        <f>IF('Data Entry'!N626&gt;0,'Data Entry'!N626,'Data Entry'!O626)</f>
        <v>0</v>
      </c>
      <c r="D626" s="47">
        <f>IF('Data Entry'!P626&gt;0,'Data Entry'!P626,'Data Entry'!Q626)</f>
        <v>0</v>
      </c>
    </row>
    <row r="627" spans="3:4" x14ac:dyDescent="0.25">
      <c r="C627" s="1">
        <f>IF('Data Entry'!N627&gt;0,'Data Entry'!N627,'Data Entry'!O627)</f>
        <v>0</v>
      </c>
      <c r="D627" s="47">
        <f>IF('Data Entry'!P627&gt;0,'Data Entry'!P627,'Data Entry'!Q627)</f>
        <v>0</v>
      </c>
    </row>
    <row r="628" spans="3:4" x14ac:dyDescent="0.25">
      <c r="C628" s="1">
        <f>IF('Data Entry'!N628&gt;0,'Data Entry'!N628,'Data Entry'!O628)</f>
        <v>0</v>
      </c>
      <c r="D628" s="47">
        <f>IF('Data Entry'!P628&gt;0,'Data Entry'!P628,'Data Entry'!Q628)</f>
        <v>0</v>
      </c>
    </row>
    <row r="629" spans="3:4" x14ac:dyDescent="0.25">
      <c r="C629" s="1">
        <f>IF('Data Entry'!N629&gt;0,'Data Entry'!N629,'Data Entry'!O629)</f>
        <v>0</v>
      </c>
      <c r="D629" s="47">
        <f>IF('Data Entry'!P629&gt;0,'Data Entry'!P629,'Data Entry'!Q629)</f>
        <v>0</v>
      </c>
    </row>
    <row r="630" spans="3:4" x14ac:dyDescent="0.25">
      <c r="C630" s="1">
        <f>IF('Data Entry'!N630&gt;0,'Data Entry'!N630,'Data Entry'!O630)</f>
        <v>0</v>
      </c>
      <c r="D630" s="47">
        <f>IF('Data Entry'!P630&gt;0,'Data Entry'!P630,'Data Entry'!Q630)</f>
        <v>0</v>
      </c>
    </row>
    <row r="631" spans="3:4" x14ac:dyDescent="0.25">
      <c r="C631" s="1">
        <f>IF('Data Entry'!N631&gt;0,'Data Entry'!N631,'Data Entry'!O631)</f>
        <v>0</v>
      </c>
      <c r="D631" s="47">
        <f>IF('Data Entry'!P631&gt;0,'Data Entry'!P631,'Data Entry'!Q631)</f>
        <v>0</v>
      </c>
    </row>
    <row r="632" spans="3:4" x14ac:dyDescent="0.25">
      <c r="C632" s="1">
        <f>IF('Data Entry'!N632&gt;0,'Data Entry'!N632,'Data Entry'!O632)</f>
        <v>0</v>
      </c>
      <c r="D632" s="47">
        <f>IF('Data Entry'!P632&gt;0,'Data Entry'!P632,'Data Entry'!Q632)</f>
        <v>0</v>
      </c>
    </row>
    <row r="633" spans="3:4" x14ac:dyDescent="0.25">
      <c r="C633" s="1">
        <f>IF('Data Entry'!N633&gt;0,'Data Entry'!N633,'Data Entry'!O633)</f>
        <v>0</v>
      </c>
      <c r="D633" s="47">
        <f>IF('Data Entry'!P633&gt;0,'Data Entry'!P633,'Data Entry'!Q633)</f>
        <v>0</v>
      </c>
    </row>
    <row r="634" spans="3:4" x14ac:dyDescent="0.25">
      <c r="C634" s="1">
        <f>IF('Data Entry'!N634&gt;0,'Data Entry'!N634,'Data Entry'!O634)</f>
        <v>0</v>
      </c>
      <c r="D634" s="47">
        <f>IF('Data Entry'!P634&gt;0,'Data Entry'!P634,'Data Entry'!Q634)</f>
        <v>0</v>
      </c>
    </row>
    <row r="635" spans="3:4" x14ac:dyDescent="0.25">
      <c r="C635" s="1">
        <f>IF('Data Entry'!N635&gt;0,'Data Entry'!N635,'Data Entry'!O635)</f>
        <v>0</v>
      </c>
      <c r="D635" s="47">
        <f>IF('Data Entry'!P635&gt;0,'Data Entry'!P635,'Data Entry'!Q635)</f>
        <v>0</v>
      </c>
    </row>
    <row r="636" spans="3:4" x14ac:dyDescent="0.25">
      <c r="C636" s="1">
        <f>IF('Data Entry'!N636&gt;0,'Data Entry'!N636,'Data Entry'!O636)</f>
        <v>0</v>
      </c>
      <c r="D636" s="47">
        <f>IF('Data Entry'!P636&gt;0,'Data Entry'!P636,'Data Entry'!Q636)</f>
        <v>0</v>
      </c>
    </row>
    <row r="637" spans="3:4" x14ac:dyDescent="0.25">
      <c r="C637" s="1">
        <f>IF('Data Entry'!N637&gt;0,'Data Entry'!N637,'Data Entry'!O637)</f>
        <v>0</v>
      </c>
      <c r="D637" s="47">
        <f>IF('Data Entry'!P637&gt;0,'Data Entry'!P637,'Data Entry'!Q637)</f>
        <v>0</v>
      </c>
    </row>
  </sheetData>
  <mergeCells count="1">
    <mergeCell ref="G1:H1"/>
  </mergeCells>
  <dataValidations count="1">
    <dataValidation type="list" allowBlank="1" showInputMessage="1" sqref="A2:A668" xr:uid="{2910F10D-F791-4E75-B204-B8E889839C68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69"/>
  <sheetViews>
    <sheetView showZeros="0" view="pageBreakPreview" zoomScale="60" zoomScaleNormal="70" workbookViewId="0">
      <selection activeCell="G14" sqref="G14"/>
    </sheetView>
  </sheetViews>
  <sheetFormatPr defaultColWidth="9.140625" defaultRowHeight="15.75" x14ac:dyDescent="0.25"/>
  <cols>
    <col min="1" max="1" width="3.5703125" style="97" customWidth="1"/>
    <col min="2" max="2" width="18" style="97" customWidth="1"/>
    <col min="3" max="3" width="10.7109375" style="97" customWidth="1"/>
    <col min="4" max="4" width="7.42578125" style="97" customWidth="1"/>
    <col min="5" max="5" width="21.42578125" style="97" customWidth="1"/>
    <col min="6" max="6" width="5.42578125" style="97" customWidth="1"/>
    <col min="7" max="7" width="60.7109375" style="97" customWidth="1"/>
    <col min="8" max="8" width="12.7109375" style="97" customWidth="1"/>
    <col min="9" max="10" width="16.7109375" style="97" customWidth="1"/>
    <col min="11" max="11" width="3.7109375" style="97" customWidth="1"/>
    <col min="12" max="17" width="9.140625" style="97"/>
    <col min="18" max="18" width="42.140625" style="97" bestFit="1" customWidth="1"/>
    <col min="19" max="19" width="9.140625" style="97"/>
    <col min="20" max="20" width="24" style="97" bestFit="1" customWidth="1"/>
    <col min="21" max="16384" width="9.140625" style="97"/>
  </cols>
  <sheetData>
    <row r="1" spans="1:20" ht="18" customHeight="1" x14ac:dyDescent="0.3">
      <c r="A1" s="107"/>
      <c r="B1" s="162" t="s">
        <v>45</v>
      </c>
      <c r="C1" s="45"/>
      <c r="G1" s="299" t="s">
        <v>46</v>
      </c>
      <c r="H1" s="300"/>
      <c r="I1" s="301"/>
      <c r="J1" s="301"/>
      <c r="K1" s="224"/>
      <c r="P1" s="160"/>
      <c r="Q1" s="160"/>
      <c r="R1" s="161"/>
      <c r="T1" s="161"/>
    </row>
    <row r="2" spans="1:20" ht="30" customHeight="1" x14ac:dyDescent="0.6">
      <c r="A2" s="107"/>
      <c r="B2" s="576" t="s">
        <v>3</v>
      </c>
      <c r="C2" s="577"/>
      <c r="D2" s="577"/>
      <c r="E2" s="577"/>
      <c r="F2" s="578"/>
      <c r="G2" s="310" t="s">
        <v>47</v>
      </c>
      <c r="H2" s="598" t="str">
        <f>'Data Entry'!B7&amp;" - "&amp;'Data Entry'!B9</f>
        <v xml:space="preserve"> - </v>
      </c>
      <c r="I2" s="598"/>
      <c r="J2" s="599"/>
      <c r="K2" s="224"/>
      <c r="P2" s="160"/>
      <c r="Q2" s="160"/>
      <c r="R2" s="160"/>
      <c r="T2" s="161"/>
    </row>
    <row r="3" spans="1:20" ht="30" customHeight="1" x14ac:dyDescent="0.4">
      <c r="A3" s="107"/>
      <c r="B3" s="163"/>
      <c r="C3" s="164"/>
      <c r="D3" s="164"/>
      <c r="E3" s="164"/>
      <c r="F3" s="165"/>
      <c r="G3" s="311" t="s">
        <v>48</v>
      </c>
      <c r="H3" s="600">
        <f>'Data Entry'!B5</f>
        <v>0</v>
      </c>
      <c r="I3" s="601"/>
      <c r="J3" s="602"/>
      <c r="K3" s="224"/>
      <c r="P3" s="160"/>
      <c r="Q3" s="160"/>
      <c r="R3" s="160"/>
      <c r="T3" s="161"/>
    </row>
    <row r="4" spans="1:20" ht="30" customHeight="1" thickBot="1" x14ac:dyDescent="0.45">
      <c r="A4" s="107"/>
      <c r="B4" s="579" t="s">
        <v>49</v>
      </c>
      <c r="C4" s="580"/>
      <c r="D4" s="580"/>
      <c r="E4" s="581" t="str">
        <f>'Data Entry'!F3</f>
        <v>SCOTT</v>
      </c>
      <c r="F4" s="582"/>
      <c r="G4" s="311" t="s">
        <v>1</v>
      </c>
      <c r="H4" s="603">
        <f>'Data Entry'!F1</f>
        <v>0</v>
      </c>
      <c r="I4" s="603"/>
      <c r="J4" s="604"/>
      <c r="K4" s="224"/>
      <c r="P4" s="160"/>
      <c r="Q4" s="160"/>
      <c r="R4" s="160"/>
      <c r="T4" s="161"/>
    </row>
    <row r="5" spans="1:20" ht="30" customHeight="1" thickBot="1" x14ac:dyDescent="0.45">
      <c r="A5" s="107"/>
      <c r="B5" s="579" t="s">
        <v>50</v>
      </c>
      <c r="C5" s="580"/>
      <c r="D5" s="580"/>
      <c r="E5" s="581"/>
      <c r="F5" s="582"/>
      <c r="G5" s="311" t="s">
        <v>51</v>
      </c>
      <c r="H5" s="605">
        <f>E65</f>
        <v>0</v>
      </c>
      <c r="I5" s="605"/>
      <c r="J5" s="312"/>
      <c r="K5" s="224"/>
      <c r="P5" s="160"/>
      <c r="Q5" s="160"/>
      <c r="R5" s="160"/>
      <c r="T5" s="161"/>
    </row>
    <row r="6" spans="1:20" ht="30" customHeight="1" thickBot="1" x14ac:dyDescent="0.45">
      <c r="A6" s="107"/>
      <c r="B6" s="579" t="s">
        <v>52</v>
      </c>
      <c r="C6" s="580"/>
      <c r="D6" s="580"/>
      <c r="E6" s="583"/>
      <c r="F6" s="584"/>
      <c r="G6" s="311" t="s">
        <v>53</v>
      </c>
      <c r="H6" s="606">
        <f>'Data Entry'!B27</f>
        <v>0</v>
      </c>
      <c r="I6" s="606"/>
      <c r="J6" s="312"/>
      <c r="K6" s="224"/>
      <c r="P6" s="160"/>
      <c r="Q6" s="160"/>
      <c r="R6" s="160"/>
      <c r="T6" s="161"/>
    </row>
    <row r="7" spans="1:20" ht="30" customHeight="1" x14ac:dyDescent="0.4">
      <c r="A7" s="107"/>
      <c r="B7" s="234"/>
      <c r="C7" s="235"/>
      <c r="D7" s="235"/>
      <c r="E7" s="235"/>
      <c r="F7" s="236"/>
      <c r="G7" s="313" t="s">
        <v>54</v>
      </c>
      <c r="H7" s="607">
        <f>IF(H6&gt;0,IF(H5&gt;0,E66/E65),)</f>
        <v>0</v>
      </c>
      <c r="I7" s="607"/>
      <c r="J7" s="314"/>
      <c r="K7" s="224"/>
      <c r="P7" s="160"/>
      <c r="Q7" s="160"/>
      <c r="R7" s="160"/>
      <c r="T7" s="161"/>
    </row>
    <row r="8" spans="1:20" ht="18" customHeight="1" x14ac:dyDescent="0.3">
      <c r="A8" s="107"/>
      <c r="B8" s="237"/>
      <c r="C8" s="237"/>
      <c r="D8" s="237"/>
      <c r="E8" s="237"/>
      <c r="F8" s="237"/>
      <c r="G8" s="225"/>
      <c r="H8" s="225"/>
      <c r="I8" s="225"/>
      <c r="J8" s="225"/>
      <c r="K8" s="224"/>
      <c r="P8" s="160"/>
      <c r="Q8" s="160"/>
      <c r="R8" s="160"/>
      <c r="T8" s="161"/>
    </row>
    <row r="9" spans="1:20" ht="18" customHeight="1" x14ac:dyDescent="0.3">
      <c r="A9" s="107"/>
      <c r="B9" s="238" t="s">
        <v>55</v>
      </c>
      <c r="C9" s="238"/>
      <c r="D9" s="238"/>
      <c r="E9" s="238"/>
      <c r="F9" s="239"/>
      <c r="G9" s="226" t="s">
        <v>56</v>
      </c>
      <c r="H9" s="227"/>
      <c r="I9" s="227"/>
      <c r="J9" s="228"/>
      <c r="K9" s="224"/>
      <c r="P9" s="160"/>
      <c r="Q9" s="160"/>
      <c r="R9" s="160"/>
    </row>
    <row r="10" spans="1:20" ht="18" customHeight="1" x14ac:dyDescent="0.3">
      <c r="A10" s="107"/>
      <c r="B10" s="240"/>
      <c r="C10" s="241"/>
      <c r="D10" s="240"/>
      <c r="E10" s="242"/>
      <c r="F10" s="243"/>
      <c r="G10" s="587" t="s">
        <v>57</v>
      </c>
      <c r="H10" s="589" t="s">
        <v>58</v>
      </c>
      <c r="I10" s="594" t="s">
        <v>59</v>
      </c>
      <c r="J10" s="596" t="s">
        <v>60</v>
      </c>
      <c r="K10" s="224"/>
      <c r="P10" s="160"/>
      <c r="Q10" s="160"/>
      <c r="R10" s="160"/>
    </row>
    <row r="11" spans="1:20" ht="18" customHeight="1" thickBot="1" x14ac:dyDescent="0.35">
      <c r="A11" s="107"/>
      <c r="B11" s="240"/>
      <c r="C11" s="241"/>
      <c r="D11" s="240"/>
      <c r="E11" s="242"/>
      <c r="F11" s="243"/>
      <c r="G11" s="588"/>
      <c r="H11" s="590"/>
      <c r="I11" s="595"/>
      <c r="J11" s="597"/>
      <c r="K11" s="224"/>
      <c r="P11" s="160"/>
      <c r="Q11" s="160"/>
      <c r="R11" s="160"/>
    </row>
    <row r="12" spans="1:20" ht="17.100000000000001" customHeight="1" thickBot="1" x14ac:dyDescent="0.4">
      <c r="A12" s="107"/>
      <c r="B12" s="591" t="s">
        <v>61</v>
      </c>
      <c r="C12" s="591"/>
      <c r="D12" s="591"/>
      <c r="E12" s="591"/>
      <c r="F12" s="591"/>
      <c r="G12" s="490"/>
      <c r="H12" s="490"/>
      <c r="I12" s="491"/>
      <c r="J12" s="492">
        <f t="shared" ref="J12:J53" si="0">H12*I12</f>
        <v>0</v>
      </c>
      <c r="K12" s="229"/>
      <c r="P12" s="160"/>
      <c r="Q12" s="160"/>
      <c r="R12" s="160"/>
    </row>
    <row r="13" spans="1:20" ht="17.100000000000001" customHeight="1" thickBot="1" x14ac:dyDescent="0.4">
      <c r="A13" s="107"/>
      <c r="B13" s="591" t="s">
        <v>62</v>
      </c>
      <c r="C13" s="591"/>
      <c r="D13" s="591"/>
      <c r="E13" s="570" t="s">
        <v>63</v>
      </c>
      <c r="F13" s="571"/>
      <c r="G13" s="490"/>
      <c r="H13" s="490"/>
      <c r="I13" s="491"/>
      <c r="J13" s="492">
        <f t="shared" si="0"/>
        <v>0</v>
      </c>
      <c r="K13" s="229"/>
      <c r="P13" s="160"/>
      <c r="Q13" s="160"/>
      <c r="R13" s="160"/>
    </row>
    <row r="14" spans="1:20" ht="17.100000000000001" customHeight="1" x14ac:dyDescent="0.35">
      <c r="A14" s="107"/>
      <c r="B14" s="592"/>
      <c r="C14" s="593"/>
      <c r="D14" s="593"/>
      <c r="E14" s="585"/>
      <c r="F14" s="586"/>
      <c r="G14" s="493"/>
      <c r="H14" s="490"/>
      <c r="I14" s="491"/>
      <c r="J14" s="492">
        <f t="shared" si="0"/>
        <v>0</v>
      </c>
      <c r="K14" s="229"/>
      <c r="P14" s="160"/>
      <c r="Q14" s="160"/>
      <c r="R14" s="160"/>
    </row>
    <row r="15" spans="1:20" ht="17.100000000000001" customHeight="1" x14ac:dyDescent="0.35">
      <c r="A15" s="107"/>
      <c r="B15" s="572"/>
      <c r="C15" s="573"/>
      <c r="D15" s="573"/>
      <c r="E15" s="566"/>
      <c r="F15" s="567"/>
      <c r="G15" s="490"/>
      <c r="H15" s="490"/>
      <c r="I15" s="491"/>
      <c r="J15" s="492">
        <f t="shared" si="0"/>
        <v>0</v>
      </c>
      <c r="K15" s="229"/>
      <c r="P15" s="160"/>
      <c r="Q15" s="160"/>
      <c r="R15" s="160"/>
    </row>
    <row r="16" spans="1:20" ht="17.100000000000001" customHeight="1" x14ac:dyDescent="0.35">
      <c r="A16" s="107"/>
      <c r="B16" s="572"/>
      <c r="C16" s="573"/>
      <c r="D16" s="573"/>
      <c r="E16" s="566"/>
      <c r="F16" s="567"/>
      <c r="G16" s="490"/>
      <c r="H16" s="490"/>
      <c r="I16" s="491"/>
      <c r="J16" s="492">
        <f t="shared" si="0"/>
        <v>0</v>
      </c>
      <c r="K16" s="229"/>
      <c r="P16" s="160"/>
      <c r="Q16" s="160"/>
      <c r="R16" s="160"/>
    </row>
    <row r="17" spans="1:18" ht="17.100000000000001" customHeight="1" x14ac:dyDescent="0.35">
      <c r="A17" s="107"/>
      <c r="B17" s="572"/>
      <c r="C17" s="573"/>
      <c r="D17" s="573"/>
      <c r="E17" s="566"/>
      <c r="F17" s="567"/>
      <c r="G17" s="490"/>
      <c r="H17" s="490"/>
      <c r="I17" s="491"/>
      <c r="J17" s="492">
        <f t="shared" si="0"/>
        <v>0</v>
      </c>
      <c r="K17" s="229"/>
      <c r="P17" s="160"/>
      <c r="Q17" s="160"/>
      <c r="R17" s="160"/>
    </row>
    <row r="18" spans="1:18" ht="17.100000000000001" customHeight="1" x14ac:dyDescent="0.35">
      <c r="A18" s="107"/>
      <c r="B18" s="572"/>
      <c r="C18" s="573"/>
      <c r="D18" s="573"/>
      <c r="E18" s="566"/>
      <c r="F18" s="567"/>
      <c r="G18" s="490"/>
      <c r="H18" s="490"/>
      <c r="I18" s="491"/>
      <c r="J18" s="492">
        <f t="shared" si="0"/>
        <v>0</v>
      </c>
      <c r="K18" s="229"/>
      <c r="P18" s="160"/>
      <c r="Q18" s="160"/>
      <c r="R18" s="160"/>
    </row>
    <row r="19" spans="1:18" ht="17.100000000000001" customHeight="1" x14ac:dyDescent="0.35">
      <c r="A19" s="107"/>
      <c r="B19" s="572"/>
      <c r="C19" s="573"/>
      <c r="D19" s="573"/>
      <c r="E19" s="566"/>
      <c r="F19" s="567"/>
      <c r="G19" s="490"/>
      <c r="H19" s="490"/>
      <c r="I19" s="491"/>
      <c r="J19" s="492">
        <f t="shared" si="0"/>
        <v>0</v>
      </c>
      <c r="K19" s="229"/>
      <c r="P19" s="160"/>
      <c r="Q19" s="160"/>
      <c r="R19" s="160"/>
    </row>
    <row r="20" spans="1:18" ht="17.100000000000001" customHeight="1" x14ac:dyDescent="0.35">
      <c r="A20" s="107"/>
      <c r="B20" s="572"/>
      <c r="C20" s="573"/>
      <c r="D20" s="573"/>
      <c r="E20" s="566"/>
      <c r="F20" s="567"/>
      <c r="G20" s="490"/>
      <c r="H20" s="490"/>
      <c r="I20" s="491"/>
      <c r="J20" s="492">
        <f t="shared" si="0"/>
        <v>0</v>
      </c>
      <c r="K20" s="229"/>
      <c r="P20" s="160"/>
      <c r="Q20" s="160"/>
      <c r="R20" s="160"/>
    </row>
    <row r="21" spans="1:18" ht="17.100000000000001" customHeight="1" x14ac:dyDescent="0.35">
      <c r="A21" s="107"/>
      <c r="B21" s="572"/>
      <c r="C21" s="573"/>
      <c r="D21" s="573"/>
      <c r="E21" s="566"/>
      <c r="F21" s="567"/>
      <c r="G21" s="490"/>
      <c r="H21" s="490"/>
      <c r="I21" s="491"/>
      <c r="J21" s="492">
        <f t="shared" si="0"/>
        <v>0</v>
      </c>
      <c r="K21" s="229"/>
      <c r="P21" s="160"/>
      <c r="Q21" s="160"/>
      <c r="R21" s="160"/>
    </row>
    <row r="22" spans="1:18" ht="17.100000000000001" customHeight="1" x14ac:dyDescent="0.35">
      <c r="A22" s="107"/>
      <c r="B22" s="572"/>
      <c r="C22" s="573"/>
      <c r="D22" s="573"/>
      <c r="E22" s="566"/>
      <c r="F22" s="567"/>
      <c r="G22" s="490"/>
      <c r="H22" s="490"/>
      <c r="I22" s="491"/>
      <c r="J22" s="492">
        <f t="shared" si="0"/>
        <v>0</v>
      </c>
      <c r="K22" s="229"/>
      <c r="R22" s="160"/>
    </row>
    <row r="23" spans="1:18" ht="17.100000000000001" customHeight="1" x14ac:dyDescent="0.35">
      <c r="A23" s="107"/>
      <c r="B23" s="572"/>
      <c r="C23" s="573"/>
      <c r="D23" s="573"/>
      <c r="E23" s="566"/>
      <c r="F23" s="567"/>
      <c r="G23" s="490"/>
      <c r="H23" s="490"/>
      <c r="I23" s="491"/>
      <c r="J23" s="492">
        <f t="shared" si="0"/>
        <v>0</v>
      </c>
      <c r="K23" s="229"/>
      <c r="R23" s="160"/>
    </row>
    <row r="24" spans="1:18" ht="17.100000000000001" customHeight="1" x14ac:dyDescent="0.35">
      <c r="A24" s="107"/>
      <c r="B24" s="572"/>
      <c r="C24" s="573"/>
      <c r="D24" s="573"/>
      <c r="E24" s="566"/>
      <c r="F24" s="567"/>
      <c r="G24" s="490"/>
      <c r="H24" s="490"/>
      <c r="I24" s="491"/>
      <c r="J24" s="492">
        <f t="shared" si="0"/>
        <v>0</v>
      </c>
      <c r="K24" s="229"/>
      <c r="R24" s="160"/>
    </row>
    <row r="25" spans="1:18" ht="17.100000000000001" customHeight="1" x14ac:dyDescent="0.35">
      <c r="A25" s="107"/>
      <c r="B25" s="572"/>
      <c r="C25" s="573"/>
      <c r="D25" s="573"/>
      <c r="E25" s="566"/>
      <c r="F25" s="567"/>
      <c r="G25" s="490"/>
      <c r="H25" s="490"/>
      <c r="I25" s="491"/>
      <c r="J25" s="492">
        <f t="shared" si="0"/>
        <v>0</v>
      </c>
      <c r="K25" s="229"/>
    </row>
    <row r="26" spans="1:18" ht="17.100000000000001" customHeight="1" x14ac:dyDescent="0.35">
      <c r="A26" s="107"/>
      <c r="B26" s="572"/>
      <c r="C26" s="573"/>
      <c r="D26" s="573"/>
      <c r="E26" s="566"/>
      <c r="F26" s="567"/>
      <c r="G26" s="490"/>
      <c r="H26" s="490"/>
      <c r="I26" s="491"/>
      <c r="J26" s="492">
        <f t="shared" si="0"/>
        <v>0</v>
      </c>
      <c r="K26" s="229"/>
    </row>
    <row r="27" spans="1:18" ht="17.100000000000001" customHeight="1" x14ac:dyDescent="0.35">
      <c r="A27" s="107"/>
      <c r="B27" s="572"/>
      <c r="C27" s="573"/>
      <c r="D27" s="573"/>
      <c r="E27" s="566"/>
      <c r="F27" s="567"/>
      <c r="G27" s="490"/>
      <c r="H27" s="490"/>
      <c r="I27" s="491"/>
      <c r="J27" s="492">
        <f t="shared" si="0"/>
        <v>0</v>
      </c>
      <c r="K27" s="229"/>
    </row>
    <row r="28" spans="1:18" ht="17.100000000000001" customHeight="1" x14ac:dyDescent="0.35">
      <c r="A28" s="107"/>
      <c r="B28" s="572"/>
      <c r="C28" s="573"/>
      <c r="D28" s="573"/>
      <c r="E28" s="566"/>
      <c r="F28" s="567"/>
      <c r="G28" s="490"/>
      <c r="H28" s="490"/>
      <c r="I28" s="491"/>
      <c r="J28" s="492">
        <f t="shared" si="0"/>
        <v>0</v>
      </c>
      <c r="K28" s="229"/>
    </row>
    <row r="29" spans="1:18" ht="17.100000000000001" customHeight="1" x14ac:dyDescent="0.35">
      <c r="A29" s="107"/>
      <c r="B29" s="572"/>
      <c r="C29" s="573"/>
      <c r="D29" s="573"/>
      <c r="E29" s="566"/>
      <c r="F29" s="567"/>
      <c r="G29" s="490"/>
      <c r="H29" s="490"/>
      <c r="I29" s="491"/>
      <c r="J29" s="492">
        <f t="shared" si="0"/>
        <v>0</v>
      </c>
      <c r="K29" s="229"/>
    </row>
    <row r="30" spans="1:18" ht="17.100000000000001" customHeight="1" x14ac:dyDescent="0.35">
      <c r="A30" s="107"/>
      <c r="B30" s="572"/>
      <c r="C30" s="573"/>
      <c r="D30" s="573"/>
      <c r="E30" s="566"/>
      <c r="F30" s="567"/>
      <c r="G30" s="490"/>
      <c r="H30" s="490"/>
      <c r="I30" s="491"/>
      <c r="J30" s="492">
        <f t="shared" si="0"/>
        <v>0</v>
      </c>
      <c r="K30" s="229"/>
    </row>
    <row r="31" spans="1:18" ht="17.100000000000001" customHeight="1" x14ac:dyDescent="0.35">
      <c r="A31" s="107"/>
      <c r="B31" s="572"/>
      <c r="C31" s="573"/>
      <c r="D31" s="573"/>
      <c r="E31" s="566"/>
      <c r="F31" s="567"/>
      <c r="G31" s="490"/>
      <c r="H31" s="490"/>
      <c r="I31" s="491"/>
      <c r="J31" s="492">
        <f t="shared" si="0"/>
        <v>0</v>
      </c>
      <c r="K31" s="229"/>
    </row>
    <row r="32" spans="1:18" ht="17.100000000000001" customHeight="1" x14ac:dyDescent="0.35">
      <c r="A32" s="107"/>
      <c r="B32" s="572"/>
      <c r="C32" s="573"/>
      <c r="D32" s="573"/>
      <c r="E32" s="566"/>
      <c r="F32" s="567"/>
      <c r="G32" s="490"/>
      <c r="H32" s="490"/>
      <c r="I32" s="491"/>
      <c r="J32" s="492">
        <f t="shared" si="0"/>
        <v>0</v>
      </c>
      <c r="K32" s="229"/>
    </row>
    <row r="33" spans="1:11" ht="17.100000000000001" customHeight="1" x14ac:dyDescent="0.35">
      <c r="A33" s="107"/>
      <c r="B33" s="572"/>
      <c r="C33" s="573"/>
      <c r="D33" s="573"/>
      <c r="E33" s="566"/>
      <c r="F33" s="567"/>
      <c r="G33" s="490"/>
      <c r="H33" s="490"/>
      <c r="I33" s="491"/>
      <c r="J33" s="492">
        <f t="shared" si="0"/>
        <v>0</v>
      </c>
      <c r="K33" s="229"/>
    </row>
    <row r="34" spans="1:11" ht="17.100000000000001" customHeight="1" thickBot="1" x14ac:dyDescent="0.4">
      <c r="A34" s="107"/>
      <c r="B34" s="574"/>
      <c r="C34" s="575"/>
      <c r="D34" s="575"/>
      <c r="E34" s="568"/>
      <c r="F34" s="569"/>
      <c r="G34" s="490"/>
      <c r="H34" s="490"/>
      <c r="I34" s="491"/>
      <c r="J34" s="492">
        <f t="shared" si="0"/>
        <v>0</v>
      </c>
      <c r="K34" s="229"/>
    </row>
    <row r="35" spans="1:11" ht="17.100000000000001" customHeight="1" x14ac:dyDescent="0.35">
      <c r="A35" s="107"/>
      <c r="B35" s="240"/>
      <c r="C35" s="241"/>
      <c r="D35" s="240"/>
      <c r="E35" s="242"/>
      <c r="F35" s="243"/>
      <c r="G35" s="490"/>
      <c r="H35" s="490"/>
      <c r="I35" s="491"/>
      <c r="J35" s="492">
        <f t="shared" si="0"/>
        <v>0</v>
      </c>
      <c r="K35" s="229"/>
    </row>
    <row r="36" spans="1:11" ht="17.100000000000001" customHeight="1" x14ac:dyDescent="0.35">
      <c r="A36" s="107"/>
      <c r="B36" s="240"/>
      <c r="C36" s="241"/>
      <c r="D36" s="240"/>
      <c r="E36" s="242"/>
      <c r="F36" s="243"/>
      <c r="G36" s="490"/>
      <c r="H36" s="490"/>
      <c r="I36" s="491"/>
      <c r="J36" s="492">
        <f t="shared" si="0"/>
        <v>0</v>
      </c>
      <c r="K36" s="229"/>
    </row>
    <row r="37" spans="1:11" ht="17.100000000000001" customHeight="1" x14ac:dyDescent="0.35">
      <c r="A37" s="107"/>
      <c r="B37" s="240"/>
      <c r="C37" s="241"/>
      <c r="D37" s="240"/>
      <c r="E37" s="242"/>
      <c r="F37" s="243"/>
      <c r="G37" s="490"/>
      <c r="H37" s="490"/>
      <c r="I37" s="491"/>
      <c r="J37" s="492">
        <f t="shared" si="0"/>
        <v>0</v>
      </c>
      <c r="K37" s="229"/>
    </row>
    <row r="38" spans="1:11" ht="17.100000000000001" customHeight="1" x14ac:dyDescent="0.35">
      <c r="A38" s="107"/>
      <c r="B38" s="240"/>
      <c r="C38" s="241"/>
      <c r="D38" s="240"/>
      <c r="E38" s="242"/>
      <c r="F38" s="243"/>
      <c r="G38" s="490"/>
      <c r="H38" s="490"/>
      <c r="I38" s="491"/>
      <c r="J38" s="492">
        <f t="shared" si="0"/>
        <v>0</v>
      </c>
      <c r="K38" s="229"/>
    </row>
    <row r="39" spans="1:11" ht="17.100000000000001" customHeight="1" x14ac:dyDescent="0.35">
      <c r="A39" s="107"/>
      <c r="B39" s="240"/>
      <c r="C39" s="241"/>
      <c r="D39" s="240"/>
      <c r="E39" s="242"/>
      <c r="F39" s="243"/>
      <c r="G39" s="490"/>
      <c r="H39" s="490"/>
      <c r="I39" s="491"/>
      <c r="J39" s="492">
        <f t="shared" si="0"/>
        <v>0</v>
      </c>
      <c r="K39" s="229"/>
    </row>
    <row r="40" spans="1:11" ht="17.100000000000001" customHeight="1" x14ac:dyDescent="0.35">
      <c r="A40" s="107"/>
      <c r="B40" s="240"/>
      <c r="C40" s="241"/>
      <c r="D40" s="240"/>
      <c r="E40" s="242"/>
      <c r="F40" s="243"/>
      <c r="G40" s="490"/>
      <c r="H40" s="490"/>
      <c r="I40" s="491"/>
      <c r="J40" s="492">
        <f t="shared" si="0"/>
        <v>0</v>
      </c>
      <c r="K40" s="229"/>
    </row>
    <row r="41" spans="1:11" ht="17.100000000000001" customHeight="1" x14ac:dyDescent="0.35">
      <c r="A41" s="107"/>
      <c r="B41" s="240"/>
      <c r="C41" s="241"/>
      <c r="D41" s="240"/>
      <c r="E41" s="242"/>
      <c r="F41" s="243"/>
      <c r="G41" s="490"/>
      <c r="H41" s="490"/>
      <c r="I41" s="491"/>
      <c r="J41" s="492">
        <f t="shared" si="0"/>
        <v>0</v>
      </c>
      <c r="K41" s="229"/>
    </row>
    <row r="42" spans="1:11" ht="17.100000000000001" customHeight="1" x14ac:dyDescent="0.35">
      <c r="A42" s="107"/>
      <c r="B42" s="240"/>
      <c r="C42" s="241"/>
      <c r="D42" s="240"/>
      <c r="E42" s="242"/>
      <c r="F42" s="243"/>
      <c r="G42" s="490"/>
      <c r="H42" s="490"/>
      <c r="I42" s="491"/>
      <c r="J42" s="492">
        <f t="shared" si="0"/>
        <v>0</v>
      </c>
      <c r="K42" s="229"/>
    </row>
    <row r="43" spans="1:11" ht="17.100000000000001" customHeight="1" x14ac:dyDescent="0.35">
      <c r="A43" s="107"/>
      <c r="B43" s="240"/>
      <c r="C43" s="241"/>
      <c r="D43" s="240"/>
      <c r="E43" s="242"/>
      <c r="F43" s="243"/>
      <c r="G43" s="490"/>
      <c r="H43" s="490"/>
      <c r="I43" s="491"/>
      <c r="J43" s="492">
        <f t="shared" si="0"/>
        <v>0</v>
      </c>
      <c r="K43" s="229"/>
    </row>
    <row r="44" spans="1:11" ht="17.100000000000001" customHeight="1" x14ac:dyDescent="0.35">
      <c r="A44" s="107"/>
      <c r="B44" s="240"/>
      <c r="C44" s="241"/>
      <c r="D44" s="240"/>
      <c r="E44" s="242"/>
      <c r="F44" s="243"/>
      <c r="G44" s="490"/>
      <c r="H44" s="490"/>
      <c r="I44" s="491"/>
      <c r="J44" s="492">
        <f t="shared" si="0"/>
        <v>0</v>
      </c>
      <c r="K44" s="229"/>
    </row>
    <row r="45" spans="1:11" ht="17.100000000000001" customHeight="1" x14ac:dyDescent="0.35">
      <c r="A45" s="107"/>
      <c r="B45" s="240"/>
      <c r="C45" s="241"/>
      <c r="D45" s="240"/>
      <c r="E45" s="242"/>
      <c r="F45" s="243"/>
      <c r="G45" s="490"/>
      <c r="H45" s="490"/>
      <c r="I45" s="491"/>
      <c r="J45" s="492">
        <f t="shared" si="0"/>
        <v>0</v>
      </c>
      <c r="K45" s="229"/>
    </row>
    <row r="46" spans="1:11" ht="17.100000000000001" customHeight="1" x14ac:dyDescent="0.35">
      <c r="A46" s="107"/>
      <c r="B46" s="240"/>
      <c r="C46" s="241"/>
      <c r="D46" s="240"/>
      <c r="E46" s="242"/>
      <c r="F46" s="243"/>
      <c r="G46" s="490"/>
      <c r="H46" s="490"/>
      <c r="I46" s="491"/>
      <c r="J46" s="492">
        <f t="shared" si="0"/>
        <v>0</v>
      </c>
      <c r="K46" s="229"/>
    </row>
    <row r="47" spans="1:11" ht="17.100000000000001" customHeight="1" x14ac:dyDescent="0.35">
      <c r="A47" s="107"/>
      <c r="B47" s="240"/>
      <c r="C47" s="241"/>
      <c r="D47" s="240"/>
      <c r="E47" s="242"/>
      <c r="F47" s="243"/>
      <c r="G47" s="490"/>
      <c r="H47" s="490"/>
      <c r="I47" s="491"/>
      <c r="J47" s="492">
        <f t="shared" si="0"/>
        <v>0</v>
      </c>
      <c r="K47" s="229"/>
    </row>
    <row r="48" spans="1:11" ht="17.100000000000001" customHeight="1" x14ac:dyDescent="0.35">
      <c r="A48" s="107"/>
      <c r="B48" s="240"/>
      <c r="C48" s="241"/>
      <c r="D48" s="240"/>
      <c r="E48" s="242"/>
      <c r="F48" s="243"/>
      <c r="G48" s="490"/>
      <c r="H48" s="490"/>
      <c r="I48" s="491"/>
      <c r="J48" s="492">
        <f t="shared" si="0"/>
        <v>0</v>
      </c>
      <c r="K48" s="229"/>
    </row>
    <row r="49" spans="1:11" ht="17.100000000000001" customHeight="1" x14ac:dyDescent="0.35">
      <c r="A49" s="107"/>
      <c r="B49" s="240"/>
      <c r="C49" s="241"/>
      <c r="D49" s="240"/>
      <c r="E49" s="242"/>
      <c r="F49" s="243"/>
      <c r="G49" s="490"/>
      <c r="H49" s="490"/>
      <c r="I49" s="491"/>
      <c r="J49" s="492">
        <f t="shared" si="0"/>
        <v>0</v>
      </c>
      <c r="K49" s="229"/>
    </row>
    <row r="50" spans="1:11" ht="17.100000000000001" customHeight="1" x14ac:dyDescent="0.35">
      <c r="A50" s="107"/>
      <c r="B50" s="240"/>
      <c r="C50" s="241"/>
      <c r="D50" s="240"/>
      <c r="E50" s="242"/>
      <c r="F50" s="243"/>
      <c r="G50" s="490"/>
      <c r="H50" s="490"/>
      <c r="I50" s="491"/>
      <c r="J50" s="492">
        <f t="shared" si="0"/>
        <v>0</v>
      </c>
      <c r="K50" s="229"/>
    </row>
    <row r="51" spans="1:11" ht="17.100000000000001" customHeight="1" x14ac:dyDescent="0.35">
      <c r="A51" s="107"/>
      <c r="B51" s="240"/>
      <c r="C51" s="241"/>
      <c r="D51" s="240"/>
      <c r="E51" s="242"/>
      <c r="F51" s="243"/>
      <c r="G51" s="490"/>
      <c r="H51" s="490"/>
      <c r="I51" s="491"/>
      <c r="J51" s="492">
        <f t="shared" si="0"/>
        <v>0</v>
      </c>
      <c r="K51" s="229"/>
    </row>
    <row r="52" spans="1:11" ht="17.100000000000001" customHeight="1" x14ac:dyDescent="0.35">
      <c r="A52" s="107"/>
      <c r="B52" s="240"/>
      <c r="C52" s="241"/>
      <c r="D52" s="240"/>
      <c r="E52" s="242"/>
      <c r="F52" s="243"/>
      <c r="G52" s="490"/>
      <c r="H52" s="490"/>
      <c r="I52" s="491"/>
      <c r="J52" s="492">
        <f t="shared" si="0"/>
        <v>0</v>
      </c>
      <c r="K52" s="229"/>
    </row>
    <row r="53" spans="1:11" ht="17.100000000000001" customHeight="1" x14ac:dyDescent="0.3">
      <c r="A53" s="107"/>
      <c r="B53" s="244"/>
      <c r="C53" s="245"/>
      <c r="D53" s="244"/>
      <c r="E53" s="235"/>
      <c r="F53" s="236"/>
      <c r="G53" s="494"/>
      <c r="H53" s="494"/>
      <c r="I53" s="495"/>
      <c r="J53" s="496">
        <f t="shared" si="0"/>
        <v>0</v>
      </c>
      <c r="K53" s="229"/>
    </row>
    <row r="54" spans="1:11" ht="17.100000000000001" customHeight="1" x14ac:dyDescent="0.3">
      <c r="A54" s="107"/>
      <c r="B54" s="246"/>
      <c r="C54" s="247"/>
      <c r="D54" s="248"/>
      <c r="E54" s="249"/>
      <c r="F54" s="250"/>
      <c r="G54" s="230"/>
      <c r="H54" s="230"/>
      <c r="I54" s="230"/>
      <c r="J54" s="231"/>
      <c r="K54" s="229"/>
    </row>
    <row r="55" spans="1:11" ht="17.100000000000001" customHeight="1" x14ac:dyDescent="0.3">
      <c r="A55" s="107"/>
      <c r="B55" s="222" t="s">
        <v>64</v>
      </c>
      <c r="C55" s="241"/>
      <c r="D55" s="240"/>
      <c r="E55" s="242"/>
      <c r="F55" s="243"/>
      <c r="G55" s="564" t="s">
        <v>65</v>
      </c>
      <c r="H55" s="564"/>
      <c r="I55" s="564"/>
      <c r="J55" s="565"/>
      <c r="K55" s="229"/>
    </row>
    <row r="56" spans="1:11" ht="17.100000000000001" customHeight="1" x14ac:dyDescent="0.35">
      <c r="A56" s="107"/>
      <c r="B56" s="251"/>
      <c r="C56" s="223"/>
      <c r="D56" s="223" t="s">
        <v>66</v>
      </c>
      <c r="E56" s="252" cm="1">
        <f t="array" ref="E56:F56">'Modify Here'!G1:H1</f>
        <v>0</v>
      </c>
      <c r="F56" s="253">
        <v>0</v>
      </c>
      <c r="G56" s="490"/>
      <c r="H56" s="490"/>
      <c r="I56" s="495"/>
      <c r="J56" s="496">
        <f t="shared" ref="J56:J66" si="1">H56*I56</f>
        <v>0</v>
      </c>
      <c r="K56" s="229"/>
    </row>
    <row r="57" spans="1:11" ht="17.100000000000001" customHeight="1" x14ac:dyDescent="0.35">
      <c r="A57" s="107"/>
      <c r="B57" s="251"/>
      <c r="C57" s="223"/>
      <c r="D57" s="223" t="s">
        <v>67</v>
      </c>
      <c r="E57" s="254"/>
      <c r="F57" s="255"/>
      <c r="G57" s="490"/>
      <c r="H57" s="490"/>
      <c r="I57" s="495"/>
      <c r="J57" s="496">
        <f t="shared" si="1"/>
        <v>0</v>
      </c>
      <c r="K57" s="229"/>
    </row>
    <row r="58" spans="1:11" ht="17.100000000000001" customHeight="1" x14ac:dyDescent="0.35">
      <c r="A58" s="107"/>
      <c r="B58" s="256"/>
      <c r="C58" s="223"/>
      <c r="D58" s="223" t="s">
        <v>68</v>
      </c>
      <c r="E58" s="252">
        <f>IF(E57&gt;0,E57*E56,)</f>
        <v>0</v>
      </c>
      <c r="F58" s="255"/>
      <c r="G58" s="490"/>
      <c r="H58" s="490"/>
      <c r="I58" s="495"/>
      <c r="J58" s="496">
        <f t="shared" si="1"/>
        <v>0</v>
      </c>
      <c r="K58" s="229"/>
    </row>
    <row r="59" spans="1:11" ht="17.100000000000001" customHeight="1" x14ac:dyDescent="0.35">
      <c r="A59" s="107"/>
      <c r="B59" s="256"/>
      <c r="C59" s="223"/>
      <c r="D59" s="223" t="s">
        <v>69</v>
      </c>
      <c r="E59" s="415" t="str">
        <f>IF(J67&gt;0,J67,"")</f>
        <v/>
      </c>
      <c r="F59" s="255"/>
      <c r="G59" s="490"/>
      <c r="H59" s="490"/>
      <c r="I59" s="495"/>
      <c r="J59" s="496">
        <f t="shared" si="1"/>
        <v>0</v>
      </c>
      <c r="K59" s="229"/>
    </row>
    <row r="60" spans="1:11" ht="17.100000000000001" customHeight="1" x14ac:dyDescent="0.35">
      <c r="A60" s="107"/>
      <c r="B60" s="251"/>
      <c r="C60" s="241"/>
      <c r="D60" s="223"/>
      <c r="E60" s="252"/>
      <c r="F60" s="253"/>
      <c r="G60" s="490"/>
      <c r="H60" s="490"/>
      <c r="I60" s="495"/>
      <c r="J60" s="496">
        <f t="shared" si="1"/>
        <v>0</v>
      </c>
      <c r="K60" s="229"/>
    </row>
    <row r="61" spans="1:11" ht="17.100000000000001" customHeight="1" x14ac:dyDescent="0.35">
      <c r="A61" s="107"/>
      <c r="B61" s="257"/>
      <c r="C61" s="258"/>
      <c r="D61" s="223" t="s">
        <v>61</v>
      </c>
      <c r="E61" s="415">
        <f>SUM(E14:F34)</f>
        <v>0</v>
      </c>
      <c r="F61" s="253"/>
      <c r="G61" s="490"/>
      <c r="H61" s="490"/>
      <c r="I61" s="495"/>
      <c r="J61" s="496">
        <f t="shared" si="1"/>
        <v>0</v>
      </c>
      <c r="K61" s="229"/>
    </row>
    <row r="62" spans="1:11" ht="17.100000000000001" customHeight="1" x14ac:dyDescent="0.35">
      <c r="A62" s="107"/>
      <c r="B62" s="259"/>
      <c r="C62" s="260"/>
      <c r="D62" s="223" t="s">
        <v>70</v>
      </c>
      <c r="E62" s="252">
        <f>IF('Data Entry'!B25="Yes",199,)</f>
        <v>0</v>
      </c>
      <c r="F62" s="253"/>
      <c r="G62" s="490"/>
      <c r="H62" s="490"/>
      <c r="I62" s="495"/>
      <c r="J62" s="496">
        <f t="shared" si="1"/>
        <v>0</v>
      </c>
      <c r="K62" s="229"/>
    </row>
    <row r="63" spans="1:11" ht="17.100000000000001" customHeight="1" x14ac:dyDescent="0.35">
      <c r="A63" s="107"/>
      <c r="B63" s="251"/>
      <c r="C63" s="241"/>
      <c r="D63" s="241"/>
      <c r="E63" s="241"/>
      <c r="F63" s="253"/>
      <c r="G63" s="490"/>
      <c r="H63" s="490"/>
      <c r="I63" s="495"/>
      <c r="J63" s="496">
        <f t="shared" si="1"/>
        <v>0</v>
      </c>
      <c r="K63" s="229"/>
    </row>
    <row r="64" spans="1:11" ht="17.100000000000001" customHeight="1" x14ac:dyDescent="0.35">
      <c r="A64" s="107"/>
      <c r="B64" s="251"/>
      <c r="C64" s="241"/>
      <c r="D64" s="241"/>
      <c r="E64" s="241"/>
      <c r="F64" s="261"/>
      <c r="G64" s="490"/>
      <c r="H64" s="490"/>
      <c r="I64" s="495"/>
      <c r="J64" s="496">
        <f t="shared" si="1"/>
        <v>0</v>
      </c>
      <c r="K64" s="229"/>
    </row>
    <row r="65" spans="1:11" ht="17.100000000000001" customHeight="1" x14ac:dyDescent="0.35">
      <c r="A65" s="107"/>
      <c r="B65" s="251"/>
      <c r="C65" s="241"/>
      <c r="D65" s="223" t="s">
        <v>51</v>
      </c>
      <c r="E65" s="252">
        <f>SUM(E56:E62)</f>
        <v>0</v>
      </c>
      <c r="F65" s="253"/>
      <c r="G65" s="490"/>
      <c r="H65" s="490"/>
      <c r="I65" s="495"/>
      <c r="J65" s="496">
        <f t="shared" si="1"/>
        <v>0</v>
      </c>
      <c r="K65" s="229"/>
    </row>
    <row r="66" spans="1:11" ht="17.100000000000001" customHeight="1" x14ac:dyDescent="0.35">
      <c r="A66" s="107"/>
      <c r="B66" s="262"/>
      <c r="C66" s="263"/>
      <c r="D66" s="223" t="s">
        <v>71</v>
      </c>
      <c r="E66" s="252">
        <f>H6</f>
        <v>0</v>
      </c>
      <c r="F66" s="253"/>
      <c r="G66" s="490"/>
      <c r="H66" s="490"/>
      <c r="I66" s="495"/>
      <c r="J66" s="496">
        <f t="shared" si="1"/>
        <v>0</v>
      </c>
      <c r="K66" s="229"/>
    </row>
    <row r="67" spans="1:11" ht="17.100000000000001" customHeight="1" x14ac:dyDescent="0.35">
      <c r="A67" s="107"/>
      <c r="B67" s="264"/>
      <c r="C67" s="265"/>
      <c r="D67" s="265"/>
      <c r="E67" s="265"/>
      <c r="F67" s="266"/>
      <c r="G67" s="497"/>
      <c r="H67" s="498"/>
      <c r="I67" s="499" t="s">
        <v>72</v>
      </c>
      <c r="J67" s="500">
        <f>SUM(J12:J66)</f>
        <v>0</v>
      </c>
      <c r="K67" s="229"/>
    </row>
    <row r="68" spans="1:11" ht="17.100000000000001" customHeight="1" thickBot="1" x14ac:dyDescent="0.35">
      <c r="A68" s="114"/>
      <c r="B68" s="232"/>
      <c r="C68" s="267"/>
      <c r="D68" s="232"/>
      <c r="E68" s="232"/>
      <c r="F68" s="232"/>
      <c r="G68" s="232"/>
      <c r="H68" s="232"/>
      <c r="I68" s="232"/>
      <c r="J68" s="232"/>
      <c r="K68" s="233"/>
    </row>
    <row r="69" spans="1:11" ht="17.100000000000001" customHeight="1" x14ac:dyDescent="0.25"/>
  </sheetData>
  <mergeCells count="63">
    <mergeCell ref="I10:I11"/>
    <mergeCell ref="J10:J11"/>
    <mergeCell ref="H2:J2"/>
    <mergeCell ref="H3:J3"/>
    <mergeCell ref="H4:J4"/>
    <mergeCell ref="H5:I5"/>
    <mergeCell ref="H6:I6"/>
    <mergeCell ref="H7:I7"/>
    <mergeCell ref="G10:G11"/>
    <mergeCell ref="H10:H11"/>
    <mergeCell ref="B12:F12"/>
    <mergeCell ref="B13:D13"/>
    <mergeCell ref="B14:D14"/>
    <mergeCell ref="B30:D30"/>
    <mergeCell ref="B31:D31"/>
    <mergeCell ref="B32:D32"/>
    <mergeCell ref="E28:F28"/>
    <mergeCell ref="E29:F29"/>
    <mergeCell ref="E30:F30"/>
    <mergeCell ref="E31:F31"/>
    <mergeCell ref="E32:F32"/>
    <mergeCell ref="B25:D25"/>
    <mergeCell ref="B26:D26"/>
    <mergeCell ref="B27:D27"/>
    <mergeCell ref="B28:D28"/>
    <mergeCell ref="B29:D29"/>
    <mergeCell ref="B20:D20"/>
    <mergeCell ref="B21:D21"/>
    <mergeCell ref="B22:D22"/>
    <mergeCell ref="B23:D23"/>
    <mergeCell ref="B24:D24"/>
    <mergeCell ref="B15:D15"/>
    <mergeCell ref="B16:D16"/>
    <mergeCell ref="B17:D17"/>
    <mergeCell ref="B18:D18"/>
    <mergeCell ref="B19:D19"/>
    <mergeCell ref="B33:D33"/>
    <mergeCell ref="B34:D34"/>
    <mergeCell ref="B2:F2"/>
    <mergeCell ref="B4:D4"/>
    <mergeCell ref="B5:D5"/>
    <mergeCell ref="B6:D6"/>
    <mergeCell ref="E4:F4"/>
    <mergeCell ref="E5:F5"/>
    <mergeCell ref="E6:F6"/>
    <mergeCell ref="E14:F14"/>
    <mergeCell ref="E15:F15"/>
    <mergeCell ref="E16:F16"/>
    <mergeCell ref="E17:F17"/>
    <mergeCell ref="E18:F18"/>
    <mergeCell ref="E19:F19"/>
    <mergeCell ref="E20:F20"/>
    <mergeCell ref="G55:J55"/>
    <mergeCell ref="E33:F33"/>
    <mergeCell ref="E34:F34"/>
    <mergeCell ref="E13:F13"/>
    <mergeCell ref="E21:F21"/>
    <mergeCell ref="E22:F22"/>
    <mergeCell ref="E23:F23"/>
    <mergeCell ref="E24:F24"/>
    <mergeCell ref="E25:F25"/>
    <mergeCell ref="E26:F26"/>
    <mergeCell ref="E27:F27"/>
  </mergeCells>
  <conditionalFormatting sqref="J56:J66 J12:J53">
    <cfRule type="cellIs" dxfId="1" priority="1" stopIfTrue="1" operator="greaterThan">
      <formula>0</formula>
    </cfRule>
  </conditionalFormatting>
  <dataValidations disablePrompts="1" count="1">
    <dataValidation errorStyle="warning" allowBlank="1" showInputMessage="1" showErrorMessage="1" error="New Designer?" sqref="H4:I4" xr:uid="{00000000-0002-0000-0300-000000000000}"/>
  </dataValidations>
  <pageMargins left="0.45" right="0.25" top="0.57999999999999996" bottom="0.32" header="0.32" footer="0.3"/>
  <pageSetup scale="56" orientation="portrait" r:id="rId1"/>
  <colBreaks count="1" manualBreakCount="1">
    <brk id="11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indexed="12"/>
    <pageSetUpPr autoPageBreaks="0" fitToPage="1"/>
  </sheetPr>
  <dimension ref="A1:AP43"/>
  <sheetViews>
    <sheetView showZeros="0" showOutlineSymbols="0" zoomScale="70" zoomScaleNormal="70" zoomScaleSheetLayoutView="80" workbookViewId="0">
      <selection activeCell="N2" sqref="N2:O2"/>
    </sheetView>
  </sheetViews>
  <sheetFormatPr defaultColWidth="9.140625" defaultRowHeight="11.25" x14ac:dyDescent="0.2"/>
  <cols>
    <col min="1" max="1" width="18.5703125" style="32" customWidth="1"/>
    <col min="2" max="2" width="8.140625" style="32" customWidth="1"/>
    <col min="3" max="3" width="9.85546875" style="32" customWidth="1"/>
    <col min="4" max="4" width="22.28515625" style="32" customWidth="1"/>
    <col min="5" max="5" width="9.140625" style="32"/>
    <col min="6" max="6" width="8.7109375" style="32" customWidth="1"/>
    <col min="7" max="7" width="18.140625" style="32" customWidth="1"/>
    <col min="8" max="8" width="15.7109375" style="32" customWidth="1"/>
    <col min="9" max="9" width="15.28515625" style="32" customWidth="1"/>
    <col min="10" max="10" width="14.140625" style="32" customWidth="1"/>
    <col min="11" max="11" width="12.7109375" style="32" customWidth="1"/>
    <col min="12" max="12" width="12.140625" style="32" customWidth="1"/>
    <col min="13" max="13" width="10" style="32" customWidth="1"/>
    <col min="14" max="14" width="4.42578125" style="32" customWidth="1"/>
    <col min="15" max="15" width="15.42578125" style="32" customWidth="1"/>
    <col min="16" max="18" width="9.140625" style="32"/>
    <col min="19" max="20" width="9.140625" style="32" customWidth="1"/>
    <col min="21" max="16384" width="9.140625" style="32"/>
  </cols>
  <sheetData>
    <row r="1" spans="1:42" ht="16.5" x14ac:dyDescent="0.2">
      <c r="A1" s="701" t="s">
        <v>73</v>
      </c>
      <c r="B1" s="702"/>
      <c r="C1" s="702"/>
      <c r="D1" s="702"/>
      <c r="E1" s="702"/>
      <c r="F1" s="702"/>
      <c r="G1" s="702"/>
      <c r="H1" s="702"/>
      <c r="I1" s="702"/>
      <c r="J1" s="703"/>
      <c r="K1" s="704" t="s">
        <v>74</v>
      </c>
      <c r="L1" s="705"/>
      <c r="M1" s="705"/>
      <c r="N1" s="702"/>
      <c r="O1" s="703"/>
      <c r="X1" s="608" t="str">
        <f>'Data Entry'!B5 &amp; CHAR(10) &amp; 'Data Entry'!B7</f>
        <v xml:space="preserve">
</v>
      </c>
      <c r="Y1" s="608"/>
      <c r="Z1" s="608"/>
      <c r="AA1" s="608"/>
      <c r="AB1" s="608"/>
      <c r="AC1" s="608"/>
      <c r="AD1" s="608"/>
      <c r="AE1" s="608"/>
      <c r="AF1" s="608"/>
      <c r="AG1" s="608"/>
      <c r="AH1" s="608"/>
      <c r="AI1" s="608"/>
      <c r="AJ1" s="608"/>
      <c r="AK1" s="608"/>
      <c r="AL1" s="608"/>
      <c r="AM1" s="608"/>
      <c r="AN1" s="608"/>
      <c r="AO1" s="608"/>
      <c r="AP1" s="608"/>
    </row>
    <row r="2" spans="1:42" ht="26.25" customHeight="1" x14ac:dyDescent="0.2">
      <c r="A2" s="726"/>
      <c r="B2" s="727"/>
      <c r="C2" s="728"/>
      <c r="D2" s="728"/>
      <c r="E2" s="728"/>
      <c r="F2" s="728"/>
      <c r="G2" s="728"/>
      <c r="H2" s="728"/>
      <c r="I2" s="728"/>
      <c r="J2" s="728"/>
      <c r="K2" s="609" t="s">
        <v>291</v>
      </c>
      <c r="L2" s="610"/>
      <c r="M2" s="611"/>
      <c r="N2" s="612"/>
      <c r="O2" s="613"/>
      <c r="X2" s="608"/>
      <c r="Y2" s="608"/>
      <c r="Z2" s="608"/>
      <c r="AA2" s="608"/>
      <c r="AB2" s="608"/>
      <c r="AC2" s="608"/>
      <c r="AD2" s="608"/>
      <c r="AE2" s="608"/>
      <c r="AF2" s="608"/>
      <c r="AG2" s="608"/>
      <c r="AH2" s="608"/>
      <c r="AI2" s="608"/>
      <c r="AJ2" s="608"/>
      <c r="AK2" s="608"/>
      <c r="AL2" s="608"/>
      <c r="AM2" s="608"/>
      <c r="AN2" s="608"/>
      <c r="AO2" s="608"/>
      <c r="AP2" s="608"/>
    </row>
    <row r="3" spans="1:42" ht="122.25" customHeight="1" thickBot="1" x14ac:dyDescent="0.25">
      <c r="A3" s="729"/>
      <c r="B3" s="730"/>
      <c r="C3" s="730"/>
      <c r="D3" s="730"/>
      <c r="E3" s="730"/>
      <c r="F3" s="730"/>
      <c r="G3" s="730"/>
      <c r="H3" s="730"/>
      <c r="I3" s="730"/>
      <c r="J3" s="725"/>
      <c r="K3" s="706"/>
      <c r="L3" s="707"/>
      <c r="M3" s="707"/>
      <c r="N3" s="707"/>
      <c r="O3" s="708"/>
      <c r="X3" s="608"/>
      <c r="Y3" s="608"/>
      <c r="Z3" s="608"/>
      <c r="AA3" s="608"/>
      <c r="AB3" s="608"/>
      <c r="AC3" s="608"/>
      <c r="AD3" s="608"/>
      <c r="AE3" s="608"/>
      <c r="AF3" s="608"/>
      <c r="AG3" s="608"/>
      <c r="AH3" s="608"/>
      <c r="AI3" s="608"/>
      <c r="AJ3" s="608"/>
      <c r="AK3" s="608"/>
      <c r="AL3" s="608"/>
      <c r="AM3" s="608"/>
      <c r="AN3" s="608"/>
      <c r="AO3" s="608"/>
      <c r="AP3" s="608"/>
    </row>
    <row r="4" spans="1:42" ht="30" customHeight="1" thickBot="1" x14ac:dyDescent="0.25">
      <c r="A4" s="731" t="str">
        <f>IF('Data Entry'!B17="V9","KCCD V9",IF('Data Entry'!B17="V23","KCD V23",))</f>
        <v>KCD V23</v>
      </c>
      <c r="B4" s="732"/>
      <c r="C4" s="732"/>
      <c r="D4" s="733"/>
      <c r="E4" s="723">
        <f>IF('Data Entry'!F21="None","",IF('Data Entry'!F21="Melamine","Molding:",IF('Data Entry'!F21="ThermoFoil","Molding:",IF('Data Entry'!F21="Wood","Molding:",IF('Data Entry'!F21="Combination","Molding:",IF('Data Entry'!F21="CF Thermo Foil","Molding:",))))))</f>
        <v>0</v>
      </c>
      <c r="F4" s="614"/>
      <c r="G4" s="636">
        <f>IF('Data Entry'!F21="None","",IF('Data Entry'!F21="Melamine","Melamine",IF('Data Entry'!F21="Thermo Foil","Thermo Foil",IF('Data Entry'!F21="Wood","Wood",IF('Data Entry'!F21="Combination","Combination",IF('Data Entry'!F21="CF Thermo Foil","CF Thermo Foil",))))))</f>
        <v>0</v>
      </c>
      <c r="H4" s="636"/>
      <c r="I4" s="636">
        <f>IF('Data Entry'!F23="None","",IF('Data Entry'!F23="Base Only","Base Only",IF('Data Entry'!F23="Crown Only","Crown Only",IF('Data Entry'!F23="Base &amp; Crown","Base &amp; Crown",IF('Data Entry'!F23="Recessed Base","Recessed Base",)))))</f>
        <v>0</v>
      </c>
      <c r="J4" s="637"/>
      <c r="K4" s="61">
        <f>IF('Data Entry'!B13="Special Order","VJT",IF('Data Entry'!B13="Cut From Stock","VJT",IF('Data Entry'!B13="Combination","VJT",)))</f>
        <v>0</v>
      </c>
      <c r="L4" s="614">
        <f>IF('Data Entry'!B13="Special Order","Special Order",IF('Data Entry'!B13="Cut From Stock","Cut From Stock",IF('Data Entry'!B13="Combination","Combination",)))</f>
        <v>0</v>
      </c>
      <c r="M4" s="615"/>
      <c r="N4" s="615"/>
      <c r="O4" s="616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</row>
    <row r="5" spans="1:42" ht="11.25" customHeight="1" x14ac:dyDescent="0.2">
      <c r="A5" s="713" t="s">
        <v>75</v>
      </c>
      <c r="B5" s="714"/>
      <c r="C5" s="695"/>
      <c r="D5" s="695"/>
      <c r="E5" s="695"/>
      <c r="F5" s="695"/>
      <c r="G5" s="695"/>
      <c r="H5" s="695"/>
      <c r="I5" s="695"/>
      <c r="J5" s="695"/>
      <c r="K5" s="715" t="str">
        <f>IF('Data Entry'!F25="Yes","Notched",IF('Data Entry'!F25="No","No Notch",))</f>
        <v>No Notch</v>
      </c>
      <c r="L5" s="716"/>
      <c r="M5" s="719">
        <f>'Data Entry'!F26</f>
        <v>0</v>
      </c>
      <c r="N5" s="721">
        <f>IF(M5&gt;0,"X",)</f>
        <v>0</v>
      </c>
      <c r="O5" s="724">
        <f>IF(M5&gt;0,'Data Entry'!F27,)</f>
        <v>0</v>
      </c>
      <c r="X5" s="608"/>
      <c r="Y5" s="608"/>
      <c r="Z5" s="608"/>
      <c r="AA5" s="608"/>
      <c r="AB5" s="608"/>
      <c r="AC5" s="608"/>
      <c r="AD5" s="608"/>
      <c r="AE5" s="608"/>
      <c r="AF5" s="608"/>
      <c r="AG5" s="608"/>
      <c r="AH5" s="608"/>
      <c r="AI5" s="608"/>
      <c r="AJ5" s="608"/>
      <c r="AK5" s="608"/>
      <c r="AL5" s="608"/>
      <c r="AM5" s="608"/>
      <c r="AN5" s="608"/>
      <c r="AO5" s="608"/>
      <c r="AP5" s="608"/>
    </row>
    <row r="6" spans="1:42" ht="25.5" customHeight="1" thickBot="1" x14ac:dyDescent="0.25">
      <c r="A6" s="669"/>
      <c r="B6" s="670"/>
      <c r="C6" s="670"/>
      <c r="D6" s="670"/>
      <c r="E6" s="670"/>
      <c r="F6" s="670"/>
      <c r="G6" s="670"/>
      <c r="H6" s="670"/>
      <c r="I6" s="670"/>
      <c r="J6" s="670"/>
      <c r="K6" s="717"/>
      <c r="L6" s="718"/>
      <c r="M6" s="720"/>
      <c r="N6" s="722"/>
      <c r="O6" s="725"/>
      <c r="X6" s="608"/>
      <c r="Y6" s="608"/>
      <c r="Z6" s="608"/>
      <c r="AA6" s="608"/>
      <c r="AB6" s="608"/>
      <c r="AC6" s="608"/>
      <c r="AD6" s="608"/>
      <c r="AE6" s="608"/>
      <c r="AF6" s="608"/>
      <c r="AG6" s="608"/>
      <c r="AH6" s="608"/>
      <c r="AI6" s="608"/>
      <c r="AJ6" s="608"/>
      <c r="AK6" s="608"/>
      <c r="AL6" s="608"/>
      <c r="AM6" s="608"/>
      <c r="AN6" s="608"/>
      <c r="AO6" s="608"/>
      <c r="AP6" s="608"/>
    </row>
    <row r="7" spans="1:42" ht="60" x14ac:dyDescent="0.2">
      <c r="A7" s="51" t="s">
        <v>48</v>
      </c>
      <c r="B7" s="628" t="str">
        <f>IF('Data Entry'!B5&gt;0,"# "&amp;'Data Entry'!B5,"")</f>
        <v/>
      </c>
      <c r="C7" s="629"/>
      <c r="D7" s="711" t="s">
        <v>47</v>
      </c>
      <c r="E7" s="712"/>
      <c r="F7" s="710" t="str">
        <f>IF(ISTEXT('Data Entry'!B7),PROPER('Data Entry'!B7&amp;" - "&amp;'Data Entry'!B9),"")</f>
        <v/>
      </c>
      <c r="G7" s="710"/>
      <c r="H7" s="710"/>
      <c r="I7" s="710"/>
      <c r="J7" s="710"/>
      <c r="K7" s="710"/>
      <c r="L7" s="710"/>
      <c r="M7" s="710"/>
      <c r="N7" s="710"/>
      <c r="X7" s="608"/>
      <c r="Y7" s="608"/>
      <c r="Z7" s="608"/>
      <c r="AA7" s="608"/>
      <c r="AB7" s="608"/>
      <c r="AC7" s="608"/>
      <c r="AD7" s="608"/>
      <c r="AE7" s="608"/>
      <c r="AF7" s="608"/>
      <c r="AG7" s="608"/>
      <c r="AH7" s="608"/>
      <c r="AI7" s="608"/>
      <c r="AJ7" s="608"/>
      <c r="AK7" s="608"/>
      <c r="AL7" s="608"/>
      <c r="AM7" s="608"/>
      <c r="AN7" s="608"/>
      <c r="AO7" s="608"/>
      <c r="AP7" s="608"/>
    </row>
    <row r="8" spans="1:42" ht="30" customHeight="1" x14ac:dyDescent="0.2">
      <c r="A8" s="632" t="s">
        <v>76</v>
      </c>
      <c r="B8" s="631"/>
      <c r="C8" s="633" t="str">
        <f>IF('Data Entry'!B1,'Data Entry'!B1,"")</f>
        <v/>
      </c>
      <c r="D8" s="634"/>
      <c r="E8" s="634"/>
      <c r="F8" s="634"/>
      <c r="G8" s="218" t="s">
        <v>462</v>
      </c>
      <c r="H8" s="632" t="s">
        <v>33</v>
      </c>
      <c r="I8" s="632"/>
      <c r="J8" s="709" t="str">
        <f>'Data Entry'!F19</f>
        <v>Closet Factory</v>
      </c>
      <c r="K8" s="709"/>
      <c r="L8" s="709"/>
      <c r="M8" s="709"/>
      <c r="N8" s="709"/>
      <c r="O8" s="709"/>
      <c r="X8" s="608"/>
      <c r="Y8" s="608"/>
      <c r="Z8" s="608"/>
      <c r="AA8" s="608"/>
      <c r="AB8" s="608"/>
      <c r="AC8" s="608"/>
      <c r="AD8" s="608"/>
      <c r="AE8" s="608"/>
      <c r="AF8" s="608"/>
      <c r="AG8" s="608"/>
      <c r="AH8" s="608"/>
      <c r="AI8" s="608"/>
      <c r="AJ8" s="608"/>
      <c r="AK8" s="608"/>
      <c r="AL8" s="608"/>
      <c r="AM8" s="608"/>
      <c r="AN8" s="608"/>
      <c r="AO8" s="608"/>
      <c r="AP8" s="608"/>
    </row>
    <row r="9" spans="1:42" ht="26.25" x14ac:dyDescent="0.4">
      <c r="A9" s="44" t="s">
        <v>77</v>
      </c>
      <c r="B9" s="630">
        <f>'Data Entry'!F5</f>
        <v>0</v>
      </c>
      <c r="C9" s="631"/>
      <c r="D9" s="631"/>
      <c r="E9" s="631"/>
      <c r="F9" s="631"/>
      <c r="G9" s="219" t="str">
        <f>_xlfn.IFNA(VLOOKUP(B9, 'Data Conversions'!$B:$C, 2, FALSE), "")</f>
        <v/>
      </c>
      <c r="H9" s="644" t="s">
        <v>78</v>
      </c>
      <c r="I9" s="644"/>
      <c r="J9" s="78">
        <f>'Data Entry'!F7</f>
        <v>0</v>
      </c>
      <c r="K9" s="620">
        <f>'Data Entry'!F9</f>
        <v>0</v>
      </c>
      <c r="L9" s="621"/>
      <c r="M9" s="621"/>
      <c r="N9" s="621"/>
      <c r="O9" s="621"/>
      <c r="X9" s="608"/>
      <c r="Y9" s="608"/>
      <c r="Z9" s="608"/>
      <c r="AA9" s="608"/>
      <c r="AB9" s="608"/>
      <c r="AC9" s="608"/>
      <c r="AD9" s="608"/>
      <c r="AE9" s="608"/>
      <c r="AF9" s="608"/>
      <c r="AG9" s="608"/>
      <c r="AH9" s="608"/>
      <c r="AI9" s="608"/>
      <c r="AJ9" s="608"/>
      <c r="AK9" s="608"/>
      <c r="AL9" s="608"/>
      <c r="AM9" s="608"/>
      <c r="AN9" s="608"/>
      <c r="AO9" s="608"/>
      <c r="AP9" s="608"/>
    </row>
    <row r="10" spans="1:42" ht="30" customHeight="1" thickBot="1" x14ac:dyDescent="0.45">
      <c r="A10" s="44" t="s">
        <v>79</v>
      </c>
      <c r="B10" s="635">
        <f>'Data Entry'!F13</f>
        <v>0</v>
      </c>
      <c r="C10" s="635"/>
      <c r="D10" s="635"/>
      <c r="E10" s="635"/>
      <c r="F10" s="635"/>
      <c r="G10" s="298"/>
      <c r="H10" s="644" t="s">
        <v>80</v>
      </c>
      <c r="I10" s="644"/>
      <c r="J10" s="78">
        <f>'Data Entry'!F15</f>
        <v>0</v>
      </c>
      <c r="K10" s="620">
        <f>'Data Entry'!F17</f>
        <v>0</v>
      </c>
      <c r="L10" s="621"/>
      <c r="M10" s="621"/>
      <c r="N10" s="621"/>
      <c r="O10" s="621"/>
      <c r="X10" s="608"/>
      <c r="Y10" s="608"/>
      <c r="Z10" s="608"/>
      <c r="AA10" s="608"/>
      <c r="AB10" s="608"/>
      <c r="AC10" s="608"/>
      <c r="AD10" s="608"/>
      <c r="AE10" s="608"/>
      <c r="AF10" s="608"/>
      <c r="AG10" s="608"/>
      <c r="AH10" s="608"/>
      <c r="AI10" s="608"/>
      <c r="AJ10" s="608"/>
      <c r="AK10" s="608"/>
      <c r="AL10" s="608"/>
      <c r="AM10" s="608"/>
      <c r="AN10" s="608"/>
      <c r="AO10" s="608"/>
      <c r="AP10" s="608"/>
    </row>
    <row r="11" spans="1:42" ht="18" customHeight="1" x14ac:dyDescent="0.2">
      <c r="A11" s="40" t="s">
        <v>81</v>
      </c>
      <c r="B11" s="85" t="s">
        <v>82</v>
      </c>
      <c r="C11" s="501"/>
      <c r="D11" s="645">
        <f>B9</f>
        <v>0</v>
      </c>
      <c r="E11" s="646"/>
      <c r="F11" s="647"/>
      <c r="G11" s="81" t="s">
        <v>108</v>
      </c>
      <c r="H11" s="84"/>
      <c r="I11" s="81" t="s">
        <v>84</v>
      </c>
      <c r="J11" s="504"/>
      <c r="K11" s="622" t="s">
        <v>85</v>
      </c>
      <c r="L11" s="623"/>
      <c r="M11" s="623"/>
      <c r="N11" s="623"/>
      <c r="O11" s="624"/>
      <c r="X11" s="608"/>
      <c r="Y11" s="608"/>
      <c r="Z11" s="608"/>
      <c r="AA11" s="608"/>
      <c r="AB11" s="608"/>
      <c r="AC11" s="608"/>
      <c r="AD11" s="608"/>
      <c r="AE11" s="608"/>
      <c r="AF11" s="608"/>
      <c r="AG11" s="608"/>
      <c r="AH11" s="608"/>
      <c r="AI11" s="608"/>
      <c r="AJ11" s="608"/>
      <c r="AK11" s="608"/>
      <c r="AL11" s="608"/>
      <c r="AM11" s="608"/>
      <c r="AN11" s="608"/>
      <c r="AO11" s="608"/>
      <c r="AP11" s="608"/>
    </row>
    <row r="12" spans="1:42" ht="18" customHeight="1" x14ac:dyDescent="0.2">
      <c r="A12" s="54" t="s">
        <v>81</v>
      </c>
      <c r="B12" s="86" t="s">
        <v>82</v>
      </c>
      <c r="C12" s="502"/>
      <c r="D12" s="638" t="str">
        <f>IF(B10="Thermo Foil"," ",IF(B10="Wood"," ",IF(B10="CF5"," ",IF(B10="Egger"," ",IF(B10="Combination"," ",IF(B10="CF Thermo Foil"," ",IF(B9=B10," ",B10)))))))</f>
        <v xml:space="preserve"> </v>
      </c>
      <c r="E12" s="639"/>
      <c r="F12" s="640"/>
      <c r="G12" s="80" t="s">
        <v>87</v>
      </c>
      <c r="H12" s="95"/>
      <c r="I12" s="80" t="s">
        <v>86</v>
      </c>
      <c r="J12" s="505"/>
      <c r="K12" s="625"/>
      <c r="L12" s="626"/>
      <c r="M12" s="626"/>
      <c r="N12" s="626"/>
      <c r="O12" s="627"/>
      <c r="X12" s="608"/>
      <c r="Y12" s="608"/>
      <c r="Z12" s="608"/>
      <c r="AA12" s="608"/>
      <c r="AB12" s="608"/>
      <c r="AC12" s="608"/>
      <c r="AD12" s="608"/>
      <c r="AE12" s="608"/>
      <c r="AF12" s="608"/>
      <c r="AG12" s="608"/>
      <c r="AH12" s="608"/>
      <c r="AI12" s="608"/>
      <c r="AJ12" s="608"/>
      <c r="AK12" s="608"/>
      <c r="AL12" s="608"/>
      <c r="AM12" s="608"/>
      <c r="AN12" s="608"/>
      <c r="AO12" s="608"/>
      <c r="AP12" s="608"/>
    </row>
    <row r="13" spans="1:42" ht="18" customHeight="1" x14ac:dyDescent="0.2">
      <c r="A13" s="54" t="s">
        <v>81</v>
      </c>
      <c r="B13" s="86" t="s">
        <v>82</v>
      </c>
      <c r="C13" s="502"/>
      <c r="D13" s="638"/>
      <c r="E13" s="639"/>
      <c r="F13" s="640"/>
      <c r="G13" s="82" t="s">
        <v>12</v>
      </c>
      <c r="H13" s="83"/>
      <c r="I13" s="80" t="s">
        <v>6</v>
      </c>
      <c r="J13" s="506"/>
      <c r="K13" s="617">
        <f>'Data Entry'!F1</f>
        <v>0</v>
      </c>
      <c r="L13" s="618"/>
      <c r="M13" s="618"/>
      <c r="N13" s="618"/>
      <c r="O13" s="619"/>
      <c r="T13" s="53"/>
      <c r="X13" s="608"/>
      <c r="Y13" s="608"/>
      <c r="Z13" s="608"/>
      <c r="AA13" s="608"/>
      <c r="AB13" s="608"/>
      <c r="AC13" s="608"/>
      <c r="AD13" s="608"/>
      <c r="AE13" s="608"/>
      <c r="AF13" s="608"/>
      <c r="AG13" s="608"/>
      <c r="AH13" s="608"/>
      <c r="AI13" s="608"/>
      <c r="AJ13" s="608"/>
      <c r="AK13" s="608"/>
      <c r="AL13" s="608"/>
      <c r="AM13" s="608"/>
      <c r="AN13" s="608"/>
      <c r="AO13" s="608"/>
      <c r="AP13" s="608"/>
    </row>
    <row r="14" spans="1:42" ht="18" customHeight="1" thickBot="1" x14ac:dyDescent="0.25">
      <c r="A14" s="56" t="s">
        <v>81</v>
      </c>
      <c r="B14" s="87" t="s">
        <v>82</v>
      </c>
      <c r="C14" s="503"/>
      <c r="D14" s="641"/>
      <c r="E14" s="642"/>
      <c r="F14" s="643"/>
      <c r="G14" s="79" t="s">
        <v>87</v>
      </c>
      <c r="H14" s="508"/>
      <c r="I14" s="79" t="s">
        <v>87</v>
      </c>
      <c r="J14" s="507"/>
      <c r="K14" s="617"/>
      <c r="L14" s="618"/>
      <c r="M14" s="618"/>
      <c r="N14" s="618"/>
      <c r="O14" s="619"/>
      <c r="X14" s="608"/>
      <c r="Y14" s="608"/>
      <c r="Z14" s="608"/>
      <c r="AA14" s="608"/>
      <c r="AB14" s="608"/>
      <c r="AC14" s="608"/>
      <c r="AD14" s="608"/>
      <c r="AE14" s="608"/>
      <c r="AF14" s="608"/>
      <c r="AG14" s="608"/>
      <c r="AH14" s="608"/>
      <c r="AI14" s="608"/>
      <c r="AJ14" s="608"/>
      <c r="AK14" s="608"/>
      <c r="AL14" s="608"/>
      <c r="AM14" s="608"/>
      <c r="AN14" s="608"/>
      <c r="AO14" s="608"/>
      <c r="AP14" s="608"/>
    </row>
    <row r="15" spans="1:42" ht="18" customHeight="1" x14ac:dyDescent="0.3">
      <c r="A15" s="52" t="s">
        <v>88</v>
      </c>
      <c r="B15" s="694" t="str">
        <f>IF('Data Entry'!B17="Special Order",'Work Required Grid'!F16,"N / A")</f>
        <v>N / A</v>
      </c>
      <c r="C15" s="695"/>
      <c r="D15" s="37">
        <f>IF('Data Entry'!B17="Special Order","("&amp;TEXT(B15,"dddd")&amp;")",)</f>
        <v>0</v>
      </c>
      <c r="E15" s="672" t="s">
        <v>89</v>
      </c>
      <c r="F15" s="673"/>
      <c r="G15" s="63" t="s">
        <v>90</v>
      </c>
      <c r="H15" s="680" t="s">
        <v>91</v>
      </c>
      <c r="I15" s="681"/>
      <c r="J15" s="676">
        <f>IF('Data Entry'!B25="Yes",'Modify Here'!G1+199,'Modify Here'!G1)</f>
        <v>0</v>
      </c>
      <c r="K15" s="650" t="str">
        <f ca="1">IF(ISBLANK('Data Entry'!F3),"         Completed by: ____________________                           Date:  _____ / _____",CONCATENATE("      Engineered by: "&amp;PROPER('Data Entry'!F3)&amp;" on "&amp;TEXT(TODAY(),"dddd, mmmm dd, yyyy")))</f>
        <v xml:space="preserve">      Engineered by: Scott on Monday, May 18, 2026</v>
      </c>
      <c r="L15" s="651"/>
      <c r="M15" s="651"/>
      <c r="N15" s="651"/>
      <c r="O15" s="652"/>
      <c r="X15" s="608"/>
      <c r="Y15" s="608"/>
      <c r="Z15" s="608"/>
      <c r="AA15" s="608"/>
      <c r="AB15" s="608"/>
      <c r="AC15" s="608"/>
      <c r="AD15" s="608"/>
      <c r="AE15" s="608"/>
      <c r="AF15" s="608"/>
      <c r="AG15" s="608"/>
      <c r="AH15" s="608"/>
      <c r="AI15" s="608"/>
      <c r="AJ15" s="608"/>
      <c r="AK15" s="608"/>
      <c r="AL15" s="608"/>
      <c r="AM15" s="608"/>
      <c r="AN15" s="608"/>
      <c r="AO15" s="608"/>
      <c r="AP15" s="608"/>
    </row>
    <row r="16" spans="1:42" ht="18" customHeight="1" thickBot="1" x14ac:dyDescent="0.35">
      <c r="A16" s="52" t="s">
        <v>92</v>
      </c>
      <c r="B16" s="696">
        <f ca="1">'Work Required Grid'!G16</f>
        <v>46154</v>
      </c>
      <c r="C16" s="697"/>
      <c r="D16" s="37" t="str">
        <f ca="1">"("&amp;TEXT(B16,"dddd")&amp;")"</f>
        <v>(Tuesday)</v>
      </c>
      <c r="E16" s="674"/>
      <c r="F16" s="675"/>
      <c r="G16" s="64" t="s">
        <v>93</v>
      </c>
      <c r="H16" s="678" t="s">
        <v>94</v>
      </c>
      <c r="I16" s="679"/>
      <c r="J16" s="677"/>
      <c r="K16" s="653"/>
      <c r="L16" s="654"/>
      <c r="M16" s="654"/>
      <c r="N16" s="654"/>
      <c r="O16" s="655"/>
      <c r="X16" s="608"/>
      <c r="Y16" s="608"/>
      <c r="Z16" s="608"/>
      <c r="AA16" s="608"/>
      <c r="AB16" s="608"/>
      <c r="AC16" s="608"/>
      <c r="AD16" s="608"/>
      <c r="AE16" s="608"/>
      <c r="AF16" s="608"/>
      <c r="AG16" s="608"/>
      <c r="AH16" s="608"/>
      <c r="AI16" s="608"/>
      <c r="AJ16" s="608"/>
      <c r="AK16" s="608"/>
      <c r="AL16" s="608"/>
      <c r="AM16" s="608"/>
      <c r="AN16" s="608"/>
      <c r="AO16" s="608"/>
      <c r="AP16" s="608"/>
    </row>
    <row r="17" spans="1:42" ht="18" customHeight="1" x14ac:dyDescent="0.2">
      <c r="A17" s="52" t="s">
        <v>95</v>
      </c>
      <c r="B17" s="696">
        <f ca="1">'Work Required Grid'!H16</f>
        <v>46156</v>
      </c>
      <c r="C17" s="697"/>
      <c r="D17" s="37" t="str">
        <f ca="1">"("&amp;TEXT(B17,"dddd")&amp;")"</f>
        <v>(Thursday)</v>
      </c>
      <c r="E17" s="659" t="s">
        <v>96</v>
      </c>
      <c r="F17" s="660"/>
      <c r="G17" s="660"/>
      <c r="H17" s="660"/>
      <c r="I17" s="660"/>
      <c r="J17" s="660"/>
      <c r="K17" s="660"/>
      <c r="L17" s="661"/>
      <c r="M17" s="661"/>
      <c r="N17" s="661"/>
      <c r="O17" s="662"/>
      <c r="X17" s="608"/>
      <c r="Y17" s="608"/>
      <c r="Z17" s="608"/>
      <c r="AA17" s="608"/>
      <c r="AB17" s="608"/>
      <c r="AC17" s="608"/>
      <c r="AD17" s="608"/>
      <c r="AE17" s="608"/>
      <c r="AF17" s="608"/>
      <c r="AG17" s="608"/>
      <c r="AH17" s="608"/>
      <c r="AI17" s="608"/>
      <c r="AJ17" s="608"/>
      <c r="AK17" s="608"/>
      <c r="AL17" s="608"/>
      <c r="AM17" s="608"/>
      <c r="AN17" s="608"/>
      <c r="AO17" s="608"/>
      <c r="AP17" s="608"/>
    </row>
    <row r="18" spans="1:42" ht="18" customHeight="1" x14ac:dyDescent="0.2">
      <c r="A18" s="52" t="s">
        <v>97</v>
      </c>
      <c r="B18" s="696">
        <f ca="1">'Work Required Grid'!K16</f>
        <v>46157</v>
      </c>
      <c r="C18" s="697"/>
      <c r="D18" s="37" t="str">
        <f ca="1">"("&amp;TEXT(B18,"dddd")&amp;")"</f>
        <v>(Friday)</v>
      </c>
      <c r="E18" s="682" t="s">
        <v>292</v>
      </c>
      <c r="F18" s="683"/>
      <c r="G18" s="683"/>
      <c r="H18" s="683"/>
      <c r="I18" s="683"/>
      <c r="J18" s="683"/>
      <c r="K18" s="683"/>
      <c r="L18" s="684"/>
      <c r="M18" s="684"/>
      <c r="N18" s="684"/>
      <c r="O18" s="685"/>
      <c r="X18" s="608"/>
      <c r="Y18" s="608"/>
      <c r="Z18" s="608"/>
      <c r="AA18" s="608"/>
      <c r="AB18" s="608"/>
      <c r="AC18" s="608"/>
      <c r="AD18" s="608"/>
      <c r="AE18" s="608"/>
      <c r="AF18" s="608"/>
      <c r="AG18" s="608"/>
      <c r="AH18" s="608"/>
      <c r="AI18" s="608"/>
      <c r="AJ18" s="608"/>
      <c r="AK18" s="608"/>
      <c r="AL18" s="608"/>
      <c r="AM18" s="608"/>
      <c r="AN18" s="608"/>
      <c r="AO18" s="608"/>
      <c r="AP18" s="608"/>
    </row>
    <row r="19" spans="1:42" ht="18" customHeight="1" x14ac:dyDescent="0.2">
      <c r="A19" s="52" t="s">
        <v>98</v>
      </c>
      <c r="B19" s="696">
        <f ca="1">'Work Required Grid'!J16</f>
        <v>46157</v>
      </c>
      <c r="C19" s="697"/>
      <c r="D19" s="37" t="str">
        <f ca="1">"("&amp;TEXT(B19,"dddd")&amp;")"</f>
        <v>(Friday)</v>
      </c>
      <c r="E19" s="686"/>
      <c r="F19" s="687"/>
      <c r="G19" s="687"/>
      <c r="H19" s="687"/>
      <c r="I19" s="687"/>
      <c r="J19" s="687"/>
      <c r="K19" s="687"/>
      <c r="L19" s="688"/>
      <c r="M19" s="688"/>
      <c r="N19" s="688"/>
      <c r="O19" s="689"/>
      <c r="X19" s="608"/>
      <c r="Y19" s="608"/>
      <c r="Z19" s="608"/>
      <c r="AA19" s="608"/>
      <c r="AB19" s="608"/>
      <c r="AC19" s="608"/>
      <c r="AD19" s="608"/>
      <c r="AE19" s="608"/>
      <c r="AF19" s="608"/>
      <c r="AG19" s="608"/>
      <c r="AH19" s="608"/>
      <c r="AI19" s="608"/>
      <c r="AJ19" s="608"/>
      <c r="AK19" s="608"/>
      <c r="AL19" s="608"/>
      <c r="AM19" s="608"/>
      <c r="AN19" s="608"/>
      <c r="AO19" s="608"/>
      <c r="AP19" s="608"/>
    </row>
    <row r="20" spans="1:42" ht="18" customHeight="1" x14ac:dyDescent="0.2">
      <c r="A20" s="52" t="s">
        <v>99</v>
      </c>
      <c r="B20" s="696" t="str">
        <f>IF('Data Entry'!B21="yes",'Work Required Grid'!M16,"N / A")</f>
        <v>N / A</v>
      </c>
      <c r="C20" s="697"/>
      <c r="D20" s="37">
        <f>IF('Data Entry'!B21="yes","("&amp;TEXT(B20,"dddd")&amp;")",)</f>
        <v>0</v>
      </c>
      <c r="E20" s="686"/>
      <c r="F20" s="687"/>
      <c r="G20" s="687"/>
      <c r="H20" s="687"/>
      <c r="I20" s="687"/>
      <c r="J20" s="687"/>
      <c r="K20" s="687"/>
      <c r="L20" s="688"/>
      <c r="M20" s="688"/>
      <c r="N20" s="688"/>
      <c r="O20" s="689"/>
      <c r="X20" s="608"/>
      <c r="Y20" s="608"/>
      <c r="Z20" s="608"/>
      <c r="AA20" s="608"/>
      <c r="AB20" s="608"/>
      <c r="AC20" s="608"/>
      <c r="AD20" s="608"/>
      <c r="AE20" s="608"/>
      <c r="AF20" s="608"/>
      <c r="AG20" s="608"/>
      <c r="AH20" s="608"/>
      <c r="AI20" s="608"/>
      <c r="AJ20" s="608"/>
      <c r="AK20" s="608"/>
      <c r="AL20" s="608"/>
      <c r="AM20" s="608"/>
      <c r="AN20" s="608"/>
      <c r="AO20" s="608"/>
      <c r="AP20" s="608"/>
    </row>
    <row r="21" spans="1:42" ht="18" customHeight="1" x14ac:dyDescent="0.2">
      <c r="A21" s="52" t="s">
        <v>100</v>
      </c>
      <c r="B21" s="696" t="str">
        <f>IF('Data Entry'!B19="yes",'Work Required Grid'!N16,"N / A")</f>
        <v>N / A</v>
      </c>
      <c r="C21" s="697"/>
      <c r="D21" s="37">
        <f>IF('Data Entry'!B19="yes","("&amp;TEXT(B21,"dddd")&amp;")",)</f>
        <v>0</v>
      </c>
      <c r="E21" s="686"/>
      <c r="F21" s="687"/>
      <c r="G21" s="687"/>
      <c r="H21" s="687"/>
      <c r="I21" s="687"/>
      <c r="J21" s="687"/>
      <c r="K21" s="687"/>
      <c r="L21" s="688"/>
      <c r="M21" s="688"/>
      <c r="N21" s="688"/>
      <c r="O21" s="689"/>
      <c r="X21" s="608"/>
      <c r="Y21" s="608"/>
      <c r="Z21" s="608"/>
      <c r="AA21" s="608"/>
      <c r="AB21" s="608"/>
      <c r="AC21" s="608"/>
      <c r="AD21" s="608"/>
      <c r="AE21" s="608"/>
      <c r="AF21" s="608"/>
      <c r="AG21" s="608"/>
      <c r="AH21" s="608"/>
      <c r="AI21" s="608"/>
      <c r="AJ21" s="608"/>
      <c r="AK21" s="608"/>
      <c r="AL21" s="608"/>
      <c r="AM21" s="608"/>
      <c r="AN21" s="608"/>
      <c r="AO21" s="608"/>
      <c r="AP21" s="608"/>
    </row>
    <row r="22" spans="1:42" ht="18" customHeight="1" thickBot="1" x14ac:dyDescent="0.25">
      <c r="A22" s="52" t="s">
        <v>101</v>
      </c>
      <c r="B22" s="760">
        <f ca="1">'Work Required Grid'!O16</f>
        <v>46158</v>
      </c>
      <c r="C22" s="761"/>
      <c r="D22" s="37" t="str">
        <f ca="1">"("&amp;TEXT(B22,"dddd")&amp;")"</f>
        <v>(Saturday)</v>
      </c>
      <c r="E22" s="686"/>
      <c r="F22" s="687"/>
      <c r="G22" s="687"/>
      <c r="H22" s="687"/>
      <c r="I22" s="687"/>
      <c r="J22" s="687"/>
      <c r="K22" s="687"/>
      <c r="L22" s="688"/>
      <c r="M22" s="688"/>
      <c r="N22" s="688"/>
      <c r="O22" s="689"/>
      <c r="X22" s="608"/>
      <c r="Y22" s="608"/>
      <c r="Z22" s="608"/>
      <c r="AA22" s="608"/>
      <c r="AB22" s="608"/>
      <c r="AC22" s="608"/>
      <c r="AD22" s="608"/>
      <c r="AE22" s="608"/>
      <c r="AF22" s="608"/>
      <c r="AG22" s="608"/>
      <c r="AH22" s="608"/>
      <c r="AI22" s="608"/>
      <c r="AJ22" s="608"/>
      <c r="AK22" s="608"/>
      <c r="AL22" s="608"/>
      <c r="AM22" s="608"/>
      <c r="AN22" s="608"/>
      <c r="AO22" s="608"/>
      <c r="AP22" s="608"/>
    </row>
    <row r="23" spans="1:42" ht="18" customHeight="1" x14ac:dyDescent="0.2">
      <c r="A23" s="656" t="s">
        <v>102</v>
      </c>
      <c r="B23" s="657"/>
      <c r="C23" s="658"/>
      <c r="D23" s="658"/>
      <c r="E23" s="686"/>
      <c r="F23" s="687"/>
      <c r="G23" s="687"/>
      <c r="H23" s="687"/>
      <c r="I23" s="687"/>
      <c r="J23" s="687"/>
      <c r="K23" s="687"/>
      <c r="L23" s="688"/>
      <c r="M23" s="688"/>
      <c r="N23" s="688"/>
      <c r="O23" s="689"/>
      <c r="X23" s="608"/>
      <c r="Y23" s="608"/>
      <c r="Z23" s="608"/>
      <c r="AA23" s="608"/>
      <c r="AB23" s="608"/>
      <c r="AC23" s="608"/>
      <c r="AD23" s="608"/>
      <c r="AE23" s="608"/>
      <c r="AF23" s="608"/>
      <c r="AG23" s="608"/>
      <c r="AH23" s="608"/>
      <c r="AI23" s="608"/>
      <c r="AJ23" s="608"/>
      <c r="AK23" s="608"/>
      <c r="AL23" s="608"/>
      <c r="AM23" s="608"/>
      <c r="AN23" s="608"/>
      <c r="AO23" s="608"/>
      <c r="AP23" s="608"/>
    </row>
    <row r="24" spans="1:42" ht="33.75" customHeight="1" x14ac:dyDescent="0.2">
      <c r="A24" s="77" t="str">
        <f>IF('Data Entry'!B15="","","Hinge Type")</f>
        <v/>
      </c>
      <c r="B24" s="698">
        <f>'Data Entry'!B15</f>
        <v>0</v>
      </c>
      <c r="C24" s="699"/>
      <c r="D24" s="700"/>
      <c r="E24" s="686"/>
      <c r="F24" s="687"/>
      <c r="G24" s="687"/>
      <c r="H24" s="687"/>
      <c r="I24" s="687"/>
      <c r="J24" s="687"/>
      <c r="K24" s="687"/>
      <c r="L24" s="688"/>
      <c r="M24" s="688"/>
      <c r="N24" s="688"/>
      <c r="O24" s="689"/>
      <c r="X24" s="608"/>
      <c r="Y24" s="608"/>
      <c r="Z24" s="608"/>
      <c r="AA24" s="608"/>
      <c r="AB24" s="608"/>
      <c r="AC24" s="608"/>
      <c r="AD24" s="608"/>
      <c r="AE24" s="608"/>
      <c r="AF24" s="608"/>
      <c r="AG24" s="608"/>
      <c r="AH24" s="608"/>
      <c r="AI24" s="608"/>
      <c r="AJ24" s="608"/>
      <c r="AK24" s="608"/>
      <c r="AL24" s="608"/>
      <c r="AM24" s="608"/>
      <c r="AN24" s="608"/>
      <c r="AO24" s="608"/>
      <c r="AP24" s="608"/>
    </row>
    <row r="25" spans="1:42" ht="23.25" customHeight="1" x14ac:dyDescent="0.2">
      <c r="A25" s="663" t="s">
        <v>103</v>
      </c>
      <c r="B25" s="664"/>
      <c r="C25" s="665"/>
      <c r="D25" s="666"/>
      <c r="E25" s="686"/>
      <c r="F25" s="687"/>
      <c r="G25" s="687"/>
      <c r="H25" s="687"/>
      <c r="I25" s="687"/>
      <c r="J25" s="687"/>
      <c r="K25" s="687"/>
      <c r="L25" s="688"/>
      <c r="M25" s="688"/>
      <c r="N25" s="688"/>
      <c r="O25" s="689"/>
      <c r="X25" s="608"/>
      <c r="Y25" s="608"/>
      <c r="Z25" s="608"/>
      <c r="AA25" s="608"/>
      <c r="AB25" s="608"/>
      <c r="AC25" s="608"/>
      <c r="AD25" s="608"/>
      <c r="AE25" s="608"/>
      <c r="AF25" s="608"/>
      <c r="AG25" s="608"/>
      <c r="AH25" s="608"/>
      <c r="AI25" s="608"/>
      <c r="AJ25" s="608"/>
      <c r="AK25" s="608"/>
      <c r="AL25" s="608"/>
      <c r="AM25" s="608"/>
      <c r="AN25" s="608"/>
      <c r="AO25" s="608"/>
      <c r="AP25" s="608"/>
    </row>
    <row r="26" spans="1:42" ht="32.25" customHeight="1" x14ac:dyDescent="0.2">
      <c r="A26" s="667"/>
      <c r="B26" s="631"/>
      <c r="C26" s="631"/>
      <c r="D26" s="668"/>
      <c r="E26" s="686"/>
      <c r="F26" s="687"/>
      <c r="G26" s="687"/>
      <c r="H26" s="687"/>
      <c r="I26" s="687"/>
      <c r="J26" s="687"/>
      <c r="K26" s="687"/>
      <c r="L26" s="688"/>
      <c r="M26" s="688"/>
      <c r="N26" s="688"/>
      <c r="O26" s="689"/>
      <c r="X26" s="608"/>
      <c r="Y26" s="608"/>
      <c r="Z26" s="608"/>
      <c r="AA26" s="608"/>
      <c r="AB26" s="608"/>
      <c r="AC26" s="608"/>
      <c r="AD26" s="608"/>
      <c r="AE26" s="608"/>
      <c r="AF26" s="608"/>
      <c r="AG26" s="608"/>
      <c r="AH26" s="608"/>
      <c r="AI26" s="608"/>
      <c r="AJ26" s="608"/>
      <c r="AK26" s="608"/>
      <c r="AL26" s="608"/>
      <c r="AM26" s="608"/>
      <c r="AN26" s="608"/>
      <c r="AO26" s="608"/>
      <c r="AP26" s="608"/>
    </row>
    <row r="27" spans="1:42" ht="81.75" customHeight="1" thickBot="1" x14ac:dyDescent="0.25">
      <c r="A27" s="669"/>
      <c r="B27" s="670"/>
      <c r="C27" s="670"/>
      <c r="D27" s="671"/>
      <c r="E27" s="690"/>
      <c r="F27" s="691"/>
      <c r="G27" s="691"/>
      <c r="H27" s="691"/>
      <c r="I27" s="691"/>
      <c r="J27" s="691"/>
      <c r="K27" s="691"/>
      <c r="L27" s="692"/>
      <c r="M27" s="692"/>
      <c r="N27" s="692"/>
      <c r="O27" s="693"/>
      <c r="R27" s="32" t="s">
        <v>43</v>
      </c>
      <c r="X27" s="608"/>
      <c r="Y27" s="608"/>
      <c r="Z27" s="608"/>
      <c r="AA27" s="608"/>
      <c r="AB27" s="608"/>
      <c r="AC27" s="608"/>
      <c r="AD27" s="608"/>
      <c r="AE27" s="608"/>
      <c r="AF27" s="608"/>
      <c r="AG27" s="608"/>
      <c r="AH27" s="608"/>
      <c r="AI27" s="608"/>
      <c r="AJ27" s="608"/>
      <c r="AK27" s="608"/>
      <c r="AL27" s="608"/>
      <c r="AM27" s="608"/>
      <c r="AN27" s="608"/>
      <c r="AO27" s="608"/>
      <c r="AP27" s="608"/>
    </row>
    <row r="28" spans="1:42" s="50" customFormat="1" ht="42" customHeight="1" x14ac:dyDescent="0.75">
      <c r="A28" s="648" t="s">
        <v>104</v>
      </c>
      <c r="B28" s="648"/>
      <c r="C28" s="648"/>
      <c r="D28" s="648"/>
      <c r="E28" s="648"/>
      <c r="F28" s="648"/>
      <c r="G28" s="648"/>
      <c r="H28" s="648"/>
      <c r="I28" s="648"/>
      <c r="J28" s="648"/>
      <c r="K28" s="648" t="str">
        <f>IF('Data Entry'!B11="Yes","COSTCO","")</f>
        <v/>
      </c>
      <c r="L28" s="649"/>
      <c r="M28" s="649"/>
      <c r="N28" s="649"/>
      <c r="O28" s="649"/>
      <c r="X28" s="608"/>
      <c r="Y28" s="608"/>
      <c r="Z28" s="608"/>
      <c r="AA28" s="608"/>
      <c r="AB28" s="608"/>
      <c r="AC28" s="608"/>
      <c r="AD28" s="608"/>
      <c r="AE28" s="608"/>
      <c r="AF28" s="608"/>
      <c r="AG28" s="608"/>
      <c r="AH28" s="608"/>
      <c r="AI28" s="608"/>
      <c r="AJ28" s="608"/>
      <c r="AK28" s="608"/>
      <c r="AL28" s="608"/>
      <c r="AM28" s="608"/>
      <c r="AN28" s="608"/>
      <c r="AO28" s="608"/>
      <c r="AP28" s="608"/>
    </row>
    <row r="29" spans="1:42" s="50" customFormat="1" ht="399" customHeight="1" thickBot="1" x14ac:dyDescent="0.8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</row>
    <row r="30" spans="1:42" x14ac:dyDescent="0.2">
      <c r="A30" s="744" t="s">
        <v>105</v>
      </c>
      <c r="B30" s="745"/>
      <c r="C30" s="745"/>
      <c r="D30" s="745"/>
      <c r="E30" s="745"/>
      <c r="F30" s="745"/>
      <c r="G30" s="745"/>
      <c r="H30" s="745"/>
      <c r="I30" s="745"/>
      <c r="J30" s="745"/>
      <c r="K30" s="745"/>
      <c r="L30" s="745"/>
      <c r="M30" s="745"/>
      <c r="N30" s="745"/>
      <c r="O30" s="746"/>
    </row>
    <row r="31" spans="1:42" ht="12" thickBot="1" x14ac:dyDescent="0.25">
      <c r="A31" s="747"/>
      <c r="B31" s="748"/>
      <c r="C31" s="748"/>
      <c r="D31" s="748"/>
      <c r="E31" s="748"/>
      <c r="F31" s="748"/>
      <c r="G31" s="748"/>
      <c r="H31" s="748"/>
      <c r="I31" s="748"/>
      <c r="J31" s="748"/>
      <c r="K31" s="748"/>
      <c r="L31" s="748"/>
      <c r="M31" s="748"/>
      <c r="N31" s="748"/>
      <c r="O31" s="749"/>
    </row>
    <row r="32" spans="1:42" x14ac:dyDescent="0.2">
      <c r="J32" s="742"/>
      <c r="K32" s="742"/>
    </row>
    <row r="33" spans="1:15" ht="30" x14ac:dyDescent="0.2">
      <c r="E33" s="34" t="s">
        <v>48</v>
      </c>
      <c r="F33" s="743" t="str">
        <f>IF('Data Entry'!B71&gt;0,"# "&amp;'Data Entry'!B71,"")</f>
        <v/>
      </c>
      <c r="G33" s="743"/>
    </row>
    <row r="34" spans="1:15" ht="60" x14ac:dyDescent="0.2">
      <c r="E34" s="34" t="s">
        <v>47</v>
      </c>
      <c r="F34" s="710" t="str">
        <f>IF(ISTEXT('Data Entry'!B73),PROPER('Data Entry'!B73),"")</f>
        <v/>
      </c>
      <c r="G34" s="710"/>
      <c r="H34" s="710"/>
      <c r="I34" s="710"/>
      <c r="J34" s="710"/>
      <c r="K34" s="710"/>
      <c r="L34" s="710"/>
      <c r="M34" s="710"/>
      <c r="N34" s="710"/>
    </row>
    <row r="35" spans="1:15" ht="26.25" x14ac:dyDescent="0.2">
      <c r="A35" s="756" t="s">
        <v>76</v>
      </c>
      <c r="B35" s="756"/>
      <c r="C35" s="756"/>
      <c r="D35" s="757" t="str">
        <f>IF('Data Entry'!B67,'Data Entry'!B67,"")</f>
        <v/>
      </c>
      <c r="E35" s="757"/>
      <c r="F35" s="757"/>
      <c r="G35" s="757"/>
      <c r="H35" s="756" t="s">
        <v>33</v>
      </c>
      <c r="I35" s="756"/>
      <c r="J35" s="709">
        <f>'Data Entry'!F84</f>
        <v>0</v>
      </c>
      <c r="K35" s="709"/>
      <c r="L35" s="709"/>
      <c r="M35" s="709"/>
      <c r="N35" s="709"/>
      <c r="O35" s="709"/>
    </row>
    <row r="36" spans="1:15" ht="30" x14ac:dyDescent="0.4">
      <c r="A36" s="34" t="s">
        <v>106</v>
      </c>
      <c r="B36" s="34"/>
      <c r="C36" s="738">
        <f>'Data Entry'!F70</f>
        <v>0</v>
      </c>
      <c r="D36" s="738"/>
      <c r="E36" s="738"/>
      <c r="F36" s="738"/>
      <c r="G36" s="738"/>
      <c r="H36" s="739" t="s">
        <v>78</v>
      </c>
      <c r="I36" s="739"/>
      <c r="J36" s="33">
        <f>'Data Entry'!F72</f>
        <v>0</v>
      </c>
      <c r="K36" s="758">
        <f>'Data Entry'!F74</f>
        <v>0</v>
      </c>
      <c r="L36" s="759"/>
      <c r="M36" s="759"/>
      <c r="N36" s="759"/>
      <c r="O36" s="759"/>
    </row>
    <row r="37" spans="1:15" ht="21.75" thickBot="1" x14ac:dyDescent="0.4">
      <c r="A37" s="34" t="s">
        <v>79</v>
      </c>
      <c r="B37" s="34"/>
      <c r="C37" s="740">
        <f>'Data Entry'!F78</f>
        <v>0</v>
      </c>
      <c r="D37" s="740"/>
      <c r="E37" s="740"/>
      <c r="F37" s="740"/>
      <c r="G37" s="740"/>
      <c r="H37" s="741" t="s">
        <v>80</v>
      </c>
      <c r="I37" s="741"/>
      <c r="J37" s="35">
        <f>'Data Entry'!F80</f>
        <v>0</v>
      </c>
      <c r="K37" s="754">
        <f>'Data Entry'!F82</f>
        <v>0</v>
      </c>
      <c r="L37" s="755"/>
      <c r="M37" s="755"/>
      <c r="N37" s="755"/>
      <c r="O37" s="755"/>
    </row>
    <row r="38" spans="1:15" ht="12.75" x14ac:dyDescent="0.2">
      <c r="A38" s="38" t="s">
        <v>107</v>
      </c>
      <c r="B38" s="76"/>
      <c r="C38" s="39"/>
      <c r="D38" s="40" t="s">
        <v>108</v>
      </c>
      <c r="E38" s="752"/>
      <c r="F38" s="753"/>
      <c r="G38" s="38" t="s">
        <v>12</v>
      </c>
      <c r="H38" s="41"/>
      <c r="I38" s="38" t="s">
        <v>109</v>
      </c>
      <c r="J38" s="39"/>
      <c r="K38" s="625" t="s">
        <v>85</v>
      </c>
      <c r="L38" s="626"/>
      <c r="M38" s="626"/>
      <c r="N38" s="626"/>
      <c r="O38" s="626"/>
    </row>
    <row r="39" spans="1:15" ht="12.75" x14ac:dyDescent="0.2">
      <c r="A39" s="54" t="s">
        <v>110</v>
      </c>
      <c r="B39" s="74"/>
      <c r="C39" s="55"/>
      <c r="D39" s="54" t="s">
        <v>111</v>
      </c>
      <c r="E39" s="736"/>
      <c r="F39" s="737"/>
      <c r="G39" s="54" t="s">
        <v>112</v>
      </c>
      <c r="H39" s="55"/>
      <c r="I39" s="57" t="s">
        <v>113</v>
      </c>
      <c r="J39" s="55"/>
      <c r="K39" s="625"/>
      <c r="L39" s="626"/>
      <c r="M39" s="626"/>
      <c r="N39" s="626"/>
      <c r="O39" s="626"/>
    </row>
    <row r="40" spans="1:15" ht="12.75" x14ac:dyDescent="0.2">
      <c r="A40" s="54" t="s">
        <v>114</v>
      </c>
      <c r="B40" s="74"/>
      <c r="C40" s="55"/>
      <c r="D40" s="54" t="s">
        <v>114</v>
      </c>
      <c r="E40" s="736"/>
      <c r="F40" s="737"/>
      <c r="G40" s="54" t="s">
        <v>114</v>
      </c>
      <c r="H40" s="55"/>
      <c r="I40" s="54" t="s">
        <v>115</v>
      </c>
      <c r="J40" s="55"/>
      <c r="K40" s="617">
        <f>'Data Entry'!F66</f>
        <v>0</v>
      </c>
      <c r="L40" s="618"/>
      <c r="M40" s="618"/>
      <c r="N40" s="618"/>
      <c r="O40" s="618"/>
    </row>
    <row r="41" spans="1:15" ht="13.5" thickBot="1" x14ac:dyDescent="0.25">
      <c r="A41" s="56" t="s">
        <v>87</v>
      </c>
      <c r="B41" s="75"/>
      <c r="C41" s="58"/>
      <c r="D41" s="56" t="s">
        <v>87</v>
      </c>
      <c r="E41" s="750"/>
      <c r="F41" s="751"/>
      <c r="G41" s="56" t="s">
        <v>87</v>
      </c>
      <c r="H41" s="58"/>
      <c r="I41" s="56" t="s">
        <v>114</v>
      </c>
      <c r="J41" s="58"/>
      <c r="K41" s="617"/>
      <c r="L41" s="618"/>
      <c r="M41" s="618"/>
      <c r="N41" s="618"/>
      <c r="O41" s="618"/>
    </row>
    <row r="42" spans="1:15" ht="12.75" x14ac:dyDescent="0.2">
      <c r="A42" s="42"/>
      <c r="B42" s="42"/>
      <c r="D42" s="42"/>
      <c r="E42" s="43"/>
      <c r="F42" s="43"/>
      <c r="G42" s="42"/>
      <c r="I42" s="42"/>
    </row>
    <row r="43" spans="1:15" ht="16.5" x14ac:dyDescent="0.25">
      <c r="A43" s="734" t="s">
        <v>116</v>
      </c>
      <c r="B43" s="734"/>
      <c r="C43" s="734"/>
      <c r="D43" s="734"/>
      <c r="E43" s="735" t="str">
        <f ca="1">IF(ISBLANK('Data Entry'!F68),"         Completed by: ____________________                           Date:  _____ / _____",CONCATENATE("      Engineered by: "&amp;PROPER('Data Entry'!F68)&amp;" on "&amp;TEXT(TODAY(),"dddd, mmmm dd, yyyy")))</f>
        <v xml:space="preserve">         Completed by: ____________________                           Date:  _____ / _____</v>
      </c>
      <c r="F43" s="735"/>
      <c r="G43" s="735"/>
      <c r="H43" s="735"/>
      <c r="I43" s="735"/>
      <c r="J43" s="735"/>
      <c r="M43" s="36"/>
    </row>
  </sheetData>
  <mergeCells count="79">
    <mergeCell ref="B18:C18"/>
    <mergeCell ref="B19:C19"/>
    <mergeCell ref="B20:C20"/>
    <mergeCell ref="B21:C21"/>
    <mergeCell ref="B22:C22"/>
    <mergeCell ref="J32:K32"/>
    <mergeCell ref="F33:G33"/>
    <mergeCell ref="A30:O31"/>
    <mergeCell ref="K40:O41"/>
    <mergeCell ref="E41:F41"/>
    <mergeCell ref="E38:F38"/>
    <mergeCell ref="K38:O39"/>
    <mergeCell ref="E39:F39"/>
    <mergeCell ref="K37:O37"/>
    <mergeCell ref="F34:N34"/>
    <mergeCell ref="A35:C35"/>
    <mergeCell ref="D35:G35"/>
    <mergeCell ref="H35:I35"/>
    <mergeCell ref="J35:O35"/>
    <mergeCell ref="K36:O36"/>
    <mergeCell ref="A43:D43"/>
    <mergeCell ref="E43:J43"/>
    <mergeCell ref="E40:F40"/>
    <mergeCell ref="C36:G36"/>
    <mergeCell ref="H36:I36"/>
    <mergeCell ref="C37:G37"/>
    <mergeCell ref="H37:I37"/>
    <mergeCell ref="A1:J1"/>
    <mergeCell ref="K1:O1"/>
    <mergeCell ref="K3:O3"/>
    <mergeCell ref="J8:O8"/>
    <mergeCell ref="H8:I8"/>
    <mergeCell ref="F7:N7"/>
    <mergeCell ref="D7:E7"/>
    <mergeCell ref="A5:J6"/>
    <mergeCell ref="K5:L6"/>
    <mergeCell ref="M5:M6"/>
    <mergeCell ref="N5:N6"/>
    <mergeCell ref="E4:F4"/>
    <mergeCell ref="O5:O6"/>
    <mergeCell ref="A2:J3"/>
    <mergeCell ref="A4:D4"/>
    <mergeCell ref="G4:H4"/>
    <mergeCell ref="A28:J28"/>
    <mergeCell ref="K28:O28"/>
    <mergeCell ref="K15:O16"/>
    <mergeCell ref="A23:D23"/>
    <mergeCell ref="E17:O17"/>
    <mergeCell ref="A25:D25"/>
    <mergeCell ref="A26:D27"/>
    <mergeCell ref="E15:F16"/>
    <mergeCell ref="J15:J16"/>
    <mergeCell ref="H16:I16"/>
    <mergeCell ref="H15:I15"/>
    <mergeCell ref="E18:O27"/>
    <mergeCell ref="B15:C15"/>
    <mergeCell ref="B16:C16"/>
    <mergeCell ref="B17:C17"/>
    <mergeCell ref="B24:D24"/>
    <mergeCell ref="I4:J4"/>
    <mergeCell ref="D13:F13"/>
    <mergeCell ref="D14:F14"/>
    <mergeCell ref="H9:I9"/>
    <mergeCell ref="H10:I10"/>
    <mergeCell ref="D11:F11"/>
    <mergeCell ref="D12:F12"/>
    <mergeCell ref="B7:C7"/>
    <mergeCell ref="B9:F9"/>
    <mergeCell ref="A8:B8"/>
    <mergeCell ref="C8:F8"/>
    <mergeCell ref="B10:F10"/>
    <mergeCell ref="X1:AP28"/>
    <mergeCell ref="K2:M2"/>
    <mergeCell ref="N2:O2"/>
    <mergeCell ref="L4:O4"/>
    <mergeCell ref="K13:O14"/>
    <mergeCell ref="K9:O9"/>
    <mergeCell ref="K11:O12"/>
    <mergeCell ref="K10:O10"/>
  </mergeCells>
  <conditionalFormatting sqref="F33:F34 F7">
    <cfRule type="expression" dxfId="0" priority="4" stopIfTrue="1">
      <formula>$W$17=1</formula>
    </cfRule>
  </conditionalFormatting>
  <pageMargins left="0.7" right="0.7" top="0.75" bottom="0.75" header="0.3" footer="0.3"/>
  <pageSetup scale="62" fitToHeight="0" orientation="landscape" r:id="rId1"/>
  <headerFooter alignWithMargins="0"/>
  <ignoredErrors>
    <ignoredError xmlns:x16r3="http://schemas.microsoft.com/office/spreadsheetml/2018/08/main" sqref="D11:F11 D14:F14 E12:F12 E13:F13" x16r3:misleadingFormat="1"/>
  </ignoredErrors>
  <drawing r:id="rId2"/>
  <legacyDrawing r:id="rId3"/>
  <controls>
    <mc:AlternateContent xmlns:mc="http://schemas.openxmlformats.org/markup-compatibility/2006">
      <mc:Choice Requires="x14">
        <control shapeId="9226" r:id="rId4" name="CommandButton3">
          <controlPr defaultSize="0" print="0" autoLine="0" autoPict="0" r:id="rId5">
            <anchor moveWithCells="1">
              <from>
                <xdr:col>19</xdr:col>
                <xdr:colOff>38100</xdr:colOff>
                <xdr:row>14</xdr:row>
                <xdr:rowOff>57150</xdr:rowOff>
              </from>
              <to>
                <xdr:col>21</xdr:col>
                <xdr:colOff>466725</xdr:colOff>
                <xdr:row>17</xdr:row>
                <xdr:rowOff>133350</xdr:rowOff>
              </to>
            </anchor>
          </controlPr>
        </control>
      </mc:Choice>
      <mc:Fallback>
        <control shapeId="9226" r:id="rId4" name="CommandButton3"/>
      </mc:Fallback>
    </mc:AlternateContent>
    <mc:AlternateContent xmlns:mc="http://schemas.openxmlformats.org/markup-compatibility/2006">
      <mc:Choice Requires="x14">
        <control shapeId="9225" r:id="rId6" name="CommandButton2">
          <controlPr defaultSize="0" print="0" autoLine="0" autoPict="0" r:id="rId7">
            <anchor moveWithCells="1">
              <from>
                <xdr:col>19</xdr:col>
                <xdr:colOff>47625</xdr:colOff>
                <xdr:row>9</xdr:row>
                <xdr:rowOff>47625</xdr:rowOff>
              </from>
              <to>
                <xdr:col>21</xdr:col>
                <xdr:colOff>476250</xdr:colOff>
                <xdr:row>11</xdr:row>
                <xdr:rowOff>200025</xdr:rowOff>
              </to>
            </anchor>
          </controlPr>
        </control>
      </mc:Choice>
      <mc:Fallback>
        <control shapeId="9225" r:id="rId6" name="CommandButton2"/>
      </mc:Fallback>
    </mc:AlternateContent>
    <mc:AlternateContent xmlns:mc="http://schemas.openxmlformats.org/markup-compatibility/2006">
      <mc:Choice Requires="x14">
        <control shapeId="9224" r:id="rId8" name="CommandButton1">
          <controlPr defaultSize="0" print="0" autoLine="0" autoPict="0" r:id="rId9">
            <anchor moveWithCells="1">
              <from>
                <xdr:col>19</xdr:col>
                <xdr:colOff>0</xdr:colOff>
                <xdr:row>2</xdr:row>
                <xdr:rowOff>561975</xdr:rowOff>
              </from>
              <to>
                <xdr:col>21</xdr:col>
                <xdr:colOff>438150</xdr:colOff>
                <xdr:row>2</xdr:row>
                <xdr:rowOff>1323975</xdr:rowOff>
              </to>
            </anchor>
          </controlPr>
        </control>
      </mc:Choice>
      <mc:Fallback>
        <control shapeId="9224" r:id="rId8" name="CommandButton1"/>
      </mc:Fallback>
    </mc:AlternateContent>
    <mc:AlternateContent xmlns:mc="http://schemas.openxmlformats.org/markup-compatibility/2006">
      <mc:Choice Requires="x14">
        <control shapeId="9227" r:id="rId10" name="CommandButton4">
          <controlPr defaultSize="0" autoLine="0" r:id="rId11">
            <anchor moveWithCells="1">
              <from>
                <xdr:col>19</xdr:col>
                <xdr:colOff>38100</xdr:colOff>
                <xdr:row>20</xdr:row>
                <xdr:rowOff>171450</xdr:rowOff>
              </from>
              <to>
                <xdr:col>21</xdr:col>
                <xdr:colOff>466725</xdr:colOff>
                <xdr:row>23</xdr:row>
                <xdr:rowOff>247650</xdr:rowOff>
              </to>
            </anchor>
          </controlPr>
        </control>
      </mc:Choice>
      <mc:Fallback>
        <control shapeId="9227" r:id="rId10" name="CommandButton4"/>
      </mc:Fallback>
    </mc:AlternateContent>
    <mc:AlternateContent xmlns:mc="http://schemas.openxmlformats.org/markup-compatibility/2006">
      <mc:Choice Requires="x14">
        <control shapeId="9230" r:id="rId12" name="CommandButton5">
          <controlPr defaultSize="0" autoLine="0" r:id="rId13">
            <anchor moveWithCells="1">
              <from>
                <xdr:col>19</xdr:col>
                <xdr:colOff>85725</xdr:colOff>
                <xdr:row>24</xdr:row>
                <xdr:rowOff>133350</xdr:rowOff>
              </from>
              <to>
                <xdr:col>21</xdr:col>
                <xdr:colOff>476250</xdr:colOff>
                <xdr:row>26</xdr:row>
                <xdr:rowOff>295275</xdr:rowOff>
              </to>
            </anchor>
          </controlPr>
        </control>
      </mc:Choice>
      <mc:Fallback>
        <control shapeId="9230" r:id="rId12" name="CommandButton5"/>
      </mc:Fallback>
    </mc:AlternateContent>
    <mc:AlternateContent xmlns:mc="http://schemas.openxmlformats.org/markup-compatibility/2006">
      <mc:Choice Requires="x14">
        <control shapeId="9217" r:id="rId14" name="Check Box 1">
          <controlPr defaultSize="0" autoFill="0" autoLine="0" autoPict="0">
            <anchor moveWithCells="1">
              <from>
                <xdr:col>7</xdr:col>
                <xdr:colOff>133350</xdr:colOff>
                <xdr:row>13</xdr:row>
                <xdr:rowOff>228600</xdr:rowOff>
              </from>
              <to>
                <xdr:col>7</xdr:col>
                <xdr:colOff>895350</xdr:colOff>
                <xdr:row>14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5" name="Check Box 2">
          <controlPr defaultSize="0" autoFill="0" autoLine="0" autoPict="0">
            <anchor moveWithCells="1">
              <from>
                <xdr:col>7</xdr:col>
                <xdr:colOff>133350</xdr:colOff>
                <xdr:row>15</xdr:row>
                <xdr:rowOff>0</xdr:rowOff>
              </from>
              <to>
                <xdr:col>7</xdr:col>
                <xdr:colOff>914400</xdr:colOff>
                <xdr:row>15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6" name="Check Box 3">
          <controlPr defaultSize="0" autoFill="0" autoLine="0" autoPict="0">
            <anchor moveWithCells="1">
              <from>
                <xdr:col>6</xdr:col>
                <xdr:colOff>95250</xdr:colOff>
                <xdr:row>14</xdr:row>
                <xdr:rowOff>0</xdr:rowOff>
              </from>
              <to>
                <xdr:col>6</xdr:col>
                <xdr:colOff>866775</xdr:colOff>
                <xdr:row>14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17" name="Check Box 4">
          <controlPr defaultSize="0" autoFill="0" autoLine="0" autoPict="0">
            <anchor moveWithCells="1">
              <from>
                <xdr:col>6</xdr:col>
                <xdr:colOff>95250</xdr:colOff>
                <xdr:row>15</xdr:row>
                <xdr:rowOff>0</xdr:rowOff>
              </from>
              <to>
                <xdr:col>6</xdr:col>
                <xdr:colOff>866775</xdr:colOff>
                <xdr:row>15</xdr:row>
                <xdr:rowOff>200025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warning" showInputMessage="1" showErrorMessage="1" error="Not a Stock Color! Please Check With Ross" xr:uid="{05B5DA98-0413-499D-AE57-32A87C5EA419}">
          <x14:formula1>
            <xm:f>'Data Conversions'!$B:$B</xm:f>
          </x14:formula1>
          <xm:sqref>D11:F14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autoPageBreaks="0" fitToPage="1"/>
  </sheetPr>
  <dimension ref="A1:O131"/>
  <sheetViews>
    <sheetView showZeros="0" zoomScale="80" zoomScaleNormal="80" workbookViewId="0">
      <selection activeCell="B19" sqref="B19"/>
    </sheetView>
  </sheetViews>
  <sheetFormatPr defaultColWidth="9.140625" defaultRowHeight="15.75" x14ac:dyDescent="0.25"/>
  <cols>
    <col min="1" max="1" width="2.85546875" style="131" customWidth="1"/>
    <col min="2" max="2" width="20.7109375" style="130" customWidth="1"/>
    <col min="3" max="3" width="12.7109375" style="131" customWidth="1"/>
    <col min="4" max="4" width="22.7109375" style="131" customWidth="1"/>
    <col min="5" max="5" width="3.140625" style="131" customWidth="1"/>
    <col min="6" max="6" width="2" style="131" customWidth="1"/>
    <col min="7" max="7" width="7.28515625" style="131" customWidth="1"/>
    <col min="8" max="8" width="7.42578125" style="131" customWidth="1"/>
    <col min="9" max="9" width="14.7109375" style="131" customWidth="1"/>
    <col min="10" max="10" width="21.140625" style="131" customWidth="1"/>
    <col min="11" max="11" width="31.28515625" style="131" customWidth="1"/>
    <col min="12" max="12" width="2.85546875" style="131" customWidth="1"/>
    <col min="13" max="13" width="25.7109375" style="131" customWidth="1"/>
    <col min="14" max="14" width="9.140625" style="131" customWidth="1"/>
    <col min="15" max="16384" width="9.140625" style="131"/>
  </cols>
  <sheetData>
    <row r="1" spans="1:11" x14ac:dyDescent="0.25">
      <c r="A1" s="132"/>
      <c r="B1" s="133" t="s">
        <v>43</v>
      </c>
      <c r="C1" s="127"/>
      <c r="D1" s="127"/>
      <c r="E1" s="127"/>
      <c r="F1" s="128"/>
      <c r="G1" s="128"/>
      <c r="H1" s="128"/>
      <c r="I1" s="128"/>
      <c r="J1" s="128"/>
      <c r="K1" s="134" t="s">
        <v>117</v>
      </c>
    </row>
    <row r="2" spans="1:11" x14ac:dyDescent="0.25">
      <c r="A2" s="130"/>
      <c r="B2" s="135" t="s">
        <v>43</v>
      </c>
      <c r="C2" s="136"/>
      <c r="D2" s="136"/>
      <c r="E2" s="136"/>
      <c r="F2" s="136"/>
      <c r="G2" s="136"/>
      <c r="H2" s="136"/>
      <c r="I2" s="136"/>
      <c r="J2" s="136"/>
      <c r="K2" s="137"/>
    </row>
    <row r="3" spans="1:11" ht="15" customHeight="1" x14ac:dyDescent="0.25">
      <c r="A3" s="130"/>
      <c r="B3" s="135" t="s">
        <v>43</v>
      </c>
      <c r="C3" s="136"/>
      <c r="D3" s="136"/>
      <c r="E3" s="136"/>
      <c r="F3" s="136"/>
      <c r="G3" s="136"/>
      <c r="H3" s="136"/>
      <c r="I3" s="136"/>
      <c r="J3" s="136"/>
      <c r="K3" s="137"/>
    </row>
    <row r="4" spans="1:11" ht="15" customHeight="1" x14ac:dyDescent="0.25">
      <c r="A4" s="130"/>
      <c r="B4" s="135"/>
      <c r="C4" s="136"/>
      <c r="D4" s="136"/>
      <c r="E4" s="138"/>
      <c r="F4" s="136"/>
      <c r="G4" s="136"/>
      <c r="H4" s="136"/>
      <c r="I4" s="139" t="s">
        <v>118</v>
      </c>
      <c r="J4" s="762">
        <f ca="1">TODAY()</f>
        <v>46160</v>
      </c>
      <c r="K4" s="763"/>
    </row>
    <row r="5" spans="1:11" ht="15" customHeight="1" x14ac:dyDescent="0.25">
      <c r="A5" s="130"/>
      <c r="B5" s="140"/>
      <c r="C5" s="136"/>
      <c r="D5" s="136"/>
      <c r="E5" s="136"/>
      <c r="F5" s="136"/>
      <c r="G5" s="136"/>
      <c r="H5" s="141"/>
      <c r="I5" s="142"/>
      <c r="J5" s="143"/>
      <c r="K5" s="144"/>
    </row>
    <row r="6" spans="1:11" ht="15" customHeight="1" x14ac:dyDescent="0.25">
      <c r="A6" s="130"/>
      <c r="C6" s="136"/>
      <c r="D6" s="136"/>
      <c r="E6" s="136"/>
      <c r="F6" s="136"/>
      <c r="G6" s="136"/>
      <c r="H6" s="141"/>
      <c r="I6" s="142" t="s">
        <v>119</v>
      </c>
      <c r="J6" s="764">
        <f>'Data Entry'!B5</f>
        <v>0</v>
      </c>
      <c r="K6" s="765"/>
    </row>
    <row r="7" spans="1:11" ht="15" customHeight="1" x14ac:dyDescent="0.25">
      <c r="A7" s="130"/>
      <c r="B7" s="140" t="s">
        <v>120</v>
      </c>
      <c r="C7" s="136"/>
      <c r="D7" s="136"/>
      <c r="E7" s="136"/>
      <c r="F7" s="136"/>
      <c r="G7" s="136"/>
      <c r="H7" s="141"/>
      <c r="I7" s="145"/>
      <c r="J7" s="145"/>
      <c r="K7" s="146"/>
    </row>
    <row r="8" spans="1:11" ht="15" customHeight="1" x14ac:dyDescent="0.25">
      <c r="A8" s="130"/>
      <c r="B8" s="140" t="s">
        <v>121</v>
      </c>
      <c r="C8" s="136"/>
      <c r="D8" s="136"/>
      <c r="E8" s="136"/>
      <c r="F8" s="136"/>
      <c r="G8" s="136"/>
      <c r="H8" s="141"/>
      <c r="I8" s="142" t="s">
        <v>122</v>
      </c>
      <c r="J8" s="775" t="str">
        <f>'Data Entry'!B7&amp;" - "&amp;'Data Entry'!B9</f>
        <v xml:space="preserve"> - </v>
      </c>
      <c r="K8" s="776"/>
    </row>
    <row r="9" spans="1:11" ht="15" customHeight="1" x14ac:dyDescent="0.25">
      <c r="A9" s="130"/>
      <c r="B9" s="446" t="s">
        <v>123</v>
      </c>
      <c r="C9" s="445"/>
      <c r="D9" s="147"/>
      <c r="E9" s="136"/>
      <c r="F9" s="136"/>
      <c r="G9" s="136"/>
      <c r="H9" s="141"/>
      <c r="I9" s="145"/>
      <c r="J9" s="145"/>
      <c r="K9" s="146"/>
    </row>
    <row r="10" spans="1:11" ht="15" customHeight="1" x14ac:dyDescent="0.25">
      <c r="A10" s="130"/>
      <c r="B10" s="140"/>
      <c r="C10" s="136"/>
      <c r="D10" s="136"/>
      <c r="E10" s="136"/>
      <c r="F10" s="136"/>
      <c r="G10" s="136"/>
      <c r="H10" s="772" t="s">
        <v>124</v>
      </c>
      <c r="I10" s="772"/>
      <c r="J10" s="773">
        <f>'Data Entry'!B1</f>
        <v>0</v>
      </c>
      <c r="K10" s="774"/>
    </row>
    <row r="11" spans="1:11" x14ac:dyDescent="0.25">
      <c r="A11" s="130"/>
      <c r="B11" s="148" t="s">
        <v>125</v>
      </c>
      <c r="C11" s="149"/>
      <c r="D11" s="149"/>
      <c r="E11" s="149"/>
      <c r="F11" s="150"/>
      <c r="G11" s="136"/>
      <c r="H11" s="141"/>
      <c r="I11" s="151" t="s">
        <v>126</v>
      </c>
      <c r="J11" s="141"/>
      <c r="K11" s="144"/>
    </row>
    <row r="12" spans="1:11" x14ac:dyDescent="0.25">
      <c r="A12" s="130"/>
      <c r="B12" s="135"/>
      <c r="C12" s="136"/>
      <c r="D12" s="136"/>
      <c r="E12" s="136"/>
      <c r="F12" s="152"/>
      <c r="G12" s="136"/>
      <c r="H12" s="136"/>
      <c r="I12" s="136" t="s">
        <v>43</v>
      </c>
      <c r="J12" s="153" t="s">
        <v>3</v>
      </c>
      <c r="K12" s="154"/>
    </row>
    <row r="13" spans="1:11" ht="20.25" customHeight="1" x14ac:dyDescent="0.25">
      <c r="A13" s="130"/>
      <c r="B13" s="135"/>
      <c r="C13" s="771" t="s">
        <v>127</v>
      </c>
      <c r="D13" s="771"/>
      <c r="E13" s="771"/>
      <c r="F13" s="155"/>
      <c r="G13" s="136"/>
      <c r="H13" s="766" t="s">
        <v>128</v>
      </c>
      <c r="I13" s="766"/>
      <c r="J13" s="153" t="s">
        <v>129</v>
      </c>
      <c r="K13" s="154"/>
    </row>
    <row r="14" spans="1:11" ht="20.25" customHeight="1" x14ac:dyDescent="0.25">
      <c r="A14" s="130"/>
      <c r="B14" s="156"/>
      <c r="C14" s="771"/>
      <c r="D14" s="771"/>
      <c r="E14" s="771"/>
      <c r="F14" s="155"/>
      <c r="G14" s="136"/>
      <c r="H14" s="767" t="str">
        <f>'Data Entry'!F3</f>
        <v>SCOTT</v>
      </c>
      <c r="I14" s="768"/>
      <c r="J14" s="153" t="s">
        <v>130</v>
      </c>
      <c r="K14" s="154"/>
    </row>
    <row r="15" spans="1:11" x14ac:dyDescent="0.25">
      <c r="A15" s="130"/>
      <c r="B15" s="135"/>
      <c r="C15" s="136"/>
      <c r="D15" s="136"/>
      <c r="E15" s="136"/>
      <c r="F15" s="152"/>
      <c r="G15" s="136"/>
      <c r="H15" s="769"/>
      <c r="I15" s="770"/>
      <c r="J15" s="153" t="s">
        <v>131</v>
      </c>
      <c r="K15" s="154"/>
    </row>
    <row r="16" spans="1:11" x14ac:dyDescent="0.25">
      <c r="A16" s="130"/>
      <c r="B16" s="157"/>
      <c r="C16" s="158"/>
      <c r="D16" s="158"/>
      <c r="E16" s="158"/>
      <c r="F16" s="159"/>
      <c r="G16" s="136"/>
      <c r="H16" s="136"/>
      <c r="I16" s="136" t="s">
        <v>43</v>
      </c>
      <c r="J16" s="153" t="s">
        <v>132</v>
      </c>
      <c r="K16" s="154"/>
    </row>
    <row r="17" spans="1:15" x14ac:dyDescent="0.25">
      <c r="A17" s="130"/>
      <c r="B17" s="140"/>
      <c r="C17" s="136"/>
      <c r="D17" s="136"/>
      <c r="E17" s="136"/>
      <c r="F17" s="136"/>
      <c r="G17" s="784"/>
      <c r="H17" s="785"/>
      <c r="I17" s="786"/>
      <c r="J17" s="153" t="s">
        <v>133</v>
      </c>
      <c r="K17" s="154"/>
    </row>
    <row r="18" spans="1:15" x14ac:dyDescent="0.25">
      <c r="A18" s="130"/>
      <c r="B18" s="462" t="s">
        <v>136</v>
      </c>
      <c r="C18" s="463" t="s">
        <v>134</v>
      </c>
      <c r="D18" s="464" t="s">
        <v>135</v>
      </c>
      <c r="E18" s="777" t="s">
        <v>386</v>
      </c>
      <c r="F18" s="778"/>
      <c r="G18" s="779"/>
      <c r="H18" s="779"/>
      <c r="I18" s="779"/>
      <c r="J18" s="780"/>
      <c r="K18" s="465" t="s">
        <v>137</v>
      </c>
    </row>
    <row r="19" spans="1:15" ht="18.75" x14ac:dyDescent="0.25">
      <c r="A19" s="130"/>
      <c r="B19" s="509"/>
      <c r="C19" s="510"/>
      <c r="D19" s="510"/>
      <c r="E19" s="787"/>
      <c r="F19" s="788"/>
      <c r="G19" s="788"/>
      <c r="H19" s="788"/>
      <c r="I19" s="788"/>
      <c r="J19" s="789"/>
      <c r="K19" s="511"/>
      <c r="M19" s="129"/>
      <c r="N19"/>
      <c r="O19" s="97"/>
    </row>
    <row r="20" spans="1:15" ht="18.75" x14ac:dyDescent="0.25">
      <c r="A20" s="130"/>
      <c r="B20" s="512"/>
      <c r="C20" s="513"/>
      <c r="D20" s="513"/>
      <c r="E20" s="781"/>
      <c r="F20" s="782"/>
      <c r="G20" s="782"/>
      <c r="H20" s="782"/>
      <c r="I20" s="782"/>
      <c r="J20" s="783"/>
      <c r="K20" s="516"/>
      <c r="M20" s="68"/>
    </row>
    <row r="21" spans="1:15" ht="18.75" x14ac:dyDescent="0.25">
      <c r="A21" s="130"/>
      <c r="B21" s="512"/>
      <c r="C21" s="513"/>
      <c r="D21" s="513"/>
      <c r="E21" s="781"/>
      <c r="F21" s="782"/>
      <c r="G21" s="782"/>
      <c r="H21" s="782"/>
      <c r="I21" s="782"/>
      <c r="J21" s="783"/>
      <c r="K21" s="516"/>
      <c r="M21" s="68"/>
    </row>
    <row r="22" spans="1:15" ht="18.75" x14ac:dyDescent="0.25">
      <c r="A22" s="130"/>
      <c r="B22" s="512"/>
      <c r="C22" s="513"/>
      <c r="D22" s="513"/>
      <c r="E22" s="781"/>
      <c r="F22" s="782"/>
      <c r="G22" s="782"/>
      <c r="H22" s="782"/>
      <c r="I22" s="782"/>
      <c r="J22" s="783"/>
      <c r="K22" s="516"/>
    </row>
    <row r="23" spans="1:15" ht="18.75" x14ac:dyDescent="0.25">
      <c r="A23" s="130"/>
      <c r="B23" s="512"/>
      <c r="C23" s="513"/>
      <c r="D23" s="513"/>
      <c r="E23" s="781"/>
      <c r="F23" s="782"/>
      <c r="G23" s="782"/>
      <c r="H23" s="782"/>
      <c r="I23" s="782"/>
      <c r="J23" s="783"/>
      <c r="K23" s="516"/>
    </row>
    <row r="24" spans="1:15" ht="18.75" x14ac:dyDescent="0.25">
      <c r="A24" s="130"/>
      <c r="B24" s="512"/>
      <c r="C24" s="513"/>
      <c r="D24" s="513"/>
      <c r="E24" s="781"/>
      <c r="F24" s="782"/>
      <c r="G24" s="782"/>
      <c r="H24" s="782"/>
      <c r="I24" s="782"/>
      <c r="J24" s="783"/>
      <c r="K24" s="516"/>
    </row>
    <row r="25" spans="1:15" ht="18.75" x14ac:dyDescent="0.25">
      <c r="A25" s="130"/>
      <c r="B25" s="512"/>
      <c r="C25" s="513"/>
      <c r="D25" s="513"/>
      <c r="E25" s="781"/>
      <c r="F25" s="782"/>
      <c r="G25" s="782"/>
      <c r="H25" s="782"/>
      <c r="I25" s="782"/>
      <c r="J25" s="783"/>
      <c r="K25" s="516"/>
    </row>
    <row r="26" spans="1:15" ht="18.75" x14ac:dyDescent="0.25">
      <c r="A26" s="130"/>
      <c r="B26" s="512"/>
      <c r="C26" s="513"/>
      <c r="D26" s="513"/>
      <c r="E26" s="781"/>
      <c r="F26" s="782"/>
      <c r="G26" s="782"/>
      <c r="H26" s="782"/>
      <c r="I26" s="782"/>
      <c r="J26" s="783"/>
      <c r="K26" s="516"/>
    </row>
    <row r="27" spans="1:15" ht="18.75" x14ac:dyDescent="0.25">
      <c r="A27" s="130"/>
      <c r="B27" s="512"/>
      <c r="C27" s="513"/>
      <c r="D27" s="513"/>
      <c r="E27" s="781"/>
      <c r="F27" s="782"/>
      <c r="G27" s="782"/>
      <c r="H27" s="782"/>
      <c r="I27" s="782"/>
      <c r="J27" s="783"/>
      <c r="K27" s="516"/>
    </row>
    <row r="28" spans="1:15" ht="18.75" x14ac:dyDescent="0.25">
      <c r="A28" s="130"/>
      <c r="B28" s="512"/>
      <c r="C28" s="513"/>
      <c r="D28" s="513"/>
      <c r="E28" s="781"/>
      <c r="F28" s="782"/>
      <c r="G28" s="782"/>
      <c r="H28" s="782"/>
      <c r="I28" s="782"/>
      <c r="J28" s="783"/>
      <c r="K28" s="516"/>
    </row>
    <row r="29" spans="1:15" ht="18.75" x14ac:dyDescent="0.25">
      <c r="A29" s="130"/>
      <c r="B29" s="512"/>
      <c r="C29" s="513"/>
      <c r="D29" s="513"/>
      <c r="E29" s="781"/>
      <c r="F29" s="782"/>
      <c r="G29" s="782"/>
      <c r="H29" s="782"/>
      <c r="I29" s="782"/>
      <c r="J29" s="783"/>
      <c r="K29" s="516"/>
    </row>
    <row r="30" spans="1:15" ht="18.75" x14ac:dyDescent="0.25">
      <c r="A30" s="130"/>
      <c r="B30" s="512"/>
      <c r="C30" s="513"/>
      <c r="D30" s="513"/>
      <c r="E30" s="781"/>
      <c r="F30" s="782"/>
      <c r="G30" s="782"/>
      <c r="H30" s="782"/>
      <c r="I30" s="782"/>
      <c r="J30" s="783"/>
      <c r="K30" s="516"/>
    </row>
    <row r="31" spans="1:15" ht="18.75" x14ac:dyDescent="0.25">
      <c r="A31" s="130"/>
      <c r="B31" s="512"/>
      <c r="C31" s="513"/>
      <c r="D31" s="513"/>
      <c r="E31" s="781"/>
      <c r="F31" s="782"/>
      <c r="G31" s="782"/>
      <c r="H31" s="782"/>
      <c r="I31" s="782"/>
      <c r="J31" s="783"/>
      <c r="K31" s="516"/>
    </row>
    <row r="32" spans="1:15" ht="18.75" x14ac:dyDescent="0.25">
      <c r="A32" s="130"/>
      <c r="B32" s="512"/>
      <c r="C32" s="513"/>
      <c r="D32" s="513"/>
      <c r="E32" s="781"/>
      <c r="F32" s="782"/>
      <c r="G32" s="782"/>
      <c r="H32" s="782"/>
      <c r="I32" s="782"/>
      <c r="J32" s="783"/>
      <c r="K32" s="516"/>
    </row>
    <row r="33" spans="1:11" ht="18.75" x14ac:dyDescent="0.25">
      <c r="A33" s="130"/>
      <c r="B33" s="512"/>
      <c r="C33" s="513"/>
      <c r="D33" s="513"/>
      <c r="E33" s="781"/>
      <c r="F33" s="782"/>
      <c r="G33" s="782"/>
      <c r="H33" s="782"/>
      <c r="I33" s="782"/>
      <c r="J33" s="783"/>
      <c r="K33" s="516"/>
    </row>
    <row r="34" spans="1:11" ht="18.75" x14ac:dyDescent="0.25">
      <c r="A34" s="130"/>
      <c r="B34" s="512"/>
      <c r="C34" s="513"/>
      <c r="D34" s="513"/>
      <c r="E34" s="781"/>
      <c r="F34" s="782"/>
      <c r="G34" s="782"/>
      <c r="H34" s="782"/>
      <c r="I34" s="782"/>
      <c r="J34" s="783"/>
      <c r="K34" s="516"/>
    </row>
    <row r="35" spans="1:11" ht="18.75" x14ac:dyDescent="0.25">
      <c r="A35" s="130"/>
      <c r="B35" s="512"/>
      <c r="C35" s="513"/>
      <c r="D35" s="513"/>
      <c r="E35" s="781"/>
      <c r="F35" s="782"/>
      <c r="G35" s="782"/>
      <c r="H35" s="782"/>
      <c r="I35" s="782"/>
      <c r="J35" s="783"/>
      <c r="K35" s="516"/>
    </row>
    <row r="36" spans="1:11" ht="18.75" x14ac:dyDescent="0.25">
      <c r="A36" s="130"/>
      <c r="B36" s="512"/>
      <c r="C36" s="513"/>
      <c r="D36" s="513"/>
      <c r="E36" s="781"/>
      <c r="F36" s="782"/>
      <c r="G36" s="782"/>
      <c r="H36" s="782"/>
      <c r="I36" s="782"/>
      <c r="J36" s="783"/>
      <c r="K36" s="516"/>
    </row>
    <row r="37" spans="1:11" ht="18.75" x14ac:dyDescent="0.25">
      <c r="A37" s="130"/>
      <c r="B37" s="512"/>
      <c r="C37" s="513"/>
      <c r="D37" s="513"/>
      <c r="E37" s="781"/>
      <c r="F37" s="782"/>
      <c r="G37" s="782"/>
      <c r="H37" s="782"/>
      <c r="I37" s="782"/>
      <c r="J37" s="783"/>
      <c r="K37" s="516"/>
    </row>
    <row r="38" spans="1:11" ht="18.75" x14ac:dyDescent="0.25">
      <c r="A38" s="130"/>
      <c r="B38" s="512"/>
      <c r="C38" s="513"/>
      <c r="D38" s="513"/>
      <c r="E38" s="781"/>
      <c r="F38" s="782"/>
      <c r="G38" s="782"/>
      <c r="H38" s="782"/>
      <c r="I38" s="782"/>
      <c r="J38" s="783"/>
      <c r="K38" s="516"/>
    </row>
    <row r="39" spans="1:11" ht="18.75" x14ac:dyDescent="0.25">
      <c r="A39" s="130"/>
      <c r="B39" s="512"/>
      <c r="C39" s="513"/>
      <c r="D39" s="513"/>
      <c r="E39" s="781"/>
      <c r="F39" s="782"/>
      <c r="G39" s="782"/>
      <c r="H39" s="782"/>
      <c r="I39" s="782"/>
      <c r="J39" s="783"/>
      <c r="K39" s="516"/>
    </row>
    <row r="40" spans="1:11" ht="18.75" x14ac:dyDescent="0.25">
      <c r="A40" s="130"/>
      <c r="B40" s="512"/>
      <c r="C40" s="513"/>
      <c r="D40" s="513"/>
      <c r="E40" s="781"/>
      <c r="F40" s="782"/>
      <c r="G40" s="782"/>
      <c r="H40" s="782"/>
      <c r="I40" s="782"/>
      <c r="J40" s="783"/>
      <c r="K40" s="516"/>
    </row>
    <row r="41" spans="1:11" ht="18.75" x14ac:dyDescent="0.25">
      <c r="A41" s="130"/>
      <c r="B41" s="512"/>
      <c r="C41" s="513"/>
      <c r="D41" s="513"/>
      <c r="E41" s="781"/>
      <c r="F41" s="782"/>
      <c r="G41" s="782"/>
      <c r="H41" s="782"/>
      <c r="I41" s="782"/>
      <c r="J41" s="783"/>
      <c r="K41" s="516"/>
    </row>
    <row r="42" spans="1:11" ht="18.75" x14ac:dyDescent="0.25">
      <c r="A42" s="130"/>
      <c r="B42" s="512"/>
      <c r="C42" s="513"/>
      <c r="D42" s="513"/>
      <c r="E42" s="781"/>
      <c r="F42" s="782"/>
      <c r="G42" s="782"/>
      <c r="H42" s="782"/>
      <c r="I42" s="782"/>
      <c r="J42" s="783"/>
      <c r="K42" s="516"/>
    </row>
    <row r="43" spans="1:11" ht="18.75" x14ac:dyDescent="0.25">
      <c r="A43" s="130"/>
      <c r="B43" s="512"/>
      <c r="C43" s="513"/>
      <c r="D43" s="513"/>
      <c r="E43" s="781"/>
      <c r="F43" s="782"/>
      <c r="G43" s="782"/>
      <c r="H43" s="782"/>
      <c r="I43" s="782"/>
      <c r="J43" s="783"/>
      <c r="K43" s="516"/>
    </row>
    <row r="44" spans="1:11" ht="18.75" x14ac:dyDescent="0.25">
      <c r="A44" s="130"/>
      <c r="B44" s="512"/>
      <c r="C44" s="513"/>
      <c r="D44" s="513"/>
      <c r="E44" s="781"/>
      <c r="F44" s="782"/>
      <c r="G44" s="782"/>
      <c r="H44" s="782"/>
      <c r="I44" s="782"/>
      <c r="J44" s="783"/>
      <c r="K44" s="516"/>
    </row>
    <row r="45" spans="1:11" ht="18.75" x14ac:dyDescent="0.25">
      <c r="A45" s="130"/>
      <c r="B45" s="512"/>
      <c r="C45" s="513"/>
      <c r="D45" s="513"/>
      <c r="E45" s="781"/>
      <c r="F45" s="782"/>
      <c r="G45" s="782"/>
      <c r="H45" s="782"/>
      <c r="I45" s="782"/>
      <c r="J45" s="783"/>
      <c r="K45" s="516"/>
    </row>
    <row r="46" spans="1:11" ht="18.75" x14ac:dyDescent="0.25">
      <c r="A46" s="130"/>
      <c r="B46" s="512"/>
      <c r="C46" s="513"/>
      <c r="D46" s="513"/>
      <c r="E46" s="781"/>
      <c r="F46" s="782"/>
      <c r="G46" s="782"/>
      <c r="H46" s="782"/>
      <c r="I46" s="782"/>
      <c r="J46" s="783"/>
      <c r="K46" s="516"/>
    </row>
    <row r="47" spans="1:11" ht="18.75" x14ac:dyDescent="0.25">
      <c r="A47" s="130"/>
      <c r="B47" s="512"/>
      <c r="C47" s="513"/>
      <c r="D47" s="513"/>
      <c r="E47" s="781"/>
      <c r="F47" s="782"/>
      <c r="G47" s="782"/>
      <c r="H47" s="782"/>
      <c r="I47" s="782"/>
      <c r="J47" s="783"/>
      <c r="K47" s="516"/>
    </row>
    <row r="48" spans="1:11" ht="18.75" x14ac:dyDescent="0.25">
      <c r="A48" s="130"/>
      <c r="B48" s="512"/>
      <c r="C48" s="513"/>
      <c r="D48" s="513"/>
      <c r="E48" s="781"/>
      <c r="F48" s="782"/>
      <c r="G48" s="782"/>
      <c r="H48" s="782"/>
      <c r="I48" s="782"/>
      <c r="J48" s="783"/>
      <c r="K48" s="516"/>
    </row>
    <row r="49" spans="1:11" ht="18.75" x14ac:dyDescent="0.25">
      <c r="A49" s="130"/>
      <c r="B49" s="512"/>
      <c r="C49" s="513"/>
      <c r="D49" s="513"/>
      <c r="E49" s="781"/>
      <c r="F49" s="782"/>
      <c r="G49" s="782"/>
      <c r="H49" s="782"/>
      <c r="I49" s="782"/>
      <c r="J49" s="783"/>
      <c r="K49" s="516"/>
    </row>
    <row r="50" spans="1:11" ht="18.75" x14ac:dyDescent="0.25">
      <c r="A50" s="130"/>
      <c r="B50" s="512"/>
      <c r="C50" s="513"/>
      <c r="D50" s="513"/>
      <c r="E50" s="781"/>
      <c r="F50" s="782"/>
      <c r="G50" s="782"/>
      <c r="H50" s="782"/>
      <c r="I50" s="782"/>
      <c r="J50" s="783"/>
      <c r="K50" s="516"/>
    </row>
    <row r="51" spans="1:11" ht="18.75" x14ac:dyDescent="0.25">
      <c r="A51" s="130"/>
      <c r="B51" s="512"/>
      <c r="C51" s="513"/>
      <c r="D51" s="513"/>
      <c r="E51" s="781"/>
      <c r="F51" s="782"/>
      <c r="G51" s="782"/>
      <c r="H51" s="782"/>
      <c r="I51" s="782"/>
      <c r="J51" s="783"/>
      <c r="K51" s="516"/>
    </row>
    <row r="52" spans="1:11" ht="18.75" x14ac:dyDescent="0.25">
      <c r="A52" s="130"/>
      <c r="B52" s="512"/>
      <c r="C52" s="513"/>
      <c r="D52" s="513"/>
      <c r="E52" s="781"/>
      <c r="F52" s="782"/>
      <c r="G52" s="782"/>
      <c r="H52" s="782"/>
      <c r="I52" s="782"/>
      <c r="J52" s="783"/>
      <c r="K52" s="516"/>
    </row>
    <row r="53" spans="1:11" ht="18.75" x14ac:dyDescent="0.25">
      <c r="A53" s="130"/>
      <c r="B53" s="512"/>
      <c r="C53" s="513"/>
      <c r="D53" s="513"/>
      <c r="E53" s="781"/>
      <c r="F53" s="782"/>
      <c r="G53" s="782"/>
      <c r="H53" s="782"/>
      <c r="I53" s="782"/>
      <c r="J53" s="783"/>
      <c r="K53" s="516"/>
    </row>
    <row r="54" spans="1:11" ht="18.75" x14ac:dyDescent="0.25">
      <c r="A54" s="130"/>
      <c r="B54" s="512"/>
      <c r="C54" s="513"/>
      <c r="D54" s="513"/>
      <c r="E54" s="781"/>
      <c r="F54" s="782"/>
      <c r="G54" s="782"/>
      <c r="H54" s="782"/>
      <c r="I54" s="782"/>
      <c r="J54" s="783"/>
      <c r="K54" s="516"/>
    </row>
    <row r="55" spans="1:11" ht="18.75" x14ac:dyDescent="0.25">
      <c r="A55" s="130"/>
      <c r="B55" s="512"/>
      <c r="C55" s="513"/>
      <c r="D55" s="513"/>
      <c r="E55" s="781"/>
      <c r="F55" s="782"/>
      <c r="G55" s="782"/>
      <c r="H55" s="782"/>
      <c r="I55" s="782"/>
      <c r="J55" s="783"/>
      <c r="K55" s="516"/>
    </row>
    <row r="56" spans="1:11" ht="18.75" x14ac:dyDescent="0.25">
      <c r="A56" s="130"/>
      <c r="B56" s="512"/>
      <c r="C56" s="513"/>
      <c r="D56" s="513"/>
      <c r="E56" s="781"/>
      <c r="F56" s="782"/>
      <c r="G56" s="782"/>
      <c r="H56" s="782"/>
      <c r="I56" s="782"/>
      <c r="J56" s="783"/>
      <c r="K56" s="516"/>
    </row>
    <row r="57" spans="1:11" ht="18.75" x14ac:dyDescent="0.25">
      <c r="A57" s="130"/>
      <c r="B57" s="512"/>
      <c r="C57" s="513"/>
      <c r="D57" s="513"/>
      <c r="E57" s="781"/>
      <c r="F57" s="782"/>
      <c r="G57" s="782"/>
      <c r="H57" s="782"/>
      <c r="I57" s="782"/>
      <c r="J57" s="783"/>
      <c r="K57" s="516"/>
    </row>
    <row r="58" spans="1:11" ht="18.75" x14ac:dyDescent="0.25">
      <c r="A58" s="130"/>
      <c r="B58" s="512"/>
      <c r="C58" s="513"/>
      <c r="D58" s="513"/>
      <c r="E58" s="781"/>
      <c r="F58" s="782"/>
      <c r="G58" s="782"/>
      <c r="H58" s="782"/>
      <c r="I58" s="782"/>
      <c r="J58" s="783"/>
      <c r="K58" s="516"/>
    </row>
    <row r="59" spans="1:11" ht="18.75" x14ac:dyDescent="0.25">
      <c r="A59" s="130"/>
      <c r="B59" s="512"/>
      <c r="C59" s="513"/>
      <c r="D59" s="513"/>
      <c r="E59" s="781"/>
      <c r="F59" s="782"/>
      <c r="G59" s="782"/>
      <c r="H59" s="782"/>
      <c r="I59" s="782"/>
      <c r="J59" s="783"/>
      <c r="K59" s="516"/>
    </row>
    <row r="60" spans="1:11" ht="18.75" x14ac:dyDescent="0.25">
      <c r="A60" s="130"/>
      <c r="B60" s="512"/>
      <c r="C60" s="517"/>
      <c r="D60" s="517"/>
      <c r="E60" s="518"/>
      <c r="F60" s="514"/>
      <c r="G60" s="514"/>
      <c r="H60" s="514"/>
      <c r="I60" s="514"/>
      <c r="J60" s="515"/>
      <c r="K60" s="516"/>
    </row>
    <row r="61" spans="1:11" ht="18.75" x14ac:dyDescent="0.25">
      <c r="A61" s="130"/>
      <c r="B61" s="512"/>
      <c r="C61" s="513"/>
      <c r="D61" s="513"/>
      <c r="E61" s="781"/>
      <c r="F61" s="782"/>
      <c r="G61" s="782"/>
      <c r="H61" s="782"/>
      <c r="I61" s="782"/>
      <c r="J61" s="783"/>
      <c r="K61" s="516"/>
    </row>
    <row r="62" spans="1:11" ht="18.75" x14ac:dyDescent="0.25">
      <c r="A62" s="130"/>
      <c r="B62" s="512"/>
      <c r="C62" s="513"/>
      <c r="D62" s="513"/>
      <c r="E62" s="781"/>
      <c r="F62" s="782"/>
      <c r="G62" s="782"/>
      <c r="H62" s="782"/>
      <c r="I62" s="782"/>
      <c r="J62" s="783"/>
      <c r="K62" s="516"/>
    </row>
    <row r="63" spans="1:11" ht="19.5" thickBot="1" x14ac:dyDescent="0.3">
      <c r="A63" s="130"/>
      <c r="B63" s="519"/>
      <c r="C63" s="520"/>
      <c r="D63" s="520"/>
      <c r="E63" s="790"/>
      <c r="F63" s="791"/>
      <c r="G63" s="791"/>
      <c r="H63" s="791"/>
      <c r="I63" s="791"/>
      <c r="J63" s="792"/>
      <c r="K63" s="521"/>
    </row>
    <row r="64" spans="1:11" ht="16.5" thickTop="1" x14ac:dyDescent="0.25"/>
    <row r="119" spans="3:14" x14ac:dyDescent="0.25">
      <c r="C119"/>
      <c r="D119"/>
      <c r="E119"/>
      <c r="F119"/>
      <c r="G119"/>
      <c r="N119"/>
    </row>
    <row r="120" spans="3:14" x14ac:dyDescent="0.25">
      <c r="C120"/>
      <c r="D120"/>
      <c r="E120"/>
      <c r="F120"/>
      <c r="G120"/>
    </row>
    <row r="121" spans="3:14" x14ac:dyDescent="0.25">
      <c r="C121"/>
      <c r="D121"/>
      <c r="E121"/>
      <c r="F121"/>
      <c r="G121"/>
    </row>
    <row r="122" spans="3:14" x14ac:dyDescent="0.25">
      <c r="C122"/>
      <c r="D122"/>
      <c r="E122"/>
      <c r="F122"/>
      <c r="G122"/>
    </row>
    <row r="123" spans="3:14" x14ac:dyDescent="0.25">
      <c r="C123"/>
      <c r="D123"/>
      <c r="E123"/>
      <c r="F123"/>
      <c r="G123"/>
    </row>
    <row r="124" spans="3:14" x14ac:dyDescent="0.25">
      <c r="C124"/>
      <c r="D124"/>
      <c r="E124"/>
      <c r="F124"/>
      <c r="G124"/>
    </row>
    <row r="125" spans="3:14" x14ac:dyDescent="0.25">
      <c r="C125"/>
      <c r="D125"/>
      <c r="E125"/>
      <c r="F125"/>
      <c r="G125"/>
    </row>
    <row r="126" spans="3:14" x14ac:dyDescent="0.25">
      <c r="C126"/>
      <c r="D126"/>
      <c r="E126"/>
      <c r="F126"/>
      <c r="G126"/>
    </row>
    <row r="127" spans="3:14" x14ac:dyDescent="0.25">
      <c r="C127"/>
      <c r="D127"/>
      <c r="E127"/>
      <c r="F127"/>
      <c r="G127"/>
    </row>
    <row r="128" spans="3:14" x14ac:dyDescent="0.25">
      <c r="C128"/>
      <c r="D128"/>
      <c r="E128"/>
      <c r="F128"/>
      <c r="G128"/>
    </row>
    <row r="129" spans="3:7" x14ac:dyDescent="0.25">
      <c r="C129"/>
      <c r="D129"/>
      <c r="E129"/>
      <c r="F129"/>
      <c r="G129"/>
    </row>
    <row r="130" spans="3:7" x14ac:dyDescent="0.25">
      <c r="C130"/>
      <c r="D130"/>
      <c r="E130"/>
      <c r="F130"/>
      <c r="G130"/>
    </row>
    <row r="131" spans="3:7" x14ac:dyDescent="0.25">
      <c r="C131"/>
      <c r="D131"/>
      <c r="E131"/>
      <c r="F131"/>
      <c r="G131"/>
    </row>
  </sheetData>
  <mergeCells count="54">
    <mergeCell ref="E46:J46"/>
    <mergeCell ref="E30:J30"/>
    <mergeCell ref="E31:J31"/>
    <mergeCell ref="E43:J43"/>
    <mergeCell ref="E44:J44"/>
    <mergeCell ref="E45:J45"/>
    <mergeCell ref="E38:J38"/>
    <mergeCell ref="E41:J41"/>
    <mergeCell ref="E40:J40"/>
    <mergeCell ref="E39:J39"/>
    <mergeCell ref="E35:J35"/>
    <mergeCell ref="E36:J36"/>
    <mergeCell ref="E37:J37"/>
    <mergeCell ref="E42:J42"/>
    <mergeCell ref="E61:J61"/>
    <mergeCell ref="E62:J62"/>
    <mergeCell ref="E63:J63"/>
    <mergeCell ref="E53:J53"/>
    <mergeCell ref="E54:J54"/>
    <mergeCell ref="E55:J55"/>
    <mergeCell ref="E56:J56"/>
    <mergeCell ref="E57:J57"/>
    <mergeCell ref="E58:J58"/>
    <mergeCell ref="E50:J50"/>
    <mergeCell ref="E51:J51"/>
    <mergeCell ref="E52:J52"/>
    <mergeCell ref="E59:J59"/>
    <mergeCell ref="E47:J47"/>
    <mergeCell ref="E48:J48"/>
    <mergeCell ref="E49:J49"/>
    <mergeCell ref="E18:J18"/>
    <mergeCell ref="E32:J32"/>
    <mergeCell ref="E33:J33"/>
    <mergeCell ref="E34:J34"/>
    <mergeCell ref="G17:I17"/>
    <mergeCell ref="E19:J19"/>
    <mergeCell ref="E20:J20"/>
    <mergeCell ref="E22:J22"/>
    <mergeCell ref="E24:J24"/>
    <mergeCell ref="E25:J25"/>
    <mergeCell ref="E26:J26"/>
    <mergeCell ref="E21:J21"/>
    <mergeCell ref="E27:J27"/>
    <mergeCell ref="E23:J23"/>
    <mergeCell ref="E28:J28"/>
    <mergeCell ref="E29:J29"/>
    <mergeCell ref="J4:K4"/>
    <mergeCell ref="J6:K6"/>
    <mergeCell ref="H13:I13"/>
    <mergeCell ref="H14:I15"/>
    <mergeCell ref="C13:E14"/>
    <mergeCell ref="H10:I10"/>
    <mergeCell ref="J10:K10"/>
    <mergeCell ref="J8:K8"/>
  </mergeCells>
  <dataValidations count="2">
    <dataValidation type="list" allowBlank="1" showInputMessage="1" sqref="B14 C13 F13:F14" xr:uid="{00000000-0002-0000-0600-000000000000}">
      <formula1>#REF!</formula1>
    </dataValidation>
    <dataValidation type="list" allowBlank="1" showInputMessage="1" showErrorMessage="1" sqref="G17:I17" xr:uid="{708D36F7-ED60-4A16-AF71-28E23D99F51B}">
      <formula1>"MISMATCH CONFIRMED"</formula1>
    </dataValidation>
  </dataValidations>
  <printOptions horizontalCentered="1"/>
  <pageMargins left="0.25" right="0.25" top="0.25" bottom="0.25" header="0.23622047244094499" footer="0"/>
  <pageSetup scale="7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6" r:id="rId4" name="CommandButton1">
          <controlPr defaultSize="0" autoLine="0" r:id="rId5">
            <anchor moveWithCells="1">
              <from>
                <xdr:col>12</xdr:col>
                <xdr:colOff>1543050</xdr:colOff>
                <xdr:row>19</xdr:row>
                <xdr:rowOff>66675</xdr:rowOff>
              </from>
              <to>
                <xdr:col>15</xdr:col>
                <xdr:colOff>133350</xdr:colOff>
                <xdr:row>22</xdr:row>
                <xdr:rowOff>38100</xdr:rowOff>
              </to>
            </anchor>
          </controlPr>
        </control>
      </mc:Choice>
      <mc:Fallback>
        <control shapeId="6146" r:id="rId4" name="CommandButton1"/>
      </mc:Fallback>
    </mc:AlternateContent>
    <mc:AlternateContent xmlns:mc="http://schemas.openxmlformats.org/markup-compatibility/2006">
      <mc:Choice Requires="x14">
        <control shapeId="6147" r:id="rId6" name="CommandButton2">
          <controlPr defaultSize="0" autoLine="0" r:id="rId7">
            <anchor moveWithCells="1">
              <from>
                <xdr:col>12</xdr:col>
                <xdr:colOff>1543050</xdr:colOff>
                <xdr:row>23</xdr:row>
                <xdr:rowOff>180975</xdr:rowOff>
              </from>
              <to>
                <xdr:col>15</xdr:col>
                <xdr:colOff>133350</xdr:colOff>
                <xdr:row>26</xdr:row>
                <xdr:rowOff>152400</xdr:rowOff>
              </to>
            </anchor>
          </controlPr>
        </control>
      </mc:Choice>
      <mc:Fallback>
        <control shapeId="6147" r:id="rId6" name="CommandButton2"/>
      </mc:Fallback>
    </mc:AlternateContent>
    <mc:AlternateContent xmlns:mc="http://schemas.openxmlformats.org/markup-compatibility/2006">
      <mc:Choice Requires="x14">
        <control shapeId="6149" r:id="rId8" name="Button 5">
          <controlPr defaultSize="0" print="0" autoFill="0" autoPict="0" macro="[0]!ParseSpecialOrderCSV" altText="GET PARTS">
            <anchor moveWithCells="1" sizeWithCells="1">
              <from>
                <xdr:col>12</xdr:col>
                <xdr:colOff>1581150</xdr:colOff>
                <xdr:row>13</xdr:row>
                <xdr:rowOff>247650</xdr:rowOff>
              </from>
              <to>
                <xdr:col>15</xdr:col>
                <xdr:colOff>95250</xdr:colOff>
                <xdr:row>17</xdr:row>
                <xdr:rowOff>104775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8A863-E09E-474A-9D57-4956F53C5D22}">
  <sheetPr codeName="Sheet18">
    <pageSetUpPr autoPageBreaks="0" fitToPage="1"/>
  </sheetPr>
  <dimension ref="A1:S54"/>
  <sheetViews>
    <sheetView showZeros="0" zoomScaleNormal="100" workbookViewId="0">
      <selection activeCell="B10" sqref="B10:B12"/>
    </sheetView>
  </sheetViews>
  <sheetFormatPr defaultColWidth="9.140625" defaultRowHeight="12.75" x14ac:dyDescent="0.2"/>
  <cols>
    <col min="1" max="1" width="2.85546875" style="48" customWidth="1"/>
    <col min="2" max="2" width="13.7109375" style="48" customWidth="1"/>
    <col min="3" max="3" width="15.7109375" style="48" customWidth="1"/>
    <col min="4" max="4" width="12.140625" style="48" customWidth="1"/>
    <col min="5" max="5" width="26.5703125" style="48" customWidth="1"/>
    <col min="6" max="6" width="13.28515625" style="48" customWidth="1"/>
    <col min="7" max="7" width="13.140625" style="48" customWidth="1"/>
    <col min="8" max="8" width="26.42578125" style="48" customWidth="1"/>
    <col min="9" max="10" width="10.7109375" style="48" customWidth="1"/>
    <col min="11" max="11" width="2.85546875" style="48" customWidth="1"/>
    <col min="12" max="12" width="25.7109375" style="48" customWidth="1"/>
    <col min="13" max="13" width="9.140625" style="48" customWidth="1"/>
    <col min="14" max="16384" width="9.140625" style="48"/>
  </cols>
  <sheetData>
    <row r="1" spans="1:19" ht="28.5" customHeight="1" thickBot="1" x14ac:dyDescent="0.3">
      <c r="A1" s="49"/>
      <c r="B1" s="831" t="s">
        <v>270</v>
      </c>
      <c r="C1" s="832"/>
      <c r="D1" s="833"/>
      <c r="E1" s="118" t="s">
        <v>128</v>
      </c>
      <c r="F1" s="834" t="s">
        <v>274</v>
      </c>
      <c r="G1" s="835"/>
      <c r="H1" s="835"/>
      <c r="I1" s="835"/>
      <c r="J1" s="836"/>
    </row>
    <row r="2" spans="1:19" ht="33" customHeight="1" thickBot="1" x14ac:dyDescent="0.25">
      <c r="A2" s="318"/>
      <c r="B2" s="837" t="s">
        <v>285</v>
      </c>
      <c r="C2" s="838"/>
      <c r="D2" s="841" t="s">
        <v>284</v>
      </c>
      <c r="E2" s="119" t="str">
        <f>'Data Entry'!F3</f>
        <v>SCOTT</v>
      </c>
      <c r="F2" s="844" t="s">
        <v>268</v>
      </c>
      <c r="G2" s="779"/>
      <c r="H2" s="779"/>
      <c r="I2" s="779"/>
      <c r="J2" s="827"/>
    </row>
    <row r="3" spans="1:19" ht="15" customHeight="1" x14ac:dyDescent="0.25">
      <c r="A3" s="318"/>
      <c r="B3" s="824"/>
      <c r="C3" s="525"/>
      <c r="D3" s="842"/>
      <c r="E3" s="845" t="s">
        <v>287</v>
      </c>
      <c r="F3" s="120"/>
      <c r="G3" s="120"/>
      <c r="H3" s="120"/>
      <c r="I3" s="108"/>
      <c r="J3" s="110"/>
      <c r="L3" s="319"/>
    </row>
    <row r="4" spans="1:19" ht="18.75" customHeight="1" x14ac:dyDescent="0.25">
      <c r="A4" s="318"/>
      <c r="B4" s="839"/>
      <c r="C4" s="840"/>
      <c r="D4" s="843"/>
      <c r="E4" s="846"/>
      <c r="F4" s="121"/>
      <c r="G4" s="111" t="s">
        <v>118</v>
      </c>
      <c r="H4" s="847">
        <f ca="1">TODAY()</f>
        <v>46160</v>
      </c>
      <c r="I4" s="848"/>
      <c r="J4" s="849"/>
      <c r="M4" s="65"/>
      <c r="P4" s="821"/>
      <c r="Q4" s="821"/>
      <c r="R4" s="821"/>
      <c r="S4" s="821"/>
    </row>
    <row r="5" spans="1:19" ht="15" customHeight="1" x14ac:dyDescent="0.25">
      <c r="A5" s="318"/>
      <c r="B5" s="822" t="s">
        <v>271</v>
      </c>
      <c r="C5" s="823"/>
      <c r="D5" s="122" t="s">
        <v>281</v>
      </c>
      <c r="E5" s="123" t="s">
        <v>290</v>
      </c>
      <c r="F5" s="109"/>
      <c r="G5" s="109"/>
      <c r="H5" s="109"/>
      <c r="I5" s="112"/>
      <c r="J5" s="113"/>
      <c r="P5" s="821"/>
      <c r="Q5" s="821"/>
      <c r="R5" s="821"/>
      <c r="S5" s="821"/>
    </row>
    <row r="6" spans="1:19" ht="15" customHeight="1" x14ac:dyDescent="0.25">
      <c r="A6" s="318"/>
      <c r="B6" s="824"/>
      <c r="C6" s="525"/>
      <c r="D6" s="124" t="s">
        <v>280</v>
      </c>
      <c r="E6" s="123" t="s">
        <v>288</v>
      </c>
      <c r="F6" s="109"/>
      <c r="G6" s="112" t="s">
        <v>140</v>
      </c>
      <c r="H6" s="825" t="str">
        <f>CONCATENATE('Data Entry'!B5," - ",'Data Entry'!B7," - ",'Data Entry'!B9)</f>
        <v xml:space="preserve"> -  - </v>
      </c>
      <c r="I6" s="779"/>
      <c r="J6" s="826"/>
      <c r="P6" s="821"/>
      <c r="Q6" s="821"/>
      <c r="R6" s="821"/>
      <c r="S6" s="821"/>
    </row>
    <row r="7" spans="1:19" ht="15" customHeight="1" x14ac:dyDescent="0.25">
      <c r="A7" s="318"/>
      <c r="B7" s="824"/>
      <c r="C7" s="525"/>
      <c r="D7" s="124" t="s">
        <v>282</v>
      </c>
      <c r="E7" s="123" t="s">
        <v>289</v>
      </c>
      <c r="F7" s="108"/>
      <c r="G7" s="108"/>
      <c r="H7" s="108"/>
      <c r="I7" s="125"/>
      <c r="J7" s="126"/>
      <c r="P7" s="821"/>
      <c r="Q7" s="821"/>
      <c r="R7" s="821"/>
      <c r="S7" s="821"/>
    </row>
    <row r="8" spans="1:19" ht="15" customHeight="1" thickBot="1" x14ac:dyDescent="0.3">
      <c r="A8" s="318"/>
      <c r="B8" s="824"/>
      <c r="C8" s="525"/>
      <c r="D8" s="326" t="s">
        <v>283</v>
      </c>
      <c r="E8" s="123" t="s">
        <v>374</v>
      </c>
      <c r="F8" s="108"/>
      <c r="G8" s="112" t="s">
        <v>124</v>
      </c>
      <c r="H8" s="825">
        <f>'Data Entry'!C1</f>
        <v>0</v>
      </c>
      <c r="I8" s="779"/>
      <c r="J8" s="827"/>
      <c r="P8" s="821"/>
      <c r="Q8" s="821"/>
      <c r="R8" s="821"/>
      <c r="S8" s="821"/>
    </row>
    <row r="9" spans="1:19" s="324" customFormat="1" ht="17.25" customHeight="1" thickBot="1" x14ac:dyDescent="0.25">
      <c r="A9" s="323"/>
      <c r="B9" s="325" t="s">
        <v>286</v>
      </c>
      <c r="C9" s="327" t="s">
        <v>273</v>
      </c>
      <c r="D9" s="327" t="s">
        <v>269</v>
      </c>
      <c r="E9" s="327" t="s">
        <v>279</v>
      </c>
      <c r="F9" s="828" t="s">
        <v>278</v>
      </c>
      <c r="G9" s="829"/>
      <c r="H9" s="327" t="s">
        <v>276</v>
      </c>
      <c r="I9" s="828" t="s">
        <v>277</v>
      </c>
      <c r="J9" s="830"/>
    </row>
    <row r="10" spans="1:19" s="321" customFormat="1" ht="21.95" customHeight="1" x14ac:dyDescent="0.25">
      <c r="A10" s="320"/>
      <c r="B10" s="815"/>
      <c r="C10" s="817"/>
      <c r="D10" s="819"/>
      <c r="E10" s="347"/>
      <c r="F10" s="328" t="str" cm="1">
        <f t="array" ref="F10">IF(B10=1,C10-2, IF(B10=2,C10-2, IF(B10=3,"", IF(B10=4,C10-1.75, IF(B10,ISBLANK,"")))))</f>
        <v/>
      </c>
      <c r="G10" s="315" t="str" cm="1">
        <f t="array" ref="G10">IF(B10=1,D10-1.625, IF(B10=2,D10-1.625, IF(B10=3,"", IF(B10=4,D10-1.25, IF(B10,ISBLANK,"")))))</f>
        <v/>
      </c>
      <c r="H10" s="349"/>
      <c r="I10" s="316" t="str" cm="1">
        <f t="array" ref="I10">IF(B10=1,"", IF(B10=2,C10-3, IF(B10=3,C10-3, IF(B10=4,"",IF(B10,ISBLANK,"")))))</f>
        <v/>
      </c>
      <c r="J10" s="317" t="str" cm="1">
        <f t="array" ref="J10">IF(B10=1,"", IF(B10=2,D10-1.625, IF(B10=3,D10-1.625, IF(B10=4,"", IF(B10,ISBLANK,"")))))</f>
        <v/>
      </c>
      <c r="M10" s="97"/>
      <c r="N10" s="97"/>
      <c r="O10" s="97"/>
      <c r="P10" s="97"/>
    </row>
    <row r="11" spans="1:19" s="321" customFormat="1" ht="21.95" customHeight="1" x14ac:dyDescent="0.2">
      <c r="A11" s="320"/>
      <c r="B11" s="816"/>
      <c r="C11" s="818"/>
      <c r="D11" s="820"/>
      <c r="E11" s="348"/>
      <c r="F11" s="351"/>
      <c r="G11" s="352"/>
      <c r="H11" s="348">
        <f>E11</f>
        <v>0</v>
      </c>
      <c r="I11" s="353"/>
      <c r="J11" s="354"/>
    </row>
    <row r="12" spans="1:19" s="321" customFormat="1" ht="21.95" customHeight="1" x14ac:dyDescent="0.2">
      <c r="A12" s="320"/>
      <c r="B12" s="816"/>
      <c r="C12" s="818"/>
      <c r="D12" s="820"/>
      <c r="E12" s="329" t="s">
        <v>571</v>
      </c>
      <c r="F12" s="801" t="str">
        <f>IF(B10=""," ",F10-0.1875)</f>
        <v xml:space="preserve"> </v>
      </c>
      <c r="G12" s="802"/>
      <c r="H12" s="329" t="s">
        <v>571</v>
      </c>
      <c r="I12" s="797" t="str">
        <f>IF(ISBLANK(I10), "", IFERROR(I10-0.1875, ""))</f>
        <v/>
      </c>
      <c r="J12" s="798"/>
    </row>
    <row r="13" spans="1:19" s="321" customFormat="1" ht="21.95" customHeight="1" thickBot="1" x14ac:dyDescent="0.25">
      <c r="A13" s="320"/>
      <c r="B13" s="116" t="s">
        <v>145</v>
      </c>
      <c r="C13" s="809"/>
      <c r="D13" s="810"/>
      <c r="E13" s="322" t="s">
        <v>572</v>
      </c>
      <c r="F13" s="803" t="str">
        <f>IF(B10=""," ",F12-0.375)</f>
        <v xml:space="preserve"> </v>
      </c>
      <c r="G13" s="804"/>
      <c r="H13" s="322" t="s">
        <v>572</v>
      </c>
      <c r="I13" s="799" t="str">
        <f>IF(ISBLANK(I10), "", IFERROR(I12-0.375, ""))</f>
        <v/>
      </c>
      <c r="J13" s="800"/>
      <c r="Q13" s="330"/>
    </row>
    <row r="14" spans="1:19" s="321" customFormat="1" ht="21.95" customHeight="1" x14ac:dyDescent="0.25">
      <c r="A14" s="320"/>
      <c r="B14" s="815"/>
      <c r="C14" s="817"/>
      <c r="D14" s="819"/>
      <c r="E14" s="347"/>
      <c r="F14" s="328" t="str" cm="1">
        <f t="array" ref="F14">IF(B14=1,C14-2, IF(B14=2,C14-2, IF(B14=3,"", IF(B14=4,C14-1.75, IF(B14,ISBLANK,"")))))</f>
        <v/>
      </c>
      <c r="G14" s="315" t="str" cm="1">
        <f t="array" ref="G14">IF(B14=1,D14-1.625, IF(B14=2,D14-1.625, IF(B14=3,"", IF(B14=4,D14-1.25, IF(B14,ISBLANK,"")))))</f>
        <v/>
      </c>
      <c r="H14" s="349"/>
      <c r="I14" s="316" t="str" cm="1">
        <f t="array" ref="I14">IF(B14=1,"", IF(B14=2,C14-3, IF(B14=3,C14-3, IF(B14=4,"",IF(B14,ISBLANK,"")))))</f>
        <v/>
      </c>
      <c r="J14" s="317" t="str" cm="1">
        <f t="array" ref="J14">IF(B14=1,"", IF(B14=2,D14-1.625, IF(B14=3,D14-1.625, IF(B14=4,"", IF(B14,ISBLANK,"")))))</f>
        <v/>
      </c>
      <c r="M14" s="97"/>
      <c r="N14" s="97"/>
      <c r="O14" s="97"/>
      <c r="P14" s="97"/>
    </row>
    <row r="15" spans="1:19" s="321" customFormat="1" ht="21.95" customHeight="1" x14ac:dyDescent="0.2">
      <c r="A15" s="320"/>
      <c r="B15" s="816"/>
      <c r="C15" s="818"/>
      <c r="D15" s="820"/>
      <c r="E15" s="348"/>
      <c r="F15" s="351"/>
      <c r="G15" s="352"/>
      <c r="H15" s="348">
        <f>E15</f>
        <v>0</v>
      </c>
      <c r="I15" s="353"/>
      <c r="J15" s="354"/>
    </row>
    <row r="16" spans="1:19" s="321" customFormat="1" ht="21.95" customHeight="1" x14ac:dyDescent="0.2">
      <c r="A16" s="320"/>
      <c r="B16" s="816"/>
      <c r="C16" s="818"/>
      <c r="D16" s="820"/>
      <c r="E16" s="329" t="s">
        <v>571</v>
      </c>
      <c r="F16" s="801" t="str">
        <f>IF(B14=""," ",F14-0.1875)</f>
        <v xml:space="preserve"> </v>
      </c>
      <c r="G16" s="802"/>
      <c r="H16" s="329" t="s">
        <v>571</v>
      </c>
      <c r="I16" s="797" t="str">
        <f t="shared" ref="I16" si="0">IF(ISBLANK(I14), "", IFERROR(I14-0.1875, ""))</f>
        <v/>
      </c>
      <c r="J16" s="798"/>
    </row>
    <row r="17" spans="1:16" s="321" customFormat="1" ht="21.95" customHeight="1" thickBot="1" x14ac:dyDescent="0.25">
      <c r="A17" s="320"/>
      <c r="B17" s="116" t="s">
        <v>145</v>
      </c>
      <c r="C17" s="809"/>
      <c r="D17" s="810"/>
      <c r="E17" s="322" t="s">
        <v>572</v>
      </c>
      <c r="F17" s="803" t="str">
        <f>IF(B14=""," ",F16-0.375)</f>
        <v xml:space="preserve"> </v>
      </c>
      <c r="G17" s="804"/>
      <c r="H17" s="322" t="s">
        <v>572</v>
      </c>
      <c r="I17" s="799" t="str">
        <f t="shared" ref="I17" si="1">IF(ISBLANK(I14), "", IFERROR(I16-0.375, ""))</f>
        <v/>
      </c>
      <c r="J17" s="800"/>
    </row>
    <row r="18" spans="1:16" s="321" customFormat="1" ht="21.95" customHeight="1" x14ac:dyDescent="0.25">
      <c r="A18" s="320"/>
      <c r="B18" s="815"/>
      <c r="C18" s="817"/>
      <c r="D18" s="819"/>
      <c r="E18" s="347"/>
      <c r="F18" s="328" t="str" cm="1">
        <f t="array" ref="F18">IF(B18=1,C18-2, IF(B18=2,C18-2, IF(B18=3,"", IF(B18=4,C18-1.75, IF(B18,ISBLANK,"")))))</f>
        <v/>
      </c>
      <c r="G18" s="315" t="str" cm="1">
        <f t="array" ref="G18">IF(B18=1,D18-1.625, IF(B18=2,D18-1.625, IF(B18=3,"", IF(B18=4,D18-1.25, IF(B18,ISBLANK,"")))))</f>
        <v/>
      </c>
      <c r="H18" s="349"/>
      <c r="I18" s="316" t="str" cm="1">
        <f t="array" ref="I18">IF(B18=1,"", IF(B18=2,C18-3, IF(B18=3,C18-3, IF(B18=4,"",IF(B18,ISBLANK,"")))))</f>
        <v/>
      </c>
      <c r="J18" s="317" t="str" cm="1">
        <f t="array" ref="J18">IF(B18=1,"", IF(B18=2,D18-1.625, IF(B18=3,D18-1.625, IF(B18=4,"", IF(B18,ISBLANK,"")))))</f>
        <v/>
      </c>
      <c r="M18" s="97"/>
      <c r="N18" s="97"/>
      <c r="O18" s="97"/>
      <c r="P18" s="97"/>
    </row>
    <row r="19" spans="1:16" s="321" customFormat="1" ht="21.95" customHeight="1" x14ac:dyDescent="0.2">
      <c r="A19" s="320"/>
      <c r="B19" s="816"/>
      <c r="C19" s="818"/>
      <c r="D19" s="820"/>
      <c r="E19" s="348"/>
      <c r="F19" s="351"/>
      <c r="G19" s="352"/>
      <c r="H19" s="348">
        <f>E19</f>
        <v>0</v>
      </c>
      <c r="I19" s="353"/>
      <c r="J19" s="354"/>
    </row>
    <row r="20" spans="1:16" s="321" customFormat="1" ht="21.95" customHeight="1" x14ac:dyDescent="0.2">
      <c r="A20" s="320"/>
      <c r="B20" s="816"/>
      <c r="C20" s="818"/>
      <c r="D20" s="820"/>
      <c r="E20" s="329" t="s">
        <v>571</v>
      </c>
      <c r="F20" s="805" t="str">
        <f>IF(B18=""," ",F18-0.1875)</f>
        <v xml:space="preserve"> </v>
      </c>
      <c r="G20" s="806"/>
      <c r="H20" s="329" t="s">
        <v>571</v>
      </c>
      <c r="I20" s="797" t="str">
        <f t="shared" ref="I20" si="2">IF(ISBLANK(I18), "", IFERROR(I18-0.1875, ""))</f>
        <v/>
      </c>
      <c r="J20" s="798"/>
    </row>
    <row r="21" spans="1:16" s="321" customFormat="1" ht="21.95" customHeight="1" thickBot="1" x14ac:dyDescent="0.25">
      <c r="A21" s="320"/>
      <c r="B21" s="116" t="s">
        <v>145</v>
      </c>
      <c r="C21" s="809"/>
      <c r="D21" s="810"/>
      <c r="E21" s="322" t="s">
        <v>572</v>
      </c>
      <c r="F21" s="807" t="str">
        <f>IF(B18=""," ",F20-0.375)</f>
        <v xml:space="preserve"> </v>
      </c>
      <c r="G21" s="808"/>
      <c r="H21" s="322" t="s">
        <v>572</v>
      </c>
      <c r="I21" s="799" t="str">
        <f t="shared" ref="I21" si="3">IF(ISBLANK(I18), "", IFERROR(I20-0.375, ""))</f>
        <v/>
      </c>
      <c r="J21" s="800"/>
    </row>
    <row r="22" spans="1:16" s="321" customFormat="1" ht="21.95" customHeight="1" x14ac:dyDescent="0.25">
      <c r="A22" s="320"/>
      <c r="B22" s="815"/>
      <c r="C22" s="817"/>
      <c r="D22" s="819"/>
      <c r="E22" s="347"/>
      <c r="F22" s="328" t="str" cm="1">
        <f t="array" ref="F22">IF(B22=1,C22-2, IF(B22=2,C22-2, IF(B22=3,"", IF(B22=4,C22-1.75, IF(B22,ISBLANK,"")))))</f>
        <v/>
      </c>
      <c r="G22" s="315" t="str" cm="1">
        <f t="array" ref="G22">IF(B22=1,D22-1.625, IF(B22=2,D22-1.625, IF(B22=3,"", IF(B22=4,D22-1.25, IF(B22,ISBLANK,"")))))</f>
        <v/>
      </c>
      <c r="H22" s="349"/>
      <c r="I22" s="316" t="str" cm="1">
        <f t="array" ref="I22">IF(B22=1,"", IF(B22=2,C22-3, IF(B22=3,C22-3, IF(B22=4,"",IF(B22,ISBLANK,"")))))</f>
        <v/>
      </c>
      <c r="J22" s="317" t="str" cm="1">
        <f t="array" ref="J22">IF(B22=1,"", IF(B22=2,D22-1.625, IF(B22=3,D22-1.625, IF(B22=4,"", IF(B22,ISBLANK,"")))))</f>
        <v/>
      </c>
      <c r="M22" s="97"/>
      <c r="N22" s="97"/>
      <c r="O22" s="97"/>
      <c r="P22" s="97"/>
    </row>
    <row r="23" spans="1:16" s="321" customFormat="1" ht="21.95" customHeight="1" x14ac:dyDescent="0.2">
      <c r="A23" s="320"/>
      <c r="B23" s="816"/>
      <c r="C23" s="818"/>
      <c r="D23" s="820"/>
      <c r="E23" s="348"/>
      <c r="F23" s="351"/>
      <c r="G23" s="352"/>
      <c r="H23" s="348">
        <f>E23</f>
        <v>0</v>
      </c>
      <c r="I23" s="353"/>
      <c r="J23" s="354"/>
    </row>
    <row r="24" spans="1:16" s="321" customFormat="1" ht="21.95" customHeight="1" x14ac:dyDescent="0.2">
      <c r="A24" s="320"/>
      <c r="B24" s="816"/>
      <c r="C24" s="818"/>
      <c r="D24" s="820"/>
      <c r="E24" s="329" t="s">
        <v>571</v>
      </c>
      <c r="F24" s="805" t="str">
        <f>IF(B22=""," ",F22-0.1875)</f>
        <v xml:space="preserve"> </v>
      </c>
      <c r="G24" s="806"/>
      <c r="H24" s="329" t="s">
        <v>571</v>
      </c>
      <c r="I24" s="797" t="str">
        <f t="shared" ref="I24" si="4">IF(ISBLANK(I22), "", IFERROR(I22-0.1875, ""))</f>
        <v/>
      </c>
      <c r="J24" s="798"/>
    </row>
    <row r="25" spans="1:16" s="321" customFormat="1" ht="21.95" customHeight="1" thickBot="1" x14ac:dyDescent="0.25">
      <c r="A25" s="320"/>
      <c r="B25" s="116" t="s">
        <v>145</v>
      </c>
      <c r="C25" s="809"/>
      <c r="D25" s="810"/>
      <c r="E25" s="322" t="s">
        <v>572</v>
      </c>
      <c r="F25" s="807" t="str">
        <f>IF(B22=""," ",F24-0.375)</f>
        <v xml:space="preserve"> </v>
      </c>
      <c r="G25" s="808"/>
      <c r="H25" s="322" t="s">
        <v>572</v>
      </c>
      <c r="I25" s="799" t="str">
        <f t="shared" ref="I25" si="5">IF(ISBLANK(I22), "", IFERROR(I24-0.375, ""))</f>
        <v/>
      </c>
      <c r="J25" s="800"/>
    </row>
    <row r="26" spans="1:16" s="321" customFormat="1" ht="21.95" customHeight="1" x14ac:dyDescent="0.25">
      <c r="A26" s="320"/>
      <c r="B26" s="815"/>
      <c r="C26" s="817"/>
      <c r="D26" s="819"/>
      <c r="E26" s="347"/>
      <c r="F26" s="328" t="str" cm="1">
        <f t="array" ref="F26">IF(B26=1,C26-2, IF(B26=2,C26-2, IF(B26=3,"", IF(B26=4,C26-1.75, IF(B26,ISBLANK,"")))))</f>
        <v/>
      </c>
      <c r="G26" s="315" t="str" cm="1">
        <f t="array" ref="G26">IF(B26=1,D26-1.625, IF(B26=2,D26-1.625, IF(B26=3,"", IF(B26=4,D26-1.25, IF(B26,ISBLANK,"")))))</f>
        <v/>
      </c>
      <c r="H26" s="349"/>
      <c r="I26" s="316" t="str" cm="1">
        <f t="array" ref="I26">IF(B26=1,"", IF(B26=2,C26-3, IF(B26=3,C26-3, IF(B26=4,"",IF(B26,ISBLANK,"")))))</f>
        <v/>
      </c>
      <c r="J26" s="317" t="str" cm="1">
        <f t="array" ref="J26">IF(B26=1,"", IF(B26=2,D26-1.625, IF(B26=3,D26-1.625, IF(B26=4,"", IF(B26,ISBLANK,"")))))</f>
        <v/>
      </c>
      <c r="M26" s="97"/>
      <c r="N26" s="97"/>
      <c r="O26" s="97"/>
      <c r="P26" s="97"/>
    </row>
    <row r="27" spans="1:16" s="321" customFormat="1" ht="21.95" customHeight="1" x14ac:dyDescent="0.2">
      <c r="A27" s="320"/>
      <c r="B27" s="816"/>
      <c r="C27" s="818"/>
      <c r="D27" s="820"/>
      <c r="E27" s="348"/>
      <c r="F27" s="351"/>
      <c r="G27" s="352"/>
      <c r="H27" s="348">
        <f>E27</f>
        <v>0</v>
      </c>
      <c r="I27" s="353"/>
      <c r="J27" s="354"/>
    </row>
    <row r="28" spans="1:16" s="321" customFormat="1" ht="21.95" customHeight="1" x14ac:dyDescent="0.2">
      <c r="A28" s="320"/>
      <c r="B28" s="816"/>
      <c r="C28" s="818"/>
      <c r="D28" s="820"/>
      <c r="E28" s="329" t="s">
        <v>571</v>
      </c>
      <c r="F28" s="805" t="str">
        <f>IF(B26=""," ",F26-0.1875)</f>
        <v xml:space="preserve"> </v>
      </c>
      <c r="G28" s="806"/>
      <c r="H28" s="329" t="s">
        <v>571</v>
      </c>
      <c r="I28" s="797" t="str">
        <f t="shared" ref="I28" si="6">IF(ISBLANK(I26), "", IFERROR(I26-0.1875, ""))</f>
        <v/>
      </c>
      <c r="J28" s="798"/>
    </row>
    <row r="29" spans="1:16" s="321" customFormat="1" ht="21.95" customHeight="1" thickBot="1" x14ac:dyDescent="0.25">
      <c r="A29" s="320"/>
      <c r="B29" s="116" t="s">
        <v>145</v>
      </c>
      <c r="C29" s="809"/>
      <c r="D29" s="810"/>
      <c r="E29" s="322" t="s">
        <v>572</v>
      </c>
      <c r="F29" s="807" t="str">
        <f>IF(B26=""," ",F28-0.375)</f>
        <v xml:space="preserve"> </v>
      </c>
      <c r="G29" s="808"/>
      <c r="H29" s="322" t="s">
        <v>572</v>
      </c>
      <c r="I29" s="799" t="str">
        <f t="shared" ref="I29" si="7">IF(ISBLANK(I26), "", IFERROR(I28-0.375, ""))</f>
        <v/>
      </c>
      <c r="J29" s="800"/>
    </row>
    <row r="30" spans="1:16" s="321" customFormat="1" ht="21.95" customHeight="1" x14ac:dyDescent="0.25">
      <c r="A30" s="320"/>
      <c r="B30" s="815"/>
      <c r="C30" s="817"/>
      <c r="D30" s="819"/>
      <c r="E30" s="347"/>
      <c r="F30" s="328" t="str" cm="1">
        <f t="array" ref="F30">IF(B30=1,C30-2, IF(B30=2,C30-2, IF(B30=3,"", IF(B30=4,C30-1.75, IF(B30,ISBLANK,"")))))</f>
        <v/>
      </c>
      <c r="G30" s="315" t="str" cm="1">
        <f t="array" ref="G30">IF(B30=1,D30-1.625, IF(B30=2,D30-1.625, IF(B30=3,"", IF(B30=4,D30-1.25, IF(B30,ISBLANK,"")))))</f>
        <v/>
      </c>
      <c r="H30" s="349"/>
      <c r="I30" s="316" t="str" cm="1">
        <f t="array" ref="I30">IF(B30=1,"", IF(B30=2,C30-3, IF(B30=3,C30-3, IF(B30=4,"",IF(B30,ISBLANK,"")))))</f>
        <v/>
      </c>
      <c r="J30" s="317" t="str" cm="1">
        <f t="array" ref="J30">IF(B30=1,"", IF(B30=2,D30-1.625, IF(B30=3,D30-1.625, IF(B30=4,"", IF(B30,ISBLANK,"")))))</f>
        <v/>
      </c>
      <c r="M30" s="97"/>
      <c r="N30" s="97"/>
      <c r="O30" s="97"/>
      <c r="P30" s="97"/>
    </row>
    <row r="31" spans="1:16" s="321" customFormat="1" ht="21.95" customHeight="1" x14ac:dyDescent="0.2">
      <c r="A31" s="320"/>
      <c r="B31" s="816"/>
      <c r="C31" s="818"/>
      <c r="D31" s="820"/>
      <c r="E31" s="348"/>
      <c r="F31" s="351"/>
      <c r="G31" s="352"/>
      <c r="H31" s="348">
        <f>E31</f>
        <v>0</v>
      </c>
      <c r="I31" s="353"/>
      <c r="J31" s="354"/>
    </row>
    <row r="32" spans="1:16" s="321" customFormat="1" ht="21.95" customHeight="1" x14ac:dyDescent="0.2">
      <c r="A32" s="320"/>
      <c r="B32" s="816"/>
      <c r="C32" s="818"/>
      <c r="D32" s="820"/>
      <c r="E32" s="329" t="s">
        <v>571</v>
      </c>
      <c r="F32" s="801" t="str">
        <f>IF(B30=""," ",F30-0.1875)</f>
        <v xml:space="preserve"> </v>
      </c>
      <c r="G32" s="802"/>
      <c r="H32" s="329" t="s">
        <v>571</v>
      </c>
      <c r="I32" s="797" t="str">
        <f t="shared" ref="I32" si="8">IF(ISBLANK(I30), "", IFERROR(I30-0.1875, ""))</f>
        <v/>
      </c>
      <c r="J32" s="798"/>
    </row>
    <row r="33" spans="1:16" s="321" customFormat="1" ht="21.95" customHeight="1" thickBot="1" x14ac:dyDescent="0.25">
      <c r="A33" s="320"/>
      <c r="B33" s="116" t="s">
        <v>145</v>
      </c>
      <c r="C33" s="809"/>
      <c r="D33" s="810"/>
      <c r="E33" s="322" t="s">
        <v>572</v>
      </c>
      <c r="F33" s="803" t="str">
        <f>IF(B30=""," ",F32-0.375)</f>
        <v xml:space="preserve"> </v>
      </c>
      <c r="G33" s="804"/>
      <c r="H33" s="322" t="s">
        <v>572</v>
      </c>
      <c r="I33" s="799" t="str">
        <f t="shared" ref="I33" si="9">IF(ISBLANK(I30), "", IFERROR(I32-0.375, ""))</f>
        <v/>
      </c>
      <c r="J33" s="800"/>
    </row>
    <row r="34" spans="1:16" s="321" customFormat="1" ht="21.95" customHeight="1" x14ac:dyDescent="0.25">
      <c r="A34" s="320"/>
      <c r="B34" s="815"/>
      <c r="C34" s="817"/>
      <c r="D34" s="819"/>
      <c r="E34" s="347"/>
      <c r="F34" s="328" t="str" cm="1">
        <f t="array" ref="F34">IF(B34=1,C34-2, IF(B34=2,C34-2, IF(B34=3,"", IF(B34=4,C34-1.75, IF(B34,ISBLANK,"")))))</f>
        <v/>
      </c>
      <c r="G34" s="315" t="str" cm="1">
        <f t="array" ref="G34">IF(B34=1,D34-1.625, IF(B34=2,D34-1.625, IF(B34=3,"", IF(B34=4,D34-1.25, IF(B34,ISBLANK,"")))))</f>
        <v/>
      </c>
      <c r="H34" s="349"/>
      <c r="I34" s="316" t="str" cm="1">
        <f t="array" ref="I34">IF(B34=1,"", IF(B34=2,C34-3, IF(B34=3,C34-3, IF(B34=4,"",IF(B34,ISBLANK,"")))))</f>
        <v/>
      </c>
      <c r="J34" s="317" t="str" cm="1">
        <f t="array" ref="J34">IF(B34=1,"", IF(B34=2,D34-1.625, IF(B34=3,D34-1.625, IF(B34=4,"", IF(B34,ISBLANK,"")))))</f>
        <v/>
      </c>
      <c r="M34" s="97"/>
      <c r="N34" s="97"/>
      <c r="O34" s="97"/>
      <c r="P34" s="97"/>
    </row>
    <row r="35" spans="1:16" s="321" customFormat="1" ht="21.95" customHeight="1" x14ac:dyDescent="0.2">
      <c r="A35" s="320"/>
      <c r="B35" s="816"/>
      <c r="C35" s="818"/>
      <c r="D35" s="820"/>
      <c r="E35" s="348"/>
      <c r="F35" s="351"/>
      <c r="G35" s="352"/>
      <c r="H35" s="348">
        <f>E35</f>
        <v>0</v>
      </c>
      <c r="I35" s="353"/>
      <c r="J35" s="354"/>
    </row>
    <row r="36" spans="1:16" s="321" customFormat="1" ht="21.95" customHeight="1" x14ac:dyDescent="0.2">
      <c r="A36" s="320"/>
      <c r="B36" s="816"/>
      <c r="C36" s="818"/>
      <c r="D36" s="820"/>
      <c r="E36" s="350" t="s">
        <v>571</v>
      </c>
      <c r="F36" s="801" t="str">
        <f>IF(B34=""," ",F34-0.1875)</f>
        <v xml:space="preserve"> </v>
      </c>
      <c r="G36" s="802"/>
      <c r="H36" s="329" t="s">
        <v>571</v>
      </c>
      <c r="I36" s="797" t="str">
        <f t="shared" ref="I36" si="10">IF(ISBLANK(I34), "", IFERROR(I34-0.1875, ""))</f>
        <v/>
      </c>
      <c r="J36" s="798"/>
    </row>
    <row r="37" spans="1:16" s="321" customFormat="1" ht="21.95" customHeight="1" thickBot="1" x14ac:dyDescent="0.25">
      <c r="A37" s="320"/>
      <c r="B37" s="116" t="s">
        <v>145</v>
      </c>
      <c r="C37" s="809"/>
      <c r="D37" s="810"/>
      <c r="E37" s="322" t="s">
        <v>572</v>
      </c>
      <c r="F37" s="803" t="str">
        <f>IF(B34=""," ",F36-0.375)</f>
        <v xml:space="preserve"> </v>
      </c>
      <c r="G37" s="804"/>
      <c r="H37" s="322" t="s">
        <v>572</v>
      </c>
      <c r="I37" s="799" t="str">
        <f t="shared" ref="I37" si="11">IF(ISBLANK(I34), "", IFERROR(I36-0.375, ""))</f>
        <v/>
      </c>
      <c r="J37" s="800"/>
    </row>
    <row r="38" spans="1:16" s="321" customFormat="1" ht="21.95" customHeight="1" x14ac:dyDescent="0.25">
      <c r="A38" s="320"/>
      <c r="B38" s="815"/>
      <c r="C38" s="817"/>
      <c r="D38" s="819"/>
      <c r="E38" s="347"/>
      <c r="F38" s="328" t="str" cm="1">
        <f t="array" ref="F38">IF(B38=1,C38-2, IF(B38=2,C38-2, IF(B38=3,"", IF(B38=4,C38-1.75, IF(B38,ISBLANK,"")))))</f>
        <v/>
      </c>
      <c r="G38" s="315" t="str" cm="1">
        <f t="array" ref="G38">IF(B38=1,D38-1.625, IF(B38=2,D38-1.625, IF(B38=3,"", IF(B38=4,D38-1.25, IF(B38,ISBLANK,"")))))</f>
        <v/>
      </c>
      <c r="H38" s="349"/>
      <c r="I38" s="316" t="str" cm="1">
        <f t="array" ref="I38">IF(B38=1,"", IF(B38=2,C38-3, IF(B38=3,C38-3, IF(B38=4,"",IF(B38,ISBLANK,"")))))</f>
        <v/>
      </c>
      <c r="J38" s="317" t="str" cm="1">
        <f t="array" ref="J38">IF(B38=1,"", IF(B38=2,D38-1.625, IF(B38=3,D38-1.625, IF(B38=4,"", IF(B38,ISBLANK,"")))))</f>
        <v/>
      </c>
      <c r="M38" s="97"/>
      <c r="N38" s="97"/>
      <c r="O38" s="97"/>
      <c r="P38" s="97"/>
    </row>
    <row r="39" spans="1:16" s="321" customFormat="1" ht="21.95" customHeight="1" x14ac:dyDescent="0.2">
      <c r="A39" s="320"/>
      <c r="B39" s="816"/>
      <c r="C39" s="818"/>
      <c r="D39" s="820"/>
      <c r="E39" s="348"/>
      <c r="F39" s="351"/>
      <c r="G39" s="352"/>
      <c r="H39" s="348">
        <f>E39</f>
        <v>0</v>
      </c>
      <c r="I39" s="353"/>
      <c r="J39" s="354"/>
    </row>
    <row r="40" spans="1:16" s="321" customFormat="1" ht="21.95" customHeight="1" x14ac:dyDescent="0.2">
      <c r="A40" s="320"/>
      <c r="B40" s="816"/>
      <c r="C40" s="818"/>
      <c r="D40" s="820"/>
      <c r="E40" s="329" t="s">
        <v>571</v>
      </c>
      <c r="F40" s="805" t="str">
        <f>IF(B38=""," ",F38-0.1875)</f>
        <v xml:space="preserve"> </v>
      </c>
      <c r="G40" s="806"/>
      <c r="H40" s="329" t="s">
        <v>571</v>
      </c>
      <c r="I40" s="797" t="str">
        <f t="shared" ref="I40" si="12">IF(ISBLANK(I38), "", IFERROR(I38-0.1875, ""))</f>
        <v/>
      </c>
      <c r="J40" s="798"/>
    </row>
    <row r="41" spans="1:16" s="321" customFormat="1" ht="21.95" customHeight="1" thickBot="1" x14ac:dyDescent="0.25">
      <c r="A41" s="320"/>
      <c r="B41" s="116" t="s">
        <v>145</v>
      </c>
      <c r="C41" s="809"/>
      <c r="D41" s="810"/>
      <c r="E41" s="322" t="s">
        <v>572</v>
      </c>
      <c r="F41" s="807" t="str">
        <f>IF(B38=""," ",F40-0.375)</f>
        <v xml:space="preserve"> </v>
      </c>
      <c r="G41" s="808"/>
      <c r="H41" s="322" t="s">
        <v>572</v>
      </c>
      <c r="I41" s="799" t="str">
        <f t="shared" ref="I41" si="13">IF(ISBLANK(I38), "", IFERROR(I40-0.375, ""))</f>
        <v/>
      </c>
      <c r="J41" s="800"/>
    </row>
    <row r="42" spans="1:16" s="321" customFormat="1" ht="21.95" customHeight="1" x14ac:dyDescent="0.25">
      <c r="A42" s="320"/>
      <c r="B42" s="815"/>
      <c r="C42" s="817"/>
      <c r="D42" s="819"/>
      <c r="E42" s="347"/>
      <c r="F42" s="328" t="str" cm="1">
        <f t="array" ref="F42">IF(B42=1,C42-2, IF(B42=2,C42-2, IF(B42=3,"", IF(B42=4,C42-1.75, IF(B42,ISBLANK,"")))))</f>
        <v/>
      </c>
      <c r="G42" s="315" t="str" cm="1">
        <f t="array" ref="G42">IF(B42=1,D42-1.625, IF(B42=2,D42-1.625, IF(B42=3,"", IF(B42=4,D42-1.25, IF(B42,ISBLANK,"")))))</f>
        <v/>
      </c>
      <c r="H42" s="349"/>
      <c r="I42" s="316" t="str" cm="1">
        <f t="array" ref="I42">IF(B42=1,"", IF(B42=2,C42-3, IF(B42=3,C42-3, IF(B42=4,"",IF(B42,ISBLANK,"")))))</f>
        <v/>
      </c>
      <c r="J42" s="317" t="str" cm="1">
        <f t="array" ref="J42">IF(B42=1,"", IF(B42=2,D42-1.625, IF(B42=3,D42-1.625, IF(B42=4,"", IF(B42,ISBLANK,"")))))</f>
        <v/>
      </c>
      <c r="M42" s="97"/>
      <c r="N42" s="97"/>
      <c r="O42" s="97"/>
      <c r="P42" s="97"/>
    </row>
    <row r="43" spans="1:16" s="321" customFormat="1" ht="21.95" customHeight="1" x14ac:dyDescent="0.2">
      <c r="A43" s="320"/>
      <c r="B43" s="816"/>
      <c r="C43" s="818"/>
      <c r="D43" s="820"/>
      <c r="E43" s="348"/>
      <c r="F43" s="351"/>
      <c r="G43" s="352"/>
      <c r="H43" s="348">
        <f>E43</f>
        <v>0</v>
      </c>
      <c r="I43" s="353"/>
      <c r="J43" s="354"/>
    </row>
    <row r="44" spans="1:16" s="321" customFormat="1" ht="21.95" customHeight="1" x14ac:dyDescent="0.2">
      <c r="A44" s="320"/>
      <c r="B44" s="816"/>
      <c r="C44" s="818"/>
      <c r="D44" s="820"/>
      <c r="E44" s="329" t="s">
        <v>571</v>
      </c>
      <c r="F44" s="805" t="str">
        <f>IF(B42=""," ",F42-0.1875)</f>
        <v xml:space="preserve"> </v>
      </c>
      <c r="G44" s="806"/>
      <c r="H44" s="329" t="s">
        <v>571</v>
      </c>
      <c r="I44" s="793" t="str">
        <f t="shared" ref="I44" si="14">IF(ISBLANK(I42), "", IFERROR(I42-0.1875, ""))</f>
        <v/>
      </c>
      <c r="J44" s="794"/>
    </row>
    <row r="45" spans="1:16" s="321" customFormat="1" ht="21.95" customHeight="1" thickBot="1" x14ac:dyDescent="0.25">
      <c r="A45" s="320"/>
      <c r="B45" s="116" t="s">
        <v>145</v>
      </c>
      <c r="C45" s="809"/>
      <c r="D45" s="810"/>
      <c r="E45" s="322" t="s">
        <v>572</v>
      </c>
      <c r="F45" s="807" t="str">
        <f>IF(B42=""," ",F44-0.375)</f>
        <v xml:space="preserve"> </v>
      </c>
      <c r="G45" s="808"/>
      <c r="H45" s="322" t="s">
        <v>572</v>
      </c>
      <c r="I45" s="795" t="str">
        <f t="shared" ref="I45" si="15">IF(ISBLANK(I42), "", IFERROR(I44-0.375, ""))</f>
        <v/>
      </c>
      <c r="J45" s="796"/>
    </row>
    <row r="46" spans="1:16" s="321" customFormat="1" ht="21.95" customHeight="1" x14ac:dyDescent="0.25">
      <c r="A46" s="320"/>
      <c r="B46" s="815"/>
      <c r="C46" s="817"/>
      <c r="D46" s="819"/>
      <c r="E46" s="347"/>
      <c r="F46" s="328" t="str" cm="1">
        <f t="array" ref="F46">IF(B46=1,C46-2, IF(B46=2,C46-2, IF(B46=3,"", IF(B46=4,C46-1.75, IF(B46,ISBLANK,"")))))</f>
        <v/>
      </c>
      <c r="G46" s="315" t="str" cm="1">
        <f t="array" ref="G46">IF(B46=1,D46-1.625, IF(B46=2,D46-1.625, IF(B46=3,"", IF(B46=4,D46-1.25, IF(B46,ISBLANK,"")))))</f>
        <v/>
      </c>
      <c r="H46" s="349"/>
      <c r="I46" s="316" t="str" cm="1">
        <f t="array" ref="I46">IF(B46=1,"", IF(B46=2,C46-3, IF(B46=3,C46-3, IF(B46=4,"",IF(B46,ISBLANK,"")))))</f>
        <v/>
      </c>
      <c r="J46" s="317" t="str" cm="1">
        <f t="array" ref="J46">IF(B46=1,"", IF(B46=2,D46-1.625, IF(B46=3,D46-1.625, IF(B46=4,"", IF(B46,ISBLANK,"")))))</f>
        <v/>
      </c>
      <c r="M46" s="97"/>
      <c r="N46" s="97"/>
      <c r="O46" s="97"/>
      <c r="P46" s="97"/>
    </row>
    <row r="47" spans="1:16" s="321" customFormat="1" ht="21.95" customHeight="1" x14ac:dyDescent="0.2">
      <c r="A47" s="320"/>
      <c r="B47" s="816"/>
      <c r="C47" s="818"/>
      <c r="D47" s="820"/>
      <c r="E47" s="348"/>
      <c r="F47" s="351"/>
      <c r="G47" s="352"/>
      <c r="H47" s="348">
        <f>E47</f>
        <v>0</v>
      </c>
      <c r="I47" s="353"/>
      <c r="J47" s="354"/>
    </row>
    <row r="48" spans="1:16" s="321" customFormat="1" ht="21.95" customHeight="1" x14ac:dyDescent="0.2">
      <c r="A48" s="320"/>
      <c r="B48" s="816"/>
      <c r="C48" s="818"/>
      <c r="D48" s="820"/>
      <c r="E48" s="329" t="s">
        <v>571</v>
      </c>
      <c r="F48" s="801" t="str">
        <f>IF(B46=""," ",F46-0.1875)</f>
        <v xml:space="preserve"> </v>
      </c>
      <c r="G48" s="802"/>
      <c r="H48" s="329" t="s">
        <v>571</v>
      </c>
      <c r="I48" s="793" t="str">
        <f t="shared" ref="I48" si="16">IF(ISBLANK(I46), "", IFERROR(I46-0.1875, ""))</f>
        <v/>
      </c>
      <c r="J48" s="794"/>
    </row>
    <row r="49" spans="1:14" s="321" customFormat="1" ht="21.95" customHeight="1" thickBot="1" x14ac:dyDescent="0.25">
      <c r="A49" s="320"/>
      <c r="B49" s="116" t="s">
        <v>145</v>
      </c>
      <c r="C49" s="809"/>
      <c r="D49" s="810"/>
      <c r="E49" s="322" t="s">
        <v>572</v>
      </c>
      <c r="F49" s="803" t="str">
        <f>IF(B46=""," ",F48-0.375)</f>
        <v xml:space="preserve"> </v>
      </c>
      <c r="G49" s="804"/>
      <c r="H49" s="322" t="s">
        <v>572</v>
      </c>
      <c r="I49" s="795" t="str">
        <f t="shared" ref="I49" si="17">IF(ISBLANK(I46), "", IFERROR(I48-0.375, ""))</f>
        <v/>
      </c>
      <c r="J49" s="796"/>
    </row>
    <row r="50" spans="1:14" ht="16.5" thickBot="1" x14ac:dyDescent="0.3">
      <c r="B50" s="811" t="s">
        <v>272</v>
      </c>
      <c r="C50" s="812"/>
      <c r="D50" s="812"/>
      <c r="E50" s="813"/>
      <c r="F50" s="812"/>
      <c r="G50" s="812"/>
      <c r="H50" s="812"/>
      <c r="I50" s="812"/>
      <c r="J50" s="814"/>
      <c r="N50" s="321"/>
    </row>
    <row r="51" spans="1:14" ht="15" x14ac:dyDescent="0.2">
      <c r="N51" s="321"/>
    </row>
    <row r="52" spans="1:14" ht="15" x14ac:dyDescent="0.2">
      <c r="N52" s="321"/>
    </row>
    <row r="53" spans="1:14" ht="15" x14ac:dyDescent="0.2">
      <c r="N53" s="321"/>
    </row>
    <row r="54" spans="1:14" ht="15" x14ac:dyDescent="0.2">
      <c r="N54" s="321"/>
    </row>
  </sheetData>
  <sheetProtection formatCells="0"/>
  <mergeCells count="94">
    <mergeCell ref="B1:D1"/>
    <mergeCell ref="F1:J1"/>
    <mergeCell ref="B2:C4"/>
    <mergeCell ref="D2:D4"/>
    <mergeCell ref="F2:J2"/>
    <mergeCell ref="E3:E4"/>
    <mergeCell ref="H4:J4"/>
    <mergeCell ref="P4:S8"/>
    <mergeCell ref="B5:C8"/>
    <mergeCell ref="H6:J6"/>
    <mergeCell ref="H8:J8"/>
    <mergeCell ref="F9:G9"/>
    <mergeCell ref="I9:J9"/>
    <mergeCell ref="B22:B24"/>
    <mergeCell ref="C22:C24"/>
    <mergeCell ref="D22:D24"/>
    <mergeCell ref="B10:B12"/>
    <mergeCell ref="C10:C12"/>
    <mergeCell ref="D10:D12"/>
    <mergeCell ref="C13:D13"/>
    <mergeCell ref="B14:B16"/>
    <mergeCell ref="C14:C16"/>
    <mergeCell ref="D14:D16"/>
    <mergeCell ref="C17:D17"/>
    <mergeCell ref="B18:B20"/>
    <mergeCell ref="C18:C20"/>
    <mergeCell ref="D18:D20"/>
    <mergeCell ref="C21:D21"/>
    <mergeCell ref="B38:B40"/>
    <mergeCell ref="C38:C40"/>
    <mergeCell ref="D38:D40"/>
    <mergeCell ref="C25:D25"/>
    <mergeCell ref="B26:B28"/>
    <mergeCell ref="C26:C28"/>
    <mergeCell ref="D26:D28"/>
    <mergeCell ref="C29:D29"/>
    <mergeCell ref="B30:B32"/>
    <mergeCell ref="C30:C32"/>
    <mergeCell ref="D30:D32"/>
    <mergeCell ref="C33:D33"/>
    <mergeCell ref="B34:B36"/>
    <mergeCell ref="C34:C36"/>
    <mergeCell ref="D34:D36"/>
    <mergeCell ref="C37:D37"/>
    <mergeCell ref="C49:D49"/>
    <mergeCell ref="B50:J50"/>
    <mergeCell ref="C41:D41"/>
    <mergeCell ref="B42:B44"/>
    <mergeCell ref="C42:C44"/>
    <mergeCell ref="D42:D44"/>
    <mergeCell ref="C45:D45"/>
    <mergeCell ref="B46:B48"/>
    <mergeCell ref="C46:C48"/>
    <mergeCell ref="D46:D48"/>
    <mergeCell ref="F41:G41"/>
    <mergeCell ref="F44:G44"/>
    <mergeCell ref="F45:G45"/>
    <mergeCell ref="F48:G48"/>
    <mergeCell ref="F49:G49"/>
    <mergeCell ref="I41:J41"/>
    <mergeCell ref="F12:G12"/>
    <mergeCell ref="F13:G13"/>
    <mergeCell ref="F16:G16"/>
    <mergeCell ref="F17:G17"/>
    <mergeCell ref="F20:G20"/>
    <mergeCell ref="F21:G21"/>
    <mergeCell ref="F24:G24"/>
    <mergeCell ref="F25:G25"/>
    <mergeCell ref="F28:G28"/>
    <mergeCell ref="F29:G29"/>
    <mergeCell ref="F32:G32"/>
    <mergeCell ref="F33:G33"/>
    <mergeCell ref="F36:G36"/>
    <mergeCell ref="F37:G37"/>
    <mergeCell ref="F40:G40"/>
    <mergeCell ref="I12:J12"/>
    <mergeCell ref="I13:J13"/>
    <mergeCell ref="I16:J16"/>
    <mergeCell ref="I17:J17"/>
    <mergeCell ref="I20:J20"/>
    <mergeCell ref="I21:J21"/>
    <mergeCell ref="I24:J24"/>
    <mergeCell ref="I25:J25"/>
    <mergeCell ref="I28:J28"/>
    <mergeCell ref="I29:J29"/>
    <mergeCell ref="I44:J44"/>
    <mergeCell ref="I45:J45"/>
    <mergeCell ref="I48:J48"/>
    <mergeCell ref="I49:J49"/>
    <mergeCell ref="I32:J32"/>
    <mergeCell ref="I33:J33"/>
    <mergeCell ref="I36:J36"/>
    <mergeCell ref="I37:J37"/>
    <mergeCell ref="I40:J40"/>
  </mergeCells>
  <dataValidations count="2">
    <dataValidation type="whole" allowBlank="1" showInputMessage="1" showErrorMessage="1" sqref="B10:B12 B14:B16 B18:B20 B22:B24 B26:B28 B30:B32 B34:B36 B38:B40 B42:B44 B46:B48" xr:uid="{BAD0BA75-C9C4-459D-A8E3-E9278BD5F02B}">
      <formula1>1</formula1>
      <formula2>4</formula2>
    </dataValidation>
    <dataValidation type="list" allowBlank="1" showInputMessage="1" showErrorMessage="1" sqref="D10:D12 D14:D16 D18:D20 D22:D24 D26:D28 D30:D32 D34:D36 D38:D40 D42:D44 D46:D48" xr:uid="{ADC93D8C-6BDF-409C-A37E-4B7CA26A78F2}">
      <formula1>"12,15,18,21"</formula1>
    </dataValidation>
  </dataValidations>
  <printOptions horizontalCentered="1"/>
  <pageMargins left="0.25" right="0.25" top="0.25" bottom="0.5" header="0" footer="0"/>
  <pageSetup scale="71" orientation="portrait" r:id="rId1"/>
  <drawing r:id="rId2"/>
  <legacyDrawing r:id="rId3"/>
  <controls>
    <mc:AlternateContent xmlns:mc="http://schemas.openxmlformats.org/markup-compatibility/2006">
      <mc:Choice Requires="x14">
        <control shapeId="36865" r:id="rId4" name="CommandButton1">
          <controlPr defaultSize="0" autoLine="0" r:id="rId5">
            <anchor moveWithCells="1">
              <from>
                <xdr:col>11</xdr:col>
                <xdr:colOff>733425</xdr:colOff>
                <xdr:row>9</xdr:row>
                <xdr:rowOff>76200</xdr:rowOff>
              </from>
              <to>
                <xdr:col>12</xdr:col>
                <xdr:colOff>542925</xdr:colOff>
                <xdr:row>11</xdr:row>
                <xdr:rowOff>209550</xdr:rowOff>
              </to>
            </anchor>
          </controlPr>
        </control>
      </mc:Choice>
      <mc:Fallback>
        <control shapeId="36865" r:id="rId4" name="CommandButton1"/>
      </mc:Fallback>
    </mc:AlternateContent>
    <mc:AlternateContent xmlns:mc="http://schemas.openxmlformats.org/markup-compatibility/2006">
      <mc:Choice Requires="x14">
        <control shapeId="36866" r:id="rId6" name="CommandButton2">
          <controlPr defaultSize="0" autoLine="0" r:id="rId7">
            <anchor moveWithCells="1">
              <from>
                <xdr:col>11</xdr:col>
                <xdr:colOff>723900</xdr:colOff>
                <xdr:row>13</xdr:row>
                <xdr:rowOff>133350</xdr:rowOff>
              </from>
              <to>
                <xdr:col>12</xdr:col>
                <xdr:colOff>533400</xdr:colOff>
                <xdr:row>15</xdr:row>
                <xdr:rowOff>266700</xdr:rowOff>
              </to>
            </anchor>
          </controlPr>
        </control>
      </mc:Choice>
      <mc:Fallback>
        <control shapeId="36866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09FD40-652F-45B3-95B5-4C1DA7C3FC2C}">
          <x14:formula1>
            <xm:f>'Data Conversions'!$M$30:$M$39</xm:f>
          </x14:formula1>
          <xm:sqref>H10 E10 H14 H18 H22 H26 H30 H34 H38 H42 H46 E14 E18 E22 E26 E30 E34 E38 E42 E46</xm:sqref>
        </x14:dataValidation>
        <x14:dataValidation type="list" allowBlank="1" showInputMessage="1" showErrorMessage="1" xr:uid="{BDB4E974-3D5C-474C-8786-320022B2F89F}">
          <x14:formula1>
            <xm:f>'Data Conversions'!$L$30:$L$52</xm:f>
          </x14:formula1>
          <xm:sqref>H47 H15 H39 H35 H31 H27 H11 H23 H43 H19</xm:sqref>
        </x14:dataValidation>
        <x14:dataValidation type="list" allowBlank="1" showInputMessage="1" showErrorMessage="1" xr:uid="{0176E55F-33F1-49FA-B363-22940950A84C}">
          <x14:formula1>
            <xm:f>'Data Conversions'!$L$30:$L$35</xm:f>
          </x14:formula1>
          <xm:sqref>E11 E15 E19 E23 E27 E31 E35 E39 E43 E47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92920-92AE-4E52-A168-9A44C3145A77}">
  <sheetPr codeName="Sheet16">
    <pageSetUpPr autoPageBreaks="0" fitToPage="1"/>
  </sheetPr>
  <dimension ref="A1:U51"/>
  <sheetViews>
    <sheetView zoomScaleNormal="100" workbookViewId="0">
      <selection activeCell="B11" sqref="B11:C13"/>
    </sheetView>
  </sheetViews>
  <sheetFormatPr defaultColWidth="9.140625" defaultRowHeight="15.75" x14ac:dyDescent="0.25"/>
  <cols>
    <col min="1" max="1" width="2.7109375" style="102" customWidth="1"/>
    <col min="2" max="5" width="9.140625" style="102"/>
    <col min="6" max="6" width="2.7109375" style="102" customWidth="1"/>
    <col min="7" max="7" width="9.7109375" style="102" customWidth="1"/>
    <col min="8" max="9" width="12.7109375" style="102" customWidth="1"/>
    <col min="10" max="10" width="6.7109375" style="102" customWidth="1"/>
    <col min="11" max="11" width="16.7109375" style="102" customWidth="1"/>
    <col min="12" max="13" width="17.7109375" style="102" customWidth="1"/>
    <col min="14" max="15" width="12.7109375" style="102" customWidth="1"/>
    <col min="16" max="16" width="2.7109375" style="102" customWidth="1"/>
    <col min="17" max="17" width="25.7109375" style="102" customWidth="1"/>
    <col min="18" max="18" width="9.140625" style="102" customWidth="1"/>
    <col min="19" max="16384" width="9.140625" style="102"/>
  </cols>
  <sheetData>
    <row r="1" spans="1:21" ht="33" customHeight="1" x14ac:dyDescent="0.25">
      <c r="A1" s="903"/>
      <c r="B1" s="906" t="s">
        <v>452</v>
      </c>
      <c r="C1" s="907"/>
      <c r="D1" s="907"/>
      <c r="E1" s="908"/>
      <c r="F1" s="915"/>
      <c r="G1" s="916" t="s">
        <v>43</v>
      </c>
      <c r="H1" s="917"/>
      <c r="I1" s="917"/>
      <c r="J1" s="302"/>
      <c r="K1" s="920" t="s">
        <v>376</v>
      </c>
      <c r="L1" s="920"/>
      <c r="M1" s="920"/>
      <c r="N1" s="920"/>
      <c r="O1" s="921"/>
    </row>
    <row r="2" spans="1:21" ht="33" customHeight="1" x14ac:dyDescent="0.25">
      <c r="A2" s="904"/>
      <c r="B2" s="909"/>
      <c r="C2" s="907"/>
      <c r="D2" s="907"/>
      <c r="E2" s="908"/>
      <c r="F2" s="904"/>
      <c r="G2" s="910"/>
      <c r="H2" s="911"/>
      <c r="I2" s="911"/>
      <c r="J2" s="303"/>
      <c r="K2" s="922" t="s">
        <v>138</v>
      </c>
      <c r="L2" s="922"/>
      <c r="M2" s="922"/>
      <c r="N2" s="922"/>
      <c r="O2" s="923"/>
    </row>
    <row r="3" spans="1:21" ht="15" customHeight="1" x14ac:dyDescent="0.25">
      <c r="A3" s="904"/>
      <c r="B3" s="909"/>
      <c r="C3" s="907"/>
      <c r="D3" s="907"/>
      <c r="E3" s="908"/>
      <c r="F3" s="904"/>
      <c r="G3" s="910"/>
      <c r="H3" s="911"/>
      <c r="I3" s="911"/>
      <c r="J3" s="924" t="s">
        <v>128</v>
      </c>
      <c r="K3" s="925"/>
      <c r="L3" s="303"/>
      <c r="M3" s="303"/>
      <c r="N3" s="303"/>
      <c r="O3" s="304"/>
    </row>
    <row r="4" spans="1:21" ht="15" customHeight="1" x14ac:dyDescent="0.25">
      <c r="A4" s="904"/>
      <c r="B4" s="909"/>
      <c r="C4" s="907"/>
      <c r="D4" s="907"/>
      <c r="E4" s="908"/>
      <c r="F4" s="904"/>
      <c r="G4" s="910"/>
      <c r="H4" s="911"/>
      <c r="I4" s="911"/>
      <c r="J4" s="926" t="str">
        <f>'Data Entry'!F3</f>
        <v>SCOTT</v>
      </c>
      <c r="K4" s="927"/>
      <c r="L4" s="305" t="s">
        <v>118</v>
      </c>
      <c r="M4" s="930">
        <f ca="1">TODAY()</f>
        <v>46160</v>
      </c>
      <c r="N4" s="930"/>
      <c r="O4" s="931"/>
    </row>
    <row r="5" spans="1:21" ht="15" customHeight="1" x14ac:dyDescent="0.25">
      <c r="A5" s="904"/>
      <c r="B5" s="910"/>
      <c r="C5" s="911"/>
      <c r="D5" s="911"/>
      <c r="E5" s="912"/>
      <c r="F5" s="904"/>
      <c r="G5" s="910"/>
      <c r="H5" s="911"/>
      <c r="I5" s="911"/>
      <c r="J5" s="928"/>
      <c r="K5" s="929"/>
      <c r="L5" s="306"/>
      <c r="M5" s="306"/>
      <c r="N5" s="306"/>
      <c r="O5" s="307"/>
    </row>
    <row r="6" spans="1:21" ht="15" customHeight="1" x14ac:dyDescent="0.25">
      <c r="A6" s="904"/>
      <c r="B6" s="910"/>
      <c r="C6" s="911"/>
      <c r="D6" s="911"/>
      <c r="E6" s="912"/>
      <c r="F6" s="904"/>
      <c r="G6" s="910"/>
      <c r="H6" s="911"/>
      <c r="I6" s="911"/>
      <c r="J6" s="932"/>
      <c r="K6" s="932"/>
      <c r="L6" s="306" t="s">
        <v>140</v>
      </c>
      <c r="M6" s="887" t="str">
        <f>CONCATENATE('Data Entry'!B5," - ",'Data Entry'!B7," - ",'Data Entry'!B9)</f>
        <v xml:space="preserve"> -  - </v>
      </c>
      <c r="N6" s="887"/>
      <c r="O6" s="888"/>
    </row>
    <row r="7" spans="1:21" ht="15" customHeight="1" thickBot="1" x14ac:dyDescent="0.3">
      <c r="A7" s="904"/>
      <c r="B7" s="905"/>
      <c r="C7" s="913"/>
      <c r="D7" s="913"/>
      <c r="E7" s="914"/>
      <c r="F7" s="904"/>
      <c r="G7" s="910"/>
      <c r="H7" s="911"/>
      <c r="I7" s="911"/>
      <c r="J7" s="889" t="s">
        <v>413</v>
      </c>
      <c r="K7" s="890"/>
      <c r="L7" s="306"/>
      <c r="M7" s="306"/>
      <c r="N7" s="306"/>
      <c r="O7" s="308"/>
    </row>
    <row r="8" spans="1:21" ht="15" customHeight="1" x14ac:dyDescent="0.25">
      <c r="A8" s="904"/>
      <c r="B8" s="891" t="s">
        <v>414</v>
      </c>
      <c r="C8" s="892"/>
      <c r="D8" s="892"/>
      <c r="E8" s="893"/>
      <c r="F8" s="904"/>
      <c r="G8" s="910"/>
      <c r="H8" s="911"/>
      <c r="I8" s="911"/>
      <c r="J8" s="897">
        <f>SUM(K14,K18,K22,K26,K30,K34,K38,K42,K46,K50)</f>
        <v>0</v>
      </c>
      <c r="K8" s="898"/>
      <c r="L8" s="306" t="s">
        <v>124</v>
      </c>
      <c r="M8" s="899">
        <f>'Data Entry'!C1</f>
        <v>0</v>
      </c>
      <c r="N8" s="899"/>
      <c r="O8" s="900"/>
    </row>
    <row r="9" spans="1:21" ht="15" customHeight="1" thickBot="1" x14ac:dyDescent="0.3">
      <c r="A9" s="904"/>
      <c r="B9" s="894"/>
      <c r="C9" s="895"/>
      <c r="D9" s="895"/>
      <c r="E9" s="896"/>
      <c r="F9" s="904"/>
      <c r="G9" s="918"/>
      <c r="H9" s="919"/>
      <c r="I9" s="919"/>
      <c r="J9" s="303"/>
      <c r="K9" s="303"/>
      <c r="L9" s="306"/>
      <c r="M9" s="901"/>
      <c r="N9" s="901"/>
      <c r="O9" s="902"/>
    </row>
    <row r="10" spans="1:21" ht="30" customHeight="1" thickBot="1" x14ac:dyDescent="0.3">
      <c r="A10" s="904"/>
      <c r="B10" s="933" t="s">
        <v>141</v>
      </c>
      <c r="C10" s="934"/>
      <c r="D10" s="935" t="s">
        <v>142</v>
      </c>
      <c r="E10" s="936"/>
      <c r="F10" s="904"/>
      <c r="G10" s="331" t="s">
        <v>450</v>
      </c>
      <c r="H10" s="332" t="s">
        <v>141</v>
      </c>
      <c r="I10" s="332" t="s">
        <v>142</v>
      </c>
      <c r="J10" s="937" t="s">
        <v>143</v>
      </c>
      <c r="K10" s="938"/>
      <c r="L10" s="333" t="s">
        <v>144</v>
      </c>
      <c r="M10" s="333" t="s">
        <v>275</v>
      </c>
      <c r="N10" s="334" t="s">
        <v>453</v>
      </c>
      <c r="O10" s="335" t="s">
        <v>372</v>
      </c>
    </row>
    <row r="11" spans="1:21" ht="21.95" customHeight="1" x14ac:dyDescent="0.25">
      <c r="A11" s="904"/>
      <c r="B11" s="856"/>
      <c r="C11" s="857"/>
      <c r="D11" s="860"/>
      <c r="E11" s="861"/>
      <c r="F11" s="904"/>
      <c r="G11" s="345"/>
      <c r="H11" s="343" t="str">
        <f>IF(B11=""," ",B11-'Data Conversions'!AB1)</f>
        <v xml:space="preserve"> </v>
      </c>
      <c r="I11" s="343" t="str">
        <f>IF(D11=""," ",D11-'Data Conversions'!AB1)</f>
        <v xml:space="preserve"> </v>
      </c>
      <c r="J11" s="115" t="s">
        <v>139</v>
      </c>
      <c r="K11" s="309"/>
      <c r="L11" s="863"/>
      <c r="M11" s="881"/>
      <c r="N11" s="866" t="str">
        <f>IF(ISBLANK(B11),"",B11-5.5625)</f>
        <v/>
      </c>
      <c r="O11" s="869" t="str">
        <f>IF(ISBLANK(D11),"",D11-5.5625)</f>
        <v/>
      </c>
      <c r="R11" s="98"/>
      <c r="S11" s="68"/>
      <c r="T11" s="68"/>
      <c r="U11" s="68"/>
    </row>
    <row r="12" spans="1:21" ht="15" customHeight="1" x14ac:dyDescent="0.25">
      <c r="A12" s="904"/>
      <c r="B12" s="858"/>
      <c r="C12" s="859"/>
      <c r="D12" s="859"/>
      <c r="E12" s="862"/>
      <c r="F12" s="904"/>
      <c r="G12" s="336"/>
      <c r="H12" s="337"/>
      <c r="I12" s="337"/>
      <c r="J12" s="872"/>
      <c r="K12" s="873"/>
      <c r="L12" s="864"/>
      <c r="M12" s="882"/>
      <c r="N12" s="867"/>
      <c r="O12" s="870"/>
      <c r="R12" s="68"/>
      <c r="S12" s="68"/>
      <c r="T12" s="68"/>
      <c r="U12" s="68"/>
    </row>
    <row r="13" spans="1:21" ht="21.95" customHeight="1" x14ac:dyDescent="0.25">
      <c r="A13" s="904"/>
      <c r="B13" s="858"/>
      <c r="C13" s="859"/>
      <c r="D13" s="859"/>
      <c r="E13" s="862"/>
      <c r="F13" s="904"/>
      <c r="G13" s="338" t="s">
        <v>574</v>
      </c>
      <c r="H13" s="339" t="str">
        <f>IF(B11=""," ",B11+'Data Conversions'!AC1)</f>
        <v xml:space="preserve"> </v>
      </c>
      <c r="I13" s="339" t="str">
        <f>IF(D11=""," ",D11+'Data Conversions'!AD1)</f>
        <v xml:space="preserve"> </v>
      </c>
      <c r="J13" s="874"/>
      <c r="K13" s="875"/>
      <c r="L13" s="864"/>
      <c r="M13" s="882"/>
      <c r="N13" s="867"/>
      <c r="O13" s="870"/>
    </row>
    <row r="14" spans="1:21" ht="18" customHeight="1" thickBot="1" x14ac:dyDescent="0.3">
      <c r="A14" s="904"/>
      <c r="B14" s="884"/>
      <c r="C14" s="885"/>
      <c r="D14" s="885"/>
      <c r="E14" s="886"/>
      <c r="F14" s="904"/>
      <c r="G14" s="116" t="s">
        <v>145</v>
      </c>
      <c r="H14" s="879"/>
      <c r="I14" s="880"/>
      <c r="J14" s="117" t="s">
        <v>377</v>
      </c>
      <c r="K14" s="344"/>
      <c r="L14" s="865"/>
      <c r="M14" s="883"/>
      <c r="N14" s="868"/>
      <c r="O14" s="871"/>
      <c r="R14" s="69"/>
      <c r="S14" s="69"/>
      <c r="T14" s="69"/>
      <c r="U14" s="69"/>
    </row>
    <row r="15" spans="1:21" ht="21.95" customHeight="1" x14ac:dyDescent="0.25">
      <c r="A15" s="904"/>
      <c r="B15" s="856"/>
      <c r="C15" s="857"/>
      <c r="D15" s="860"/>
      <c r="E15" s="861"/>
      <c r="F15" s="904"/>
      <c r="G15" s="345"/>
      <c r="H15" s="343" t="str">
        <f>IF(B15=""," ",B15-'Data Conversions'!AB2)</f>
        <v xml:space="preserve"> </v>
      </c>
      <c r="I15" s="343" t="str">
        <f>IF(D15=""," ",D15-'Data Conversions'!AB2)</f>
        <v xml:space="preserve"> </v>
      </c>
      <c r="J15" s="115" t="s">
        <v>139</v>
      </c>
      <c r="K15" s="309"/>
      <c r="L15" s="863"/>
      <c r="M15" s="881"/>
      <c r="N15" s="866" t="str">
        <f>IF(ISBLANK(B15),"",B15-5.5625)</f>
        <v/>
      </c>
      <c r="O15" s="869" t="str">
        <f>IF(ISBLANK(D15),"",D15-5.5625)</f>
        <v/>
      </c>
      <c r="R15" s="98"/>
      <c r="S15" s="68"/>
      <c r="T15" s="68"/>
      <c r="U15" s="68"/>
    </row>
    <row r="16" spans="1:21" ht="15" customHeight="1" x14ac:dyDescent="0.25">
      <c r="A16" s="904"/>
      <c r="B16" s="858"/>
      <c r="C16" s="859"/>
      <c r="D16" s="859"/>
      <c r="E16" s="862"/>
      <c r="F16" s="904"/>
      <c r="G16" s="336"/>
      <c r="H16" s="337"/>
      <c r="I16" s="337"/>
      <c r="J16" s="872"/>
      <c r="K16" s="873"/>
      <c r="L16" s="864"/>
      <c r="M16" s="882"/>
      <c r="N16" s="867"/>
      <c r="O16" s="870"/>
      <c r="R16" s="68"/>
      <c r="S16" s="68"/>
      <c r="T16" s="68"/>
      <c r="U16" s="68"/>
    </row>
    <row r="17" spans="1:21" ht="21.95" customHeight="1" x14ac:dyDescent="0.25">
      <c r="A17" s="904"/>
      <c r="B17" s="858"/>
      <c r="C17" s="859"/>
      <c r="D17" s="859"/>
      <c r="E17" s="862"/>
      <c r="F17" s="904"/>
      <c r="G17" s="338" t="s">
        <v>574</v>
      </c>
      <c r="H17" s="339" t="str">
        <f>IF(B15=""," ",B15+'Data Conversions'!AC2)</f>
        <v xml:space="preserve"> </v>
      </c>
      <c r="I17" s="339" t="str">
        <f>IF(D15=""," ",D15+'Data Conversions'!AD2)</f>
        <v xml:space="preserve"> </v>
      </c>
      <c r="J17" s="874"/>
      <c r="K17" s="875"/>
      <c r="L17" s="864"/>
      <c r="M17" s="882"/>
      <c r="N17" s="867"/>
      <c r="O17" s="870"/>
    </row>
    <row r="18" spans="1:21" ht="18" customHeight="1" thickBot="1" x14ac:dyDescent="0.3">
      <c r="A18" s="904"/>
      <c r="B18" s="884"/>
      <c r="C18" s="885"/>
      <c r="D18" s="885"/>
      <c r="E18" s="886"/>
      <c r="F18" s="904"/>
      <c r="G18" s="116" t="s">
        <v>145</v>
      </c>
      <c r="H18" s="879"/>
      <c r="I18" s="880"/>
      <c r="J18" s="117" t="s">
        <v>377</v>
      </c>
      <c r="K18" s="344"/>
      <c r="L18" s="865"/>
      <c r="M18" s="883"/>
      <c r="N18" s="868"/>
      <c r="O18" s="871"/>
      <c r="R18" s="69"/>
      <c r="S18" s="69"/>
      <c r="T18" s="69"/>
      <c r="U18" s="69"/>
    </row>
    <row r="19" spans="1:21" ht="21.95" customHeight="1" x14ac:dyDescent="0.25">
      <c r="A19" s="904"/>
      <c r="B19" s="856"/>
      <c r="C19" s="857"/>
      <c r="D19" s="860"/>
      <c r="E19" s="861"/>
      <c r="F19" s="904"/>
      <c r="G19" s="345"/>
      <c r="H19" s="343" t="str">
        <f>IF(B19=""," ",B19-'Data Conversions'!AB3)</f>
        <v xml:space="preserve"> </v>
      </c>
      <c r="I19" s="343" t="str">
        <f>IF(D19=""," ",D19-'Data Conversions'!AB3)</f>
        <v xml:space="preserve"> </v>
      </c>
      <c r="J19" s="115" t="s">
        <v>139</v>
      </c>
      <c r="K19" s="309"/>
      <c r="L19" s="863"/>
      <c r="M19" s="881"/>
      <c r="N19" s="866" t="str">
        <f>IF(ISBLANK(B19),"",B19-5.5625)</f>
        <v/>
      </c>
      <c r="O19" s="869" t="str">
        <f>IF(ISBLANK(D19),"",D19-5.5625)</f>
        <v/>
      </c>
      <c r="R19" s="98"/>
      <c r="S19" s="68"/>
      <c r="T19" s="68"/>
      <c r="U19" s="68"/>
    </row>
    <row r="20" spans="1:21" ht="15" customHeight="1" x14ac:dyDescent="0.25">
      <c r="A20" s="904"/>
      <c r="B20" s="858"/>
      <c r="C20" s="859"/>
      <c r="D20" s="859"/>
      <c r="E20" s="862"/>
      <c r="F20" s="904"/>
      <c r="G20" s="336"/>
      <c r="H20" s="337"/>
      <c r="I20" s="337"/>
      <c r="J20" s="872"/>
      <c r="K20" s="873"/>
      <c r="L20" s="864"/>
      <c r="M20" s="882"/>
      <c r="N20" s="867"/>
      <c r="O20" s="870"/>
      <c r="R20" s="68"/>
      <c r="S20" s="68"/>
      <c r="T20" s="68"/>
      <c r="U20" s="68"/>
    </row>
    <row r="21" spans="1:21" ht="21.95" customHeight="1" x14ac:dyDescent="0.25">
      <c r="A21" s="904"/>
      <c r="B21" s="858"/>
      <c r="C21" s="859"/>
      <c r="D21" s="859"/>
      <c r="E21" s="862"/>
      <c r="F21" s="904"/>
      <c r="G21" s="338" t="s">
        <v>574</v>
      </c>
      <c r="H21" s="339" t="str">
        <f>IF(B19=""," ",B19+'Data Conversions'!AC3)</f>
        <v xml:space="preserve"> </v>
      </c>
      <c r="I21" s="339" t="str">
        <f>IF(D19=""," ",D19+'Data Conversions'!AD3)</f>
        <v xml:space="preserve"> </v>
      </c>
      <c r="J21" s="874"/>
      <c r="K21" s="875"/>
      <c r="L21" s="864"/>
      <c r="M21" s="882"/>
      <c r="N21" s="867"/>
      <c r="O21" s="870"/>
    </row>
    <row r="22" spans="1:21" ht="18" customHeight="1" thickBot="1" x14ac:dyDescent="0.3">
      <c r="A22" s="904"/>
      <c r="B22" s="884"/>
      <c r="C22" s="885"/>
      <c r="D22" s="885"/>
      <c r="E22" s="886"/>
      <c r="F22" s="904"/>
      <c r="G22" s="116" t="s">
        <v>145</v>
      </c>
      <c r="H22" s="879"/>
      <c r="I22" s="880"/>
      <c r="J22" s="117" t="s">
        <v>377</v>
      </c>
      <c r="K22" s="344"/>
      <c r="L22" s="865"/>
      <c r="M22" s="883"/>
      <c r="N22" s="868"/>
      <c r="O22" s="871"/>
      <c r="R22" s="69"/>
      <c r="S22" s="69"/>
      <c r="T22" s="69"/>
      <c r="U22" s="69"/>
    </row>
    <row r="23" spans="1:21" ht="21.95" customHeight="1" x14ac:dyDescent="0.25">
      <c r="A23" s="904"/>
      <c r="B23" s="856"/>
      <c r="C23" s="857"/>
      <c r="D23" s="860"/>
      <c r="E23" s="861"/>
      <c r="F23" s="904"/>
      <c r="G23" s="345"/>
      <c r="H23" s="343" t="str">
        <f>IF(B23=""," ",B23-'Data Conversions'!AB4)</f>
        <v xml:space="preserve"> </v>
      </c>
      <c r="I23" s="343" t="str">
        <f>IF(D23=""," ",D23-'Data Conversions'!AB4)</f>
        <v xml:space="preserve"> </v>
      </c>
      <c r="J23" s="115" t="s">
        <v>139</v>
      </c>
      <c r="K23" s="309"/>
      <c r="L23" s="863"/>
      <c r="M23" s="881"/>
      <c r="N23" s="866" t="str">
        <f>IF(ISBLANK(B23),"",B23-5.5625)</f>
        <v/>
      </c>
      <c r="O23" s="869" t="str">
        <f>IF(ISBLANK(D23),"",D23-5.5625)</f>
        <v/>
      </c>
      <c r="R23" s="98"/>
      <c r="S23" s="68"/>
      <c r="T23" s="68"/>
      <c r="U23" s="68"/>
    </row>
    <row r="24" spans="1:21" ht="15" customHeight="1" x14ac:dyDescent="0.25">
      <c r="A24" s="904"/>
      <c r="B24" s="858"/>
      <c r="C24" s="859"/>
      <c r="D24" s="859"/>
      <c r="E24" s="862"/>
      <c r="F24" s="904"/>
      <c r="G24" s="336"/>
      <c r="H24" s="337"/>
      <c r="I24" s="337"/>
      <c r="J24" s="872"/>
      <c r="K24" s="873"/>
      <c r="L24" s="864"/>
      <c r="M24" s="882"/>
      <c r="N24" s="867"/>
      <c r="O24" s="870"/>
      <c r="R24" s="68"/>
      <c r="S24" s="68"/>
      <c r="T24" s="68"/>
      <c r="U24" s="68"/>
    </row>
    <row r="25" spans="1:21" ht="21.95" customHeight="1" x14ac:dyDescent="0.25">
      <c r="A25" s="904"/>
      <c r="B25" s="858"/>
      <c r="C25" s="859"/>
      <c r="D25" s="859"/>
      <c r="E25" s="862"/>
      <c r="F25" s="904"/>
      <c r="G25" s="338" t="s">
        <v>574</v>
      </c>
      <c r="H25" s="339" t="str">
        <f>IF(B23=""," ",B23+'Data Conversions'!AC4)</f>
        <v xml:space="preserve"> </v>
      </c>
      <c r="I25" s="339" t="str">
        <f>IF(D23=""," ",D23+'Data Conversions'!AD4)</f>
        <v xml:space="preserve"> </v>
      </c>
      <c r="J25" s="874"/>
      <c r="K25" s="875"/>
      <c r="L25" s="864"/>
      <c r="M25" s="882"/>
      <c r="N25" s="867"/>
      <c r="O25" s="870"/>
    </row>
    <row r="26" spans="1:21" ht="18" customHeight="1" thickBot="1" x14ac:dyDescent="0.3">
      <c r="A26" s="904"/>
      <c r="B26" s="884"/>
      <c r="C26" s="885"/>
      <c r="D26" s="885"/>
      <c r="E26" s="886"/>
      <c r="F26" s="904"/>
      <c r="G26" s="116" t="s">
        <v>145</v>
      </c>
      <c r="H26" s="879"/>
      <c r="I26" s="880"/>
      <c r="J26" s="117" t="s">
        <v>377</v>
      </c>
      <c r="K26" s="344"/>
      <c r="L26" s="865"/>
      <c r="M26" s="883"/>
      <c r="N26" s="868"/>
      <c r="O26" s="871"/>
      <c r="R26" s="69"/>
      <c r="S26" s="69"/>
      <c r="T26" s="69"/>
      <c r="U26" s="69"/>
    </row>
    <row r="27" spans="1:21" ht="21.95" customHeight="1" x14ac:dyDescent="0.25">
      <c r="A27" s="904"/>
      <c r="B27" s="856"/>
      <c r="C27" s="857"/>
      <c r="D27" s="860"/>
      <c r="E27" s="861"/>
      <c r="F27" s="904"/>
      <c r="G27" s="345"/>
      <c r="H27" s="343" t="str">
        <f>IF(B27=""," ",B27-'Data Conversions'!AB5)</f>
        <v xml:space="preserve"> </v>
      </c>
      <c r="I27" s="343" t="str">
        <f>IF(D27=""," ",D27-'Data Conversions'!AB5)</f>
        <v xml:space="preserve"> </v>
      </c>
      <c r="J27" s="115" t="s">
        <v>139</v>
      </c>
      <c r="K27" s="309"/>
      <c r="L27" s="863"/>
      <c r="M27" s="881"/>
      <c r="N27" s="866" t="str">
        <f>IF(ISBLANK(B27),"",B27-5.5625)</f>
        <v/>
      </c>
      <c r="O27" s="869" t="str">
        <f>IF(ISBLANK(D27),"",D27-5.5625)</f>
        <v/>
      </c>
      <c r="R27" s="98"/>
      <c r="S27" s="68"/>
      <c r="T27" s="68"/>
      <c r="U27" s="68"/>
    </row>
    <row r="28" spans="1:21" ht="15" customHeight="1" x14ac:dyDescent="0.25">
      <c r="A28" s="904"/>
      <c r="B28" s="858"/>
      <c r="C28" s="859"/>
      <c r="D28" s="859"/>
      <c r="E28" s="862"/>
      <c r="F28" s="904"/>
      <c r="G28" s="336"/>
      <c r="H28" s="337"/>
      <c r="I28" s="337"/>
      <c r="J28" s="872"/>
      <c r="K28" s="873"/>
      <c r="L28" s="864"/>
      <c r="M28" s="882"/>
      <c r="N28" s="867"/>
      <c r="O28" s="870"/>
      <c r="R28" s="68"/>
      <c r="S28" s="68"/>
      <c r="T28" s="68"/>
      <c r="U28" s="68"/>
    </row>
    <row r="29" spans="1:21" ht="21.95" customHeight="1" x14ac:dyDescent="0.25">
      <c r="A29" s="904"/>
      <c r="B29" s="858"/>
      <c r="C29" s="859"/>
      <c r="D29" s="859"/>
      <c r="E29" s="862"/>
      <c r="F29" s="904"/>
      <c r="G29" s="338" t="s">
        <v>574</v>
      </c>
      <c r="H29" s="339" t="str">
        <f>IF(B27=""," ",B27+'Data Conversions'!AC5)</f>
        <v xml:space="preserve"> </v>
      </c>
      <c r="I29" s="339" t="str">
        <f>IF(D27=""," ",D27+'Data Conversions'!AD5)</f>
        <v xml:space="preserve"> </v>
      </c>
      <c r="J29" s="874"/>
      <c r="K29" s="875"/>
      <c r="L29" s="864"/>
      <c r="M29" s="882"/>
      <c r="N29" s="867"/>
      <c r="O29" s="870"/>
    </row>
    <row r="30" spans="1:21" ht="18" customHeight="1" thickBot="1" x14ac:dyDescent="0.3">
      <c r="A30" s="904"/>
      <c r="B30" s="884"/>
      <c r="C30" s="885"/>
      <c r="D30" s="885"/>
      <c r="E30" s="886"/>
      <c r="F30" s="904"/>
      <c r="G30" s="116" t="s">
        <v>145</v>
      </c>
      <c r="H30" s="879"/>
      <c r="I30" s="880"/>
      <c r="J30" s="117" t="s">
        <v>377</v>
      </c>
      <c r="K30" s="344"/>
      <c r="L30" s="865"/>
      <c r="M30" s="883"/>
      <c r="N30" s="868"/>
      <c r="O30" s="871"/>
      <c r="R30" s="69"/>
      <c r="S30" s="69"/>
      <c r="T30" s="69"/>
      <c r="U30" s="69"/>
    </row>
    <row r="31" spans="1:21" ht="21.95" customHeight="1" x14ac:dyDescent="0.25">
      <c r="A31" s="904"/>
      <c r="B31" s="856"/>
      <c r="C31" s="857"/>
      <c r="D31" s="860"/>
      <c r="E31" s="861"/>
      <c r="F31" s="904"/>
      <c r="G31" s="345"/>
      <c r="H31" s="343" t="str">
        <f>IF(B31=""," ",B31-'Data Conversions'!AB6)</f>
        <v xml:space="preserve"> </v>
      </c>
      <c r="I31" s="343" t="str">
        <f>IF(D31=""," ",D31-'Data Conversions'!AB6)</f>
        <v xml:space="preserve"> </v>
      </c>
      <c r="J31" s="115" t="s">
        <v>139</v>
      </c>
      <c r="K31" s="309"/>
      <c r="L31" s="863"/>
      <c r="M31" s="881"/>
      <c r="N31" s="866" t="str">
        <f>IF(ISBLANK(B31),"",B31-5.5625)</f>
        <v/>
      </c>
      <c r="O31" s="869" t="str">
        <f>IF(ISBLANK(D31),"",D31-5.5625)</f>
        <v/>
      </c>
      <c r="R31" s="98"/>
      <c r="S31" s="68"/>
      <c r="T31" s="68"/>
      <c r="U31" s="68"/>
    </row>
    <row r="32" spans="1:21" ht="15" customHeight="1" x14ac:dyDescent="0.25">
      <c r="A32" s="904"/>
      <c r="B32" s="858"/>
      <c r="C32" s="859"/>
      <c r="D32" s="859"/>
      <c r="E32" s="862"/>
      <c r="F32" s="904"/>
      <c r="G32" s="336"/>
      <c r="H32" s="337"/>
      <c r="I32" s="337"/>
      <c r="J32" s="872"/>
      <c r="K32" s="873"/>
      <c r="L32" s="864"/>
      <c r="M32" s="882"/>
      <c r="N32" s="867"/>
      <c r="O32" s="870"/>
      <c r="R32" s="68"/>
      <c r="S32" s="68"/>
      <c r="T32" s="68"/>
      <c r="U32" s="68"/>
    </row>
    <row r="33" spans="1:21" ht="21.95" customHeight="1" x14ac:dyDescent="0.25">
      <c r="A33" s="904"/>
      <c r="B33" s="858"/>
      <c r="C33" s="859"/>
      <c r="D33" s="859"/>
      <c r="E33" s="862"/>
      <c r="F33" s="904"/>
      <c r="G33" s="338" t="s">
        <v>574</v>
      </c>
      <c r="H33" s="339" t="str">
        <f>IF(B31=""," ",B31+'Data Conversions'!AC6)</f>
        <v xml:space="preserve"> </v>
      </c>
      <c r="I33" s="339" t="str">
        <f>IF(D31=""," ",D31+'Data Conversions'!AD6)</f>
        <v xml:space="preserve"> </v>
      </c>
      <c r="J33" s="874"/>
      <c r="K33" s="875"/>
      <c r="L33" s="864"/>
      <c r="M33" s="882"/>
      <c r="N33" s="867"/>
      <c r="O33" s="870"/>
    </row>
    <row r="34" spans="1:21" ht="18" customHeight="1" thickBot="1" x14ac:dyDescent="0.3">
      <c r="A34" s="904"/>
      <c r="B34" s="884"/>
      <c r="C34" s="885"/>
      <c r="D34" s="885"/>
      <c r="E34" s="886"/>
      <c r="F34" s="904"/>
      <c r="G34" s="116" t="s">
        <v>145</v>
      </c>
      <c r="H34" s="879"/>
      <c r="I34" s="880"/>
      <c r="J34" s="117" t="s">
        <v>377</v>
      </c>
      <c r="K34" s="344"/>
      <c r="L34" s="865"/>
      <c r="M34" s="883"/>
      <c r="N34" s="868"/>
      <c r="O34" s="871"/>
      <c r="R34" s="69"/>
      <c r="S34" s="69"/>
      <c r="T34" s="69"/>
      <c r="U34" s="69"/>
    </row>
    <row r="35" spans="1:21" ht="21.95" customHeight="1" x14ac:dyDescent="0.25">
      <c r="A35" s="904"/>
      <c r="B35" s="856"/>
      <c r="C35" s="857"/>
      <c r="D35" s="860"/>
      <c r="E35" s="861"/>
      <c r="F35" s="904"/>
      <c r="G35" s="345"/>
      <c r="H35" s="343" t="str">
        <f>IF(B35=""," ",B35-'Data Conversions'!AB7)</f>
        <v xml:space="preserve"> </v>
      </c>
      <c r="I35" s="343" t="str">
        <f>IF(D35=""," ",D35-'Data Conversions'!AB7)</f>
        <v xml:space="preserve"> </v>
      </c>
      <c r="J35" s="115" t="s">
        <v>139</v>
      </c>
      <c r="K35" s="309"/>
      <c r="L35" s="863"/>
      <c r="M35" s="881"/>
      <c r="N35" s="866" t="str">
        <f>IF(ISBLANK(B35),"",B35-5.5625)</f>
        <v/>
      </c>
      <c r="O35" s="869" t="str">
        <f>IF(ISBLANK(D35),"",D35-5.5625)</f>
        <v/>
      </c>
      <c r="R35" s="98"/>
      <c r="S35" s="68"/>
      <c r="T35" s="68"/>
      <c r="U35" s="68"/>
    </row>
    <row r="36" spans="1:21" ht="15" customHeight="1" x14ac:dyDescent="0.25">
      <c r="A36" s="904"/>
      <c r="B36" s="858"/>
      <c r="C36" s="859"/>
      <c r="D36" s="859"/>
      <c r="E36" s="862"/>
      <c r="F36" s="904"/>
      <c r="G36" s="336"/>
      <c r="H36" s="337"/>
      <c r="I36" s="337"/>
      <c r="J36" s="872"/>
      <c r="K36" s="873"/>
      <c r="L36" s="864"/>
      <c r="M36" s="882"/>
      <c r="N36" s="867"/>
      <c r="O36" s="870"/>
      <c r="R36" s="68"/>
      <c r="S36" s="68"/>
      <c r="T36" s="68"/>
      <c r="U36" s="68"/>
    </row>
    <row r="37" spans="1:21" ht="21.95" customHeight="1" x14ac:dyDescent="0.25">
      <c r="A37" s="904"/>
      <c r="B37" s="858"/>
      <c r="C37" s="859"/>
      <c r="D37" s="859"/>
      <c r="E37" s="862"/>
      <c r="F37" s="904"/>
      <c r="G37" s="338" t="s">
        <v>574</v>
      </c>
      <c r="H37" s="339" t="str">
        <f>IF(B35=""," ",B35+'Data Conversions'!AC7)</f>
        <v xml:space="preserve"> </v>
      </c>
      <c r="I37" s="339" t="str">
        <f>IF(D35=""," ",D35+'Data Conversions'!AD7)</f>
        <v xml:space="preserve"> </v>
      </c>
      <c r="J37" s="874"/>
      <c r="K37" s="875"/>
      <c r="L37" s="864"/>
      <c r="M37" s="882"/>
      <c r="N37" s="867"/>
      <c r="O37" s="870"/>
    </row>
    <row r="38" spans="1:21" ht="18" customHeight="1" thickBot="1" x14ac:dyDescent="0.3">
      <c r="A38" s="904"/>
      <c r="B38" s="884"/>
      <c r="C38" s="885"/>
      <c r="D38" s="885"/>
      <c r="E38" s="886"/>
      <c r="F38" s="904"/>
      <c r="G38" s="116" t="s">
        <v>145</v>
      </c>
      <c r="H38" s="879"/>
      <c r="I38" s="880"/>
      <c r="J38" s="117" t="s">
        <v>377</v>
      </c>
      <c r="K38" s="344"/>
      <c r="L38" s="865"/>
      <c r="M38" s="883"/>
      <c r="N38" s="868"/>
      <c r="O38" s="871"/>
      <c r="R38" s="69"/>
      <c r="S38" s="69"/>
      <c r="T38" s="69"/>
      <c r="U38" s="69"/>
    </row>
    <row r="39" spans="1:21" ht="21.95" customHeight="1" x14ac:dyDescent="0.25">
      <c r="A39" s="904"/>
      <c r="B39" s="856"/>
      <c r="C39" s="857"/>
      <c r="D39" s="860"/>
      <c r="E39" s="861"/>
      <c r="F39" s="904"/>
      <c r="G39" s="345"/>
      <c r="H39" s="343" t="str">
        <f>IF(B39=""," ",B39-'Data Conversions'!AB8)</f>
        <v xml:space="preserve"> </v>
      </c>
      <c r="I39" s="343" t="str">
        <f>IF(D39=""," ",D39-'Data Conversions'!AB8)</f>
        <v xml:space="preserve"> </v>
      </c>
      <c r="J39" s="115" t="s">
        <v>139</v>
      </c>
      <c r="K39" s="309"/>
      <c r="L39" s="863"/>
      <c r="M39" s="881"/>
      <c r="N39" s="866" t="str">
        <f>IF(ISBLANK(B39),"",B39-5.5625)</f>
        <v/>
      </c>
      <c r="O39" s="869" t="str">
        <f>IF(ISBLANK(D39),"",D39-5.5625)</f>
        <v/>
      </c>
      <c r="R39" s="98"/>
      <c r="S39" s="68"/>
      <c r="T39" s="68"/>
      <c r="U39" s="68"/>
    </row>
    <row r="40" spans="1:21" ht="15" customHeight="1" x14ac:dyDescent="0.25">
      <c r="A40" s="904"/>
      <c r="B40" s="858"/>
      <c r="C40" s="859"/>
      <c r="D40" s="859"/>
      <c r="E40" s="862"/>
      <c r="F40" s="904"/>
      <c r="G40" s="336"/>
      <c r="H40" s="337"/>
      <c r="I40" s="337"/>
      <c r="J40" s="872"/>
      <c r="K40" s="873"/>
      <c r="L40" s="864"/>
      <c r="M40" s="882"/>
      <c r="N40" s="867"/>
      <c r="O40" s="870"/>
      <c r="R40" s="68"/>
      <c r="S40" s="68"/>
      <c r="T40" s="68"/>
      <c r="U40" s="68"/>
    </row>
    <row r="41" spans="1:21" ht="21.95" customHeight="1" x14ac:dyDescent="0.25">
      <c r="A41" s="904"/>
      <c r="B41" s="858"/>
      <c r="C41" s="859"/>
      <c r="D41" s="859"/>
      <c r="E41" s="862"/>
      <c r="F41" s="904"/>
      <c r="G41" s="338" t="s">
        <v>574</v>
      </c>
      <c r="H41" s="339" t="str">
        <f>IF(B39=""," ",B39+'Data Conversions'!AC8)</f>
        <v xml:space="preserve"> </v>
      </c>
      <c r="I41" s="339" t="str">
        <f>IF(D39=""," ",D39+'Data Conversions'!AD8)</f>
        <v xml:space="preserve"> </v>
      </c>
      <c r="J41" s="874"/>
      <c r="K41" s="875"/>
      <c r="L41" s="864"/>
      <c r="M41" s="882"/>
      <c r="N41" s="867"/>
      <c r="O41" s="870"/>
    </row>
    <row r="42" spans="1:21" ht="18" customHeight="1" thickBot="1" x14ac:dyDescent="0.3">
      <c r="A42" s="904"/>
      <c r="B42" s="884"/>
      <c r="C42" s="885"/>
      <c r="D42" s="885"/>
      <c r="E42" s="886"/>
      <c r="F42" s="904"/>
      <c r="G42" s="116" t="s">
        <v>145</v>
      </c>
      <c r="H42" s="879"/>
      <c r="I42" s="880"/>
      <c r="J42" s="117" t="s">
        <v>377</v>
      </c>
      <c r="K42" s="344"/>
      <c r="L42" s="865"/>
      <c r="M42" s="883"/>
      <c r="N42" s="868"/>
      <c r="O42" s="871"/>
      <c r="R42" s="69"/>
      <c r="S42" s="69"/>
      <c r="T42" s="69"/>
      <c r="U42" s="69"/>
    </row>
    <row r="43" spans="1:21" ht="21.95" customHeight="1" x14ac:dyDescent="0.25">
      <c r="A43" s="904"/>
      <c r="B43" s="856"/>
      <c r="C43" s="857"/>
      <c r="D43" s="860"/>
      <c r="E43" s="861"/>
      <c r="F43" s="904"/>
      <c r="G43" s="345"/>
      <c r="H43" s="343" t="str">
        <f>IF(B43=""," ",B43-'Data Conversions'!AB9)</f>
        <v xml:space="preserve"> </v>
      </c>
      <c r="I43" s="343" t="str">
        <f>IF(D43=""," ",D43-'Data Conversions'!AB9)</f>
        <v xml:space="preserve"> </v>
      </c>
      <c r="J43" s="115" t="s">
        <v>139</v>
      </c>
      <c r="K43" s="309"/>
      <c r="L43" s="863"/>
      <c r="M43" s="881"/>
      <c r="N43" s="866" t="str">
        <f>IF(ISBLANK(B43),"",B43-5.5625)</f>
        <v/>
      </c>
      <c r="O43" s="869" t="str">
        <f>IF(ISBLANK(D43),"",D43-5.5625)</f>
        <v/>
      </c>
      <c r="R43" s="98"/>
      <c r="S43" s="68"/>
      <c r="T43" s="68"/>
      <c r="U43" s="68"/>
    </row>
    <row r="44" spans="1:21" ht="15" customHeight="1" x14ac:dyDescent="0.25">
      <c r="A44" s="904"/>
      <c r="B44" s="858"/>
      <c r="C44" s="859"/>
      <c r="D44" s="859"/>
      <c r="E44" s="862"/>
      <c r="F44" s="904"/>
      <c r="G44" s="336"/>
      <c r="H44" s="337"/>
      <c r="I44" s="337"/>
      <c r="J44" s="872"/>
      <c r="K44" s="873"/>
      <c r="L44" s="864"/>
      <c r="M44" s="882"/>
      <c r="N44" s="867"/>
      <c r="O44" s="870"/>
      <c r="R44" s="68"/>
      <c r="S44" s="68"/>
      <c r="T44" s="68"/>
      <c r="U44" s="68"/>
    </row>
    <row r="45" spans="1:21" ht="21.95" customHeight="1" x14ac:dyDescent="0.25">
      <c r="A45" s="904"/>
      <c r="B45" s="858"/>
      <c r="C45" s="859"/>
      <c r="D45" s="859"/>
      <c r="E45" s="862"/>
      <c r="F45" s="904"/>
      <c r="G45" s="338" t="s">
        <v>574</v>
      </c>
      <c r="H45" s="339" t="str">
        <f>IF(B43=""," ",B43+'Data Conversions'!AC9)</f>
        <v xml:space="preserve"> </v>
      </c>
      <c r="I45" s="339" t="str">
        <f>IF(D43=""," ",D43+'Data Conversions'!AD9)</f>
        <v xml:space="preserve"> </v>
      </c>
      <c r="J45" s="874"/>
      <c r="K45" s="875"/>
      <c r="L45" s="864"/>
      <c r="M45" s="882"/>
      <c r="N45" s="867"/>
      <c r="O45" s="870"/>
    </row>
    <row r="46" spans="1:21" ht="18" customHeight="1" thickBot="1" x14ac:dyDescent="0.3">
      <c r="A46" s="904"/>
      <c r="B46" s="884"/>
      <c r="C46" s="885"/>
      <c r="D46" s="885"/>
      <c r="E46" s="886"/>
      <c r="F46" s="904"/>
      <c r="G46" s="116" t="s">
        <v>145</v>
      </c>
      <c r="H46" s="879"/>
      <c r="I46" s="880"/>
      <c r="J46" s="117" t="s">
        <v>377</v>
      </c>
      <c r="K46" s="344"/>
      <c r="L46" s="865"/>
      <c r="M46" s="883"/>
      <c r="N46" s="868"/>
      <c r="O46" s="871"/>
      <c r="R46" s="69"/>
      <c r="S46" s="69"/>
      <c r="T46" s="69"/>
      <c r="U46" s="69"/>
    </row>
    <row r="47" spans="1:21" ht="21.95" customHeight="1" x14ac:dyDescent="0.25">
      <c r="A47" s="904"/>
      <c r="B47" s="856"/>
      <c r="C47" s="857"/>
      <c r="D47" s="860"/>
      <c r="E47" s="861"/>
      <c r="F47" s="904"/>
      <c r="G47" s="345"/>
      <c r="H47" s="343" t="str">
        <f>IF(B47=""," ",B47-'Data Conversions'!AB10)</f>
        <v xml:space="preserve"> </v>
      </c>
      <c r="I47" s="343" t="str">
        <f>IF(D47=""," ",D47-'Data Conversions'!AB10)</f>
        <v xml:space="preserve"> </v>
      </c>
      <c r="J47" s="115" t="s">
        <v>139</v>
      </c>
      <c r="K47" s="309"/>
      <c r="L47" s="863"/>
      <c r="M47" s="881"/>
      <c r="N47" s="866" t="str">
        <f>IF(ISBLANK(B47),"",B47-5.5625)</f>
        <v/>
      </c>
      <c r="O47" s="869" t="str">
        <f>IF(ISBLANK(D47),"",D47-5.5625)</f>
        <v/>
      </c>
      <c r="R47" s="98"/>
      <c r="S47" s="68"/>
      <c r="T47" s="68"/>
      <c r="U47" s="68"/>
    </row>
    <row r="48" spans="1:21" ht="15" customHeight="1" x14ac:dyDescent="0.25">
      <c r="A48" s="904"/>
      <c r="B48" s="858"/>
      <c r="C48" s="859"/>
      <c r="D48" s="859"/>
      <c r="E48" s="862"/>
      <c r="F48" s="904"/>
      <c r="G48" s="336"/>
      <c r="H48" s="337"/>
      <c r="I48" s="337"/>
      <c r="J48" s="872"/>
      <c r="K48" s="873"/>
      <c r="L48" s="864"/>
      <c r="M48" s="882"/>
      <c r="N48" s="867"/>
      <c r="O48" s="870"/>
      <c r="R48" s="68"/>
      <c r="S48" s="68"/>
      <c r="T48" s="68"/>
      <c r="U48" s="68"/>
    </row>
    <row r="49" spans="1:21" ht="21.95" customHeight="1" x14ac:dyDescent="0.25">
      <c r="A49" s="904"/>
      <c r="B49" s="858"/>
      <c r="C49" s="859"/>
      <c r="D49" s="859"/>
      <c r="E49" s="862"/>
      <c r="F49" s="904"/>
      <c r="G49" s="338" t="s">
        <v>574</v>
      </c>
      <c r="H49" s="339" t="str">
        <f>IF(B47=""," ",B47+'Data Conversions'!AC10)</f>
        <v xml:space="preserve"> </v>
      </c>
      <c r="I49" s="339" t="str">
        <f>IF(D47=""," ",D47+'Data Conversions'!AD10)</f>
        <v xml:space="preserve"> </v>
      </c>
      <c r="J49" s="874"/>
      <c r="K49" s="875"/>
      <c r="L49" s="864"/>
      <c r="M49" s="882"/>
      <c r="N49" s="867"/>
      <c r="O49" s="870"/>
    </row>
    <row r="50" spans="1:21" ht="18" customHeight="1" thickBot="1" x14ac:dyDescent="0.3">
      <c r="A50" s="904"/>
      <c r="B50" s="876"/>
      <c r="C50" s="877"/>
      <c r="D50" s="877"/>
      <c r="E50" s="878"/>
      <c r="F50" s="904"/>
      <c r="G50" s="116" t="s">
        <v>145</v>
      </c>
      <c r="H50" s="879"/>
      <c r="I50" s="880"/>
      <c r="J50" s="117" t="s">
        <v>377</v>
      </c>
      <c r="K50" s="344"/>
      <c r="L50" s="865"/>
      <c r="M50" s="883"/>
      <c r="N50" s="868"/>
      <c r="O50" s="871"/>
      <c r="R50" s="69"/>
      <c r="S50" s="69"/>
      <c r="T50" s="69"/>
      <c r="U50" s="69"/>
    </row>
    <row r="51" spans="1:21" ht="16.5" thickBot="1" x14ac:dyDescent="0.3">
      <c r="A51" s="905"/>
      <c r="B51" s="850"/>
      <c r="C51" s="851"/>
      <c r="D51" s="851"/>
      <c r="E51" s="852"/>
      <c r="F51" s="913"/>
      <c r="G51" s="853" t="s">
        <v>385</v>
      </c>
      <c r="H51" s="854"/>
      <c r="I51" s="854"/>
      <c r="J51" s="854"/>
      <c r="K51" s="854"/>
      <c r="L51" s="854"/>
      <c r="M51" s="854"/>
      <c r="N51" s="854"/>
      <c r="O51" s="855"/>
    </row>
  </sheetData>
  <mergeCells count="111">
    <mergeCell ref="M6:O6"/>
    <mergeCell ref="J7:K7"/>
    <mergeCell ref="B8:E9"/>
    <mergeCell ref="J8:K8"/>
    <mergeCell ref="M8:O8"/>
    <mergeCell ref="M9:O9"/>
    <mergeCell ref="A1:A51"/>
    <mergeCell ref="B1:E7"/>
    <mergeCell ref="F1:F51"/>
    <mergeCell ref="G1:I9"/>
    <mergeCell ref="K1:O1"/>
    <mergeCell ref="K2:O2"/>
    <mergeCell ref="J3:K3"/>
    <mergeCell ref="J4:K5"/>
    <mergeCell ref="M4:O4"/>
    <mergeCell ref="J6:K6"/>
    <mergeCell ref="N11:N14"/>
    <mergeCell ref="O11:O14"/>
    <mergeCell ref="J12:K13"/>
    <mergeCell ref="B14:E14"/>
    <mergeCell ref="H14:I14"/>
    <mergeCell ref="B10:C10"/>
    <mergeCell ref="D10:E10"/>
    <mergeCell ref="J10:K10"/>
    <mergeCell ref="B11:C13"/>
    <mergeCell ref="D11:E13"/>
    <mergeCell ref="L11:L14"/>
    <mergeCell ref="B15:C17"/>
    <mergeCell ref="D15:E17"/>
    <mergeCell ref="L15:L18"/>
    <mergeCell ref="N15:N18"/>
    <mergeCell ref="M11:M14"/>
    <mergeCell ref="M15:M18"/>
    <mergeCell ref="O15:O18"/>
    <mergeCell ref="J16:K17"/>
    <mergeCell ref="B18:E18"/>
    <mergeCell ref="H18:I18"/>
    <mergeCell ref="B19:C21"/>
    <mergeCell ref="D19:E21"/>
    <mergeCell ref="L19:L22"/>
    <mergeCell ref="N19:N22"/>
    <mergeCell ref="O19:O22"/>
    <mergeCell ref="J20:K21"/>
    <mergeCell ref="B22:E22"/>
    <mergeCell ref="H22:I22"/>
    <mergeCell ref="M19:M22"/>
    <mergeCell ref="B23:C25"/>
    <mergeCell ref="D23:E25"/>
    <mergeCell ref="L23:L26"/>
    <mergeCell ref="N23:N26"/>
    <mergeCell ref="O23:O26"/>
    <mergeCell ref="J24:K25"/>
    <mergeCell ref="B26:E26"/>
    <mergeCell ref="H26:I26"/>
    <mergeCell ref="M23:M26"/>
    <mergeCell ref="B27:C29"/>
    <mergeCell ref="D27:E29"/>
    <mergeCell ref="L27:L30"/>
    <mergeCell ref="N27:N30"/>
    <mergeCell ref="O27:O30"/>
    <mergeCell ref="J28:K29"/>
    <mergeCell ref="B30:E30"/>
    <mergeCell ref="H30:I30"/>
    <mergeCell ref="M27:M30"/>
    <mergeCell ref="B31:C33"/>
    <mergeCell ref="D31:E33"/>
    <mergeCell ref="L31:L34"/>
    <mergeCell ref="N31:N34"/>
    <mergeCell ref="O31:O34"/>
    <mergeCell ref="J32:K33"/>
    <mergeCell ref="B34:E34"/>
    <mergeCell ref="H34:I34"/>
    <mergeCell ref="M31:M34"/>
    <mergeCell ref="B35:C37"/>
    <mergeCell ref="D35:E37"/>
    <mergeCell ref="L35:L38"/>
    <mergeCell ref="N35:N38"/>
    <mergeCell ref="O35:O38"/>
    <mergeCell ref="J36:K37"/>
    <mergeCell ref="B38:E38"/>
    <mergeCell ref="H38:I38"/>
    <mergeCell ref="M35:M38"/>
    <mergeCell ref="B39:C41"/>
    <mergeCell ref="D39:E41"/>
    <mergeCell ref="L39:L42"/>
    <mergeCell ref="N39:N42"/>
    <mergeCell ref="O39:O42"/>
    <mergeCell ref="J40:K41"/>
    <mergeCell ref="B42:E42"/>
    <mergeCell ref="H42:I42"/>
    <mergeCell ref="M39:M42"/>
    <mergeCell ref="B43:C45"/>
    <mergeCell ref="D43:E45"/>
    <mergeCell ref="L43:L46"/>
    <mergeCell ref="N43:N46"/>
    <mergeCell ref="O43:O46"/>
    <mergeCell ref="J44:K45"/>
    <mergeCell ref="B46:E46"/>
    <mergeCell ref="H46:I46"/>
    <mergeCell ref="M43:M46"/>
    <mergeCell ref="B51:E51"/>
    <mergeCell ref="G51:O51"/>
    <mergeCell ref="B47:C49"/>
    <mergeCell ref="D47:E49"/>
    <mergeCell ref="L47:L50"/>
    <mergeCell ref="N47:N50"/>
    <mergeCell ref="O47:O50"/>
    <mergeCell ref="J48:K49"/>
    <mergeCell ref="B50:E50"/>
    <mergeCell ref="H50:I50"/>
    <mergeCell ref="M47:M50"/>
  </mergeCells>
  <dataValidations count="3">
    <dataValidation type="list" allowBlank="1" showInputMessage="1" showErrorMessage="1" sqref="K11 K43 K15 K19 K23 K27 K31 K35 K39 K47" xr:uid="{A4AED344-815E-471D-B255-FF705657A58A}">
      <formula1>"Miter,Butt Joint"</formula1>
    </dataValidation>
    <dataValidation type="list" allowBlank="1" showInputMessage="1" showErrorMessage="1" sqref="J35 J11 J15 J19 J23 J27 J39 J43 J31 J47" xr:uid="{D56FA5B2-AE1A-458C-8112-DE0D3472512E}">
      <formula1>".5MM,1MM,2MM"</formula1>
    </dataValidation>
    <dataValidation type="list" allowBlank="1" showInputMessage="1" showErrorMessage="1" sqref="J12 J40 J16 J20 J24 J28 J32 J44 J36 J48" xr:uid="{39E12492-3258-43DD-95A4-F229321A886B}">
      <formula1>"DOOR,DRAWER,HAMPER,FLIP-UP,DOOR /W LITES"</formula1>
    </dataValidation>
  </dataValidations>
  <printOptions horizontalCentered="1"/>
  <pageMargins left="0.25" right="0.25" top="0.25" bottom="0.5" header="0" footer="0"/>
  <pageSetup scale="7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A84F074-E2B3-4D69-A774-595CA6C35E4C}">
          <x14:formula1>
            <xm:f>'Data Conversions'!$B$1:$B$77</xm:f>
          </x14:formula1>
          <xm:sqref>L11:L50</xm:sqref>
        </x14:dataValidation>
        <x14:dataValidation type="list" allowBlank="1" showInputMessage="1" showErrorMessage="1" xr:uid="{8DDB0F7D-4165-4143-9D56-1FB3EEE50B38}">
          <x14:formula1>
            <xm:f>'Data Conversions'!$V$6:$V$10</xm:f>
          </x14:formula1>
          <xm:sqref>M11:M14</xm:sqref>
        </x14:dataValidation>
        <x14:dataValidation type="list" allowBlank="1" showInputMessage="1" showErrorMessage="1" xr:uid="{09F21AC5-D084-40B6-8091-FBDD4D958562}">
          <x14:formula1>
            <xm:f>'Data Conversions'!$V$11:$V$15</xm:f>
          </x14:formula1>
          <xm:sqref>M15:M18</xm:sqref>
        </x14:dataValidation>
        <x14:dataValidation type="list" allowBlank="1" showInputMessage="1" showErrorMessage="1" xr:uid="{AB76C109-C8B6-41D3-A08D-ED8A5754E651}">
          <x14:formula1>
            <xm:f>'Data Conversions'!$V$16:$V$20</xm:f>
          </x14:formula1>
          <xm:sqref>M19:M22</xm:sqref>
        </x14:dataValidation>
        <x14:dataValidation type="list" allowBlank="1" showInputMessage="1" showErrorMessage="1" xr:uid="{75247B41-D569-4908-9B4E-A58E3787FB89}">
          <x14:formula1>
            <xm:f>'Data Conversions'!$V$21:$V$25</xm:f>
          </x14:formula1>
          <xm:sqref>M23:M26</xm:sqref>
        </x14:dataValidation>
        <x14:dataValidation type="list" allowBlank="1" showInputMessage="1" showErrorMessage="1" xr:uid="{57AF59ED-7A67-48B7-8B78-B5EC36DA346C}">
          <x14:formula1>
            <xm:f>'Data Conversions'!$V$31:$V$35</xm:f>
          </x14:formula1>
          <xm:sqref>M31:M34</xm:sqref>
        </x14:dataValidation>
        <x14:dataValidation type="list" allowBlank="1" showInputMessage="1" showErrorMessage="1" xr:uid="{580D8C65-EF0E-4B13-8C6F-06407E0AA34A}">
          <x14:formula1>
            <xm:f>'Data Conversions'!$V$36:$V$40</xm:f>
          </x14:formula1>
          <xm:sqref>M35:M38</xm:sqref>
        </x14:dataValidation>
        <x14:dataValidation type="list" allowBlank="1" showInputMessage="1" showErrorMessage="1" xr:uid="{49CBD907-A66D-4E2B-99BF-DA8458E7DC7C}">
          <x14:formula1>
            <xm:f>'Data Conversions'!$V$41:$V$45</xm:f>
          </x14:formula1>
          <xm:sqref>M39:M42</xm:sqref>
        </x14:dataValidation>
        <x14:dataValidation type="list" allowBlank="1" showInputMessage="1" showErrorMessage="1" xr:uid="{5141E67D-4A54-4374-A9BC-247CC441E411}">
          <x14:formula1>
            <xm:f>'Data Conversions'!$V$46:$V$50</xm:f>
          </x14:formula1>
          <xm:sqref>M43:M50</xm:sqref>
        </x14:dataValidation>
        <x14:dataValidation type="list" allowBlank="1" showInputMessage="1" showErrorMessage="1" xr:uid="{DE8D6D48-9928-4FA5-83A0-1FFE2947D6E0}">
          <x14:formula1>
            <xm:f>'Data Conversions'!$V$26:$V$30</xm:f>
          </x14:formula1>
          <xm:sqref>M27:M30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AB08B-5598-4120-8AA5-7F80ABE558BE}">
  <sheetPr codeName="Sheet11"/>
  <dimension ref="B1:U36"/>
  <sheetViews>
    <sheetView zoomScaleNormal="100" workbookViewId="0">
      <selection activeCell="H3" sqref="H3:I3"/>
    </sheetView>
  </sheetViews>
  <sheetFormatPr defaultRowHeight="15" x14ac:dyDescent="0.25"/>
  <cols>
    <col min="1" max="1" width="3.5703125" customWidth="1"/>
    <col min="2" max="2" width="14" customWidth="1"/>
    <col min="3" max="3" width="5" customWidth="1"/>
    <col min="4" max="4" width="16.28515625" customWidth="1"/>
    <col min="5" max="5" width="3.5703125" customWidth="1"/>
    <col min="6" max="6" width="1.85546875" customWidth="1"/>
    <col min="8" max="8" width="18.85546875" customWidth="1"/>
    <col min="9" max="10" width="12.7109375" customWidth="1"/>
    <col min="11" max="11" width="20.5703125" customWidth="1"/>
  </cols>
  <sheetData>
    <row r="1" spans="2:21" ht="54.75" customHeight="1" thickBot="1" x14ac:dyDescent="0.3">
      <c r="B1" s="975" t="s">
        <v>303</v>
      </c>
      <c r="C1" s="976"/>
      <c r="D1" s="976"/>
      <c r="E1" s="976"/>
      <c r="F1" s="976"/>
      <c r="G1" s="976"/>
      <c r="H1" s="976"/>
      <c r="I1" s="977"/>
    </row>
    <row r="2" spans="2:21" ht="26.1" customHeight="1" thickBot="1" x14ac:dyDescent="0.3">
      <c r="B2" s="67" t="s">
        <v>302</v>
      </c>
      <c r="C2" s="949">
        <f>'Data Entry'!B5</f>
        <v>0</v>
      </c>
      <c r="D2" s="950"/>
      <c r="E2" s="980" t="s">
        <v>295</v>
      </c>
      <c r="F2" s="981"/>
      <c r="G2" s="981"/>
      <c r="H2" s="986">
        <f>'Data Entry'!B1</f>
        <v>0</v>
      </c>
      <c r="I2" s="987"/>
      <c r="L2" s="951" t="s">
        <v>410</v>
      </c>
      <c r="M2" s="952"/>
      <c r="N2" s="952"/>
      <c r="O2" s="953"/>
    </row>
    <row r="3" spans="2:21" ht="26.1" customHeight="1" thickBot="1" x14ac:dyDescent="0.3">
      <c r="B3" s="67" t="s">
        <v>301</v>
      </c>
      <c r="C3" s="949">
        <f>'Data Entry'!B7</f>
        <v>0</v>
      </c>
      <c r="D3" s="950"/>
      <c r="E3" s="980" t="s">
        <v>299</v>
      </c>
      <c r="F3" s="981"/>
      <c r="G3" s="981"/>
      <c r="H3" s="949"/>
      <c r="I3" s="950"/>
      <c r="L3" s="954"/>
      <c r="M3" s="955"/>
      <c r="N3" s="955"/>
      <c r="O3" s="956"/>
    </row>
    <row r="4" spans="2:21" ht="26.1" customHeight="1" thickBot="1" x14ac:dyDescent="0.3">
      <c r="B4" s="67" t="s">
        <v>300</v>
      </c>
      <c r="C4" s="949">
        <f>'Data Entry'!B9</f>
        <v>0</v>
      </c>
      <c r="D4" s="950"/>
      <c r="E4" s="980" t="s">
        <v>308</v>
      </c>
      <c r="F4" s="981"/>
      <c r="G4" s="981"/>
      <c r="H4" s="949"/>
      <c r="I4" s="950"/>
      <c r="K4" s="68"/>
      <c r="L4" s="951" t="s">
        <v>409</v>
      </c>
      <c r="M4" s="957"/>
      <c r="N4" s="957"/>
      <c r="O4" s="958"/>
    </row>
    <row r="5" spans="2:21" ht="26.1" customHeight="1" thickBot="1" x14ac:dyDescent="0.3">
      <c r="B5" s="67" t="s">
        <v>296</v>
      </c>
      <c r="C5" s="949" t="str">
        <f>'Data Entry'!F3</f>
        <v>SCOTT</v>
      </c>
      <c r="D5" s="950"/>
      <c r="E5" s="980" t="s">
        <v>297</v>
      </c>
      <c r="F5" s="981"/>
      <c r="G5" s="981"/>
      <c r="H5" s="949" t="s">
        <v>779</v>
      </c>
      <c r="I5" s="950"/>
      <c r="L5" s="959"/>
      <c r="M5" s="960"/>
      <c r="N5" s="960"/>
      <c r="O5" s="961"/>
    </row>
    <row r="6" spans="2:21" ht="26.1" customHeight="1" thickBot="1" x14ac:dyDescent="0.3">
      <c r="B6" s="67" t="s">
        <v>294</v>
      </c>
      <c r="C6" s="949">
        <f>'Data Entry'!F1</f>
        <v>0</v>
      </c>
      <c r="D6" s="950"/>
      <c r="E6" s="980" t="s">
        <v>298</v>
      </c>
      <c r="F6" s="981"/>
      <c r="G6" s="981"/>
      <c r="H6" s="949" t="s">
        <v>579</v>
      </c>
      <c r="I6" s="950"/>
      <c r="K6" s="68"/>
    </row>
    <row r="7" spans="2:21" ht="21.95" customHeight="1" x14ac:dyDescent="0.25">
      <c r="B7" s="982" t="s">
        <v>407</v>
      </c>
      <c r="C7" s="983"/>
      <c r="D7" s="983"/>
      <c r="E7" s="983"/>
      <c r="F7" s="984" t="s">
        <v>406</v>
      </c>
      <c r="G7" s="984"/>
      <c r="H7" s="984"/>
      <c r="I7" s="985"/>
      <c r="L7" s="69"/>
      <c r="M7" s="71"/>
      <c r="N7" s="71"/>
      <c r="O7" s="71"/>
      <c r="P7" s="69"/>
    </row>
    <row r="8" spans="2:21" ht="21.95" customHeight="1" x14ac:dyDescent="0.25">
      <c r="B8" s="942"/>
      <c r="C8" s="759"/>
      <c r="D8" s="759"/>
      <c r="E8" s="759"/>
      <c r="F8" s="759"/>
      <c r="G8" s="759"/>
      <c r="H8" s="759"/>
      <c r="I8" s="943"/>
      <c r="L8" s="69"/>
      <c r="M8" s="69"/>
      <c r="N8" s="69"/>
      <c r="O8" s="69"/>
      <c r="P8" s="69"/>
    </row>
    <row r="9" spans="2:21" ht="21.95" customHeight="1" x14ac:dyDescent="0.25">
      <c r="B9" s="942"/>
      <c r="C9" s="759"/>
      <c r="D9" s="759"/>
      <c r="E9" s="759"/>
      <c r="F9" s="759"/>
      <c r="G9" s="759"/>
      <c r="H9" s="759"/>
      <c r="I9" s="943"/>
      <c r="L9" s="69"/>
      <c r="M9" s="69"/>
      <c r="N9" s="69"/>
      <c r="O9" s="69"/>
      <c r="P9" s="69"/>
    </row>
    <row r="10" spans="2:21" ht="21.95" customHeight="1" x14ac:dyDescent="0.25">
      <c r="B10" s="942"/>
      <c r="C10" s="759"/>
      <c r="D10" s="759"/>
      <c r="E10" s="759"/>
      <c r="F10" s="759"/>
      <c r="G10" s="759"/>
      <c r="H10" s="759"/>
      <c r="I10" s="943"/>
      <c r="L10" s="69"/>
      <c r="M10" s="69"/>
      <c r="N10" s="69"/>
      <c r="O10" s="69"/>
      <c r="P10" s="69"/>
    </row>
    <row r="11" spans="2:21" ht="21.95" customHeight="1" x14ac:dyDescent="0.25">
      <c r="B11" s="942"/>
      <c r="C11" s="759"/>
      <c r="D11" s="759"/>
      <c r="E11" s="759"/>
      <c r="F11" s="759"/>
      <c r="G11" s="759"/>
      <c r="H11" s="759"/>
      <c r="I11" s="943"/>
      <c r="L11" s="69"/>
      <c r="M11" s="69"/>
      <c r="N11" s="69"/>
      <c r="O11" s="69"/>
      <c r="P11" s="69"/>
    </row>
    <row r="12" spans="2:21" ht="21.95" customHeight="1" thickBot="1" x14ac:dyDescent="0.3">
      <c r="B12" s="944"/>
      <c r="C12" s="945"/>
      <c r="D12" s="945"/>
      <c r="E12" s="945"/>
      <c r="F12" s="945"/>
      <c r="G12" s="945"/>
      <c r="H12" s="945"/>
      <c r="I12" s="946"/>
      <c r="L12" s="69"/>
      <c r="M12" s="69"/>
      <c r="N12" s="69"/>
      <c r="O12" s="69"/>
      <c r="P12" s="69"/>
    </row>
    <row r="13" spans="2:21" ht="21.95" customHeight="1" x14ac:dyDescent="0.25">
      <c r="B13" s="947" t="s">
        <v>293</v>
      </c>
      <c r="C13" s="948"/>
      <c r="D13" s="978" t="s">
        <v>304</v>
      </c>
      <c r="E13" s="978"/>
      <c r="F13" s="978"/>
      <c r="G13" s="978"/>
      <c r="H13" s="978"/>
      <c r="I13" s="979"/>
      <c r="L13" s="69"/>
      <c r="M13" s="69"/>
      <c r="N13" s="69"/>
      <c r="O13" s="69"/>
      <c r="P13" s="69"/>
      <c r="S13" s="968" t="s">
        <v>408</v>
      </c>
      <c r="T13" s="969"/>
      <c r="U13" s="970"/>
    </row>
    <row r="14" spans="2:21" ht="21.95" customHeight="1" x14ac:dyDescent="0.25">
      <c r="B14" s="965" t="s">
        <v>305</v>
      </c>
      <c r="C14" s="966"/>
      <c r="D14" s="966"/>
      <c r="E14" s="966"/>
      <c r="F14" s="966"/>
      <c r="G14" s="966"/>
      <c r="H14" s="966"/>
      <c r="I14" s="967"/>
      <c r="S14" s="971"/>
      <c r="T14" s="688"/>
      <c r="U14" s="972"/>
    </row>
    <row r="15" spans="2:21" ht="21.95" customHeight="1" thickBot="1" x14ac:dyDescent="0.3">
      <c r="B15" s="962" t="s">
        <v>305</v>
      </c>
      <c r="C15" s="963"/>
      <c r="D15" s="963"/>
      <c r="E15" s="963"/>
      <c r="F15" s="963"/>
      <c r="G15" s="963"/>
      <c r="H15" s="963"/>
      <c r="I15" s="964"/>
      <c r="S15" s="973"/>
      <c r="T15" s="955"/>
      <c r="U15" s="974"/>
    </row>
    <row r="16" spans="2:21" ht="12" customHeight="1" x14ac:dyDescent="0.25">
      <c r="B16" s="939"/>
      <c r="C16" s="940"/>
      <c r="D16" s="940"/>
      <c r="E16" s="940"/>
      <c r="F16" s="940"/>
      <c r="G16" s="940"/>
      <c r="H16" s="940"/>
      <c r="I16" s="941"/>
    </row>
    <row r="17" spans="2:9" x14ac:dyDescent="0.25">
      <c r="B17" s="942"/>
      <c r="C17" s="759"/>
      <c r="D17" s="759"/>
      <c r="E17" s="759"/>
      <c r="F17" s="759"/>
      <c r="G17" s="759"/>
      <c r="H17" s="759"/>
      <c r="I17" s="943"/>
    </row>
    <row r="18" spans="2:9" x14ac:dyDescent="0.25">
      <c r="B18" s="942"/>
      <c r="C18" s="759"/>
      <c r="D18" s="759"/>
      <c r="E18" s="759"/>
      <c r="F18" s="759"/>
      <c r="G18" s="759"/>
      <c r="H18" s="759"/>
      <c r="I18" s="943"/>
    </row>
    <row r="19" spans="2:9" x14ac:dyDescent="0.25">
      <c r="B19" s="942"/>
      <c r="C19" s="759"/>
      <c r="D19" s="759"/>
      <c r="E19" s="759"/>
      <c r="F19" s="759"/>
      <c r="G19" s="759"/>
      <c r="H19" s="759"/>
      <c r="I19" s="943"/>
    </row>
    <row r="20" spans="2:9" x14ac:dyDescent="0.25">
      <c r="B20" s="942"/>
      <c r="C20" s="759"/>
      <c r="D20" s="759"/>
      <c r="E20" s="759"/>
      <c r="F20" s="759"/>
      <c r="G20" s="759"/>
      <c r="H20" s="759"/>
      <c r="I20" s="943"/>
    </row>
    <row r="21" spans="2:9" x14ac:dyDescent="0.25">
      <c r="B21" s="942"/>
      <c r="C21" s="759"/>
      <c r="D21" s="759"/>
      <c r="E21" s="759"/>
      <c r="F21" s="759"/>
      <c r="G21" s="759"/>
      <c r="H21" s="759"/>
      <c r="I21" s="943"/>
    </row>
    <row r="22" spans="2:9" x14ac:dyDescent="0.25">
      <c r="B22" s="942"/>
      <c r="C22" s="759"/>
      <c r="D22" s="759"/>
      <c r="E22" s="759"/>
      <c r="F22" s="759"/>
      <c r="G22" s="759"/>
      <c r="H22" s="759"/>
      <c r="I22" s="943"/>
    </row>
    <row r="23" spans="2:9" x14ac:dyDescent="0.25">
      <c r="B23" s="942"/>
      <c r="C23" s="759"/>
      <c r="D23" s="759"/>
      <c r="E23" s="759"/>
      <c r="F23" s="759"/>
      <c r="G23" s="759"/>
      <c r="H23" s="759"/>
      <c r="I23" s="943"/>
    </row>
    <row r="24" spans="2:9" x14ac:dyDescent="0.25">
      <c r="B24" s="942"/>
      <c r="C24" s="759"/>
      <c r="D24" s="759"/>
      <c r="E24" s="759"/>
      <c r="F24" s="759"/>
      <c r="G24" s="759"/>
      <c r="H24" s="759"/>
      <c r="I24" s="943"/>
    </row>
    <row r="25" spans="2:9" x14ac:dyDescent="0.25">
      <c r="B25" s="942"/>
      <c r="C25" s="759"/>
      <c r="D25" s="759"/>
      <c r="E25" s="759"/>
      <c r="F25" s="759"/>
      <c r="G25" s="759"/>
      <c r="H25" s="759"/>
      <c r="I25" s="943"/>
    </row>
    <row r="26" spans="2:9" x14ac:dyDescent="0.25">
      <c r="B26" s="942"/>
      <c r="C26" s="759"/>
      <c r="D26" s="759"/>
      <c r="E26" s="759"/>
      <c r="F26" s="759"/>
      <c r="G26" s="759"/>
      <c r="H26" s="759"/>
      <c r="I26" s="943"/>
    </row>
    <row r="27" spans="2:9" x14ac:dyDescent="0.25">
      <c r="B27" s="942"/>
      <c r="C27" s="759"/>
      <c r="D27" s="759"/>
      <c r="E27" s="759"/>
      <c r="F27" s="759"/>
      <c r="G27" s="759"/>
      <c r="H27" s="759"/>
      <c r="I27" s="943"/>
    </row>
    <row r="28" spans="2:9" x14ac:dyDescent="0.25">
      <c r="B28" s="942"/>
      <c r="C28" s="759"/>
      <c r="D28" s="759"/>
      <c r="E28" s="759"/>
      <c r="F28" s="759"/>
      <c r="G28" s="759"/>
      <c r="H28" s="759"/>
      <c r="I28" s="943"/>
    </row>
    <row r="29" spans="2:9" x14ac:dyDescent="0.25">
      <c r="B29" s="942"/>
      <c r="C29" s="759"/>
      <c r="D29" s="759"/>
      <c r="E29" s="759"/>
      <c r="F29" s="759"/>
      <c r="G29" s="759"/>
      <c r="H29" s="759"/>
      <c r="I29" s="943"/>
    </row>
    <row r="30" spans="2:9" x14ac:dyDescent="0.25">
      <c r="B30" s="942"/>
      <c r="C30" s="759"/>
      <c r="D30" s="759"/>
      <c r="E30" s="759"/>
      <c r="F30" s="759"/>
      <c r="G30" s="759"/>
      <c r="H30" s="759"/>
      <c r="I30" s="943"/>
    </row>
    <row r="31" spans="2:9" x14ac:dyDescent="0.25">
      <c r="B31" s="942"/>
      <c r="C31" s="759"/>
      <c r="D31" s="759"/>
      <c r="E31" s="759"/>
      <c r="F31" s="759"/>
      <c r="G31" s="759"/>
      <c r="H31" s="759"/>
      <c r="I31" s="943"/>
    </row>
    <row r="32" spans="2:9" x14ac:dyDescent="0.25">
      <c r="B32" s="942"/>
      <c r="C32" s="759"/>
      <c r="D32" s="759"/>
      <c r="E32" s="759"/>
      <c r="F32" s="759"/>
      <c r="G32" s="759"/>
      <c r="H32" s="759"/>
      <c r="I32" s="943"/>
    </row>
    <row r="33" spans="2:9" x14ac:dyDescent="0.25">
      <c r="B33" s="942"/>
      <c r="C33" s="759"/>
      <c r="D33" s="759"/>
      <c r="E33" s="759"/>
      <c r="F33" s="759"/>
      <c r="G33" s="759"/>
      <c r="H33" s="759"/>
      <c r="I33" s="943"/>
    </row>
    <row r="34" spans="2:9" x14ac:dyDescent="0.25">
      <c r="B34" s="942"/>
      <c r="C34" s="759"/>
      <c r="D34" s="759"/>
      <c r="E34" s="759"/>
      <c r="F34" s="759"/>
      <c r="G34" s="759"/>
      <c r="H34" s="759"/>
      <c r="I34" s="943"/>
    </row>
    <row r="35" spans="2:9" x14ac:dyDescent="0.25">
      <c r="B35" s="942"/>
      <c r="C35" s="759"/>
      <c r="D35" s="759"/>
      <c r="E35" s="759"/>
      <c r="F35" s="759"/>
      <c r="G35" s="759"/>
      <c r="H35" s="759"/>
      <c r="I35" s="943"/>
    </row>
    <row r="36" spans="2:9" ht="15.75" thickBot="1" x14ac:dyDescent="0.3">
      <c r="B36" s="944"/>
      <c r="C36" s="945"/>
      <c r="D36" s="945"/>
      <c r="E36" s="945"/>
      <c r="F36" s="945"/>
      <c r="G36" s="945"/>
      <c r="H36" s="945"/>
      <c r="I36" s="946"/>
    </row>
  </sheetData>
  <mergeCells count="27">
    <mergeCell ref="S13:U15"/>
    <mergeCell ref="B1:I1"/>
    <mergeCell ref="D13:I13"/>
    <mergeCell ref="E2:G2"/>
    <mergeCell ref="E3:G3"/>
    <mergeCell ref="E5:G5"/>
    <mergeCell ref="E6:G6"/>
    <mergeCell ref="C4:D4"/>
    <mergeCell ref="C6:D6"/>
    <mergeCell ref="E4:G4"/>
    <mergeCell ref="B7:E7"/>
    <mergeCell ref="F7:I7"/>
    <mergeCell ref="C2:D2"/>
    <mergeCell ref="C3:D3"/>
    <mergeCell ref="H2:I2"/>
    <mergeCell ref="B16:I36"/>
    <mergeCell ref="B13:C13"/>
    <mergeCell ref="H5:I5"/>
    <mergeCell ref="L2:O3"/>
    <mergeCell ref="L4:O5"/>
    <mergeCell ref="H3:I3"/>
    <mergeCell ref="H4:I4"/>
    <mergeCell ref="H6:I6"/>
    <mergeCell ref="B15:I15"/>
    <mergeCell ref="B14:I14"/>
    <mergeCell ref="C5:D5"/>
    <mergeCell ref="B8:I12"/>
  </mergeCells>
  <dataValidations count="4">
    <dataValidation type="list" allowBlank="1" showInputMessage="1" showErrorMessage="1" sqref="H3:I3" xr:uid="{1508004B-70E8-4E2F-8032-4F5EEBB7FB36}">
      <formula1>"Quartz,Granite,Marble"</formula1>
    </dataValidation>
    <dataValidation type="list" allowBlank="1" showInputMessage="1" showErrorMessage="1" sqref="H5:I5" xr:uid="{6022F716-DF2A-47E7-A87B-11A4E6BE13D4}">
      <formula1>"3/4"",1 1/4"",1 1/2"""</formula1>
    </dataValidation>
    <dataValidation type="list" allowBlank="1" showInputMessage="1" showErrorMessage="1" sqref="H6:I6" xr:uid="{CFCCB106-9678-41C9-80BE-C4AEC850DA5E}">
      <formula1>"Flat Polish,Half Bullnose,Full Bullnose,Big Bevel,Small Bevel,Ogee Flat"</formula1>
    </dataValidation>
    <dataValidation type="list" allowBlank="1" showInputMessage="1" showErrorMessage="1" sqref="H4:I4" xr:uid="{C280A10F-E5BD-4D4D-A4BD-5591136BD503}">
      <formula1>IF(H3="QUARTZ", QuartzOptions, IF(H3="GRANITE", GraniteOptions, IF(H3="MARBLE", MarbleOptions, "")))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309" r:id="rId4" name="CommandButton16">
          <controlPr defaultSize="0" autoLine="0" r:id="rId5">
            <anchor moveWithCells="1">
              <from>
                <xdr:col>7</xdr:col>
                <xdr:colOff>1181100</xdr:colOff>
                <xdr:row>9</xdr:row>
                <xdr:rowOff>66675</xdr:rowOff>
              </from>
              <to>
                <xdr:col>8</xdr:col>
                <xdr:colOff>781050</xdr:colOff>
                <xdr:row>11</xdr:row>
                <xdr:rowOff>238125</xdr:rowOff>
              </to>
            </anchor>
          </controlPr>
        </control>
      </mc:Choice>
      <mc:Fallback>
        <control shapeId="12309" r:id="rId4" name="CommandButton16"/>
      </mc:Fallback>
    </mc:AlternateContent>
    <mc:AlternateContent xmlns:mc="http://schemas.openxmlformats.org/markup-compatibility/2006">
      <mc:Choice Requires="x14">
        <control shapeId="12308" r:id="rId6" name="CommandButton15">
          <controlPr defaultSize="0" autoLine="0" r:id="rId7">
            <anchor moveWithCells="1">
              <from>
                <xdr:col>7</xdr:col>
                <xdr:colOff>1181100</xdr:colOff>
                <xdr:row>6</xdr:row>
                <xdr:rowOff>238125</xdr:rowOff>
              </from>
              <to>
                <xdr:col>8</xdr:col>
                <xdr:colOff>771525</xdr:colOff>
                <xdr:row>9</xdr:row>
                <xdr:rowOff>228600</xdr:rowOff>
              </to>
            </anchor>
          </controlPr>
        </control>
      </mc:Choice>
      <mc:Fallback>
        <control shapeId="12308" r:id="rId6" name="CommandButton15"/>
      </mc:Fallback>
    </mc:AlternateContent>
    <mc:AlternateContent xmlns:mc="http://schemas.openxmlformats.org/markup-compatibility/2006">
      <mc:Choice Requires="x14">
        <control shapeId="12307" r:id="rId8" name="CommandButton14">
          <controlPr defaultSize="0" autoLine="0" r:id="rId9">
            <anchor moveWithCells="1">
              <from>
                <xdr:col>7</xdr:col>
                <xdr:colOff>295275</xdr:colOff>
                <xdr:row>9</xdr:row>
                <xdr:rowOff>66675</xdr:rowOff>
              </from>
              <to>
                <xdr:col>7</xdr:col>
                <xdr:colOff>1200150</xdr:colOff>
                <xdr:row>11</xdr:row>
                <xdr:rowOff>238125</xdr:rowOff>
              </to>
            </anchor>
          </controlPr>
        </control>
      </mc:Choice>
      <mc:Fallback>
        <control shapeId="12307" r:id="rId8" name="CommandButton14"/>
      </mc:Fallback>
    </mc:AlternateContent>
    <mc:AlternateContent xmlns:mc="http://schemas.openxmlformats.org/markup-compatibility/2006">
      <mc:Choice Requires="x14">
        <control shapeId="12306" r:id="rId10" name="CommandButton13">
          <controlPr defaultSize="0" autoLine="0" r:id="rId11">
            <anchor moveWithCells="1">
              <from>
                <xdr:col>7</xdr:col>
                <xdr:colOff>304800</xdr:colOff>
                <xdr:row>6</xdr:row>
                <xdr:rowOff>238125</xdr:rowOff>
              </from>
              <to>
                <xdr:col>7</xdr:col>
                <xdr:colOff>1209675</xdr:colOff>
                <xdr:row>9</xdr:row>
                <xdr:rowOff>152400</xdr:rowOff>
              </to>
            </anchor>
          </controlPr>
        </control>
      </mc:Choice>
      <mc:Fallback>
        <control shapeId="12306" r:id="rId10" name="CommandButton13"/>
      </mc:Fallback>
    </mc:AlternateContent>
    <mc:AlternateContent xmlns:mc="http://schemas.openxmlformats.org/markup-compatibility/2006">
      <mc:Choice Requires="x14">
        <control shapeId="12305" r:id="rId12" name="CommandButton12">
          <controlPr defaultSize="0" autoLine="0" r:id="rId13">
            <anchor moveWithCells="1">
              <from>
                <xdr:col>6</xdr:col>
                <xdr:colOff>9525</xdr:colOff>
                <xdr:row>9</xdr:row>
                <xdr:rowOff>47625</xdr:rowOff>
              </from>
              <to>
                <xdr:col>7</xdr:col>
                <xdr:colOff>314325</xdr:colOff>
                <xdr:row>11</xdr:row>
                <xdr:rowOff>238125</xdr:rowOff>
              </to>
            </anchor>
          </controlPr>
        </control>
      </mc:Choice>
      <mc:Fallback>
        <control shapeId="12305" r:id="rId12" name="CommandButton12"/>
      </mc:Fallback>
    </mc:AlternateContent>
    <mc:AlternateContent xmlns:mc="http://schemas.openxmlformats.org/markup-compatibility/2006">
      <mc:Choice Requires="x14">
        <control shapeId="12304" r:id="rId14" name="CommandButton11">
          <controlPr defaultSize="0" autoLine="0" autoPict="0" r:id="rId15">
            <anchor moveWithCells="1">
              <from>
                <xdr:col>6</xdr:col>
                <xdr:colOff>9525</xdr:colOff>
                <xdr:row>6</xdr:row>
                <xdr:rowOff>238125</xdr:rowOff>
              </from>
              <to>
                <xdr:col>7</xdr:col>
                <xdr:colOff>314325</xdr:colOff>
                <xdr:row>9</xdr:row>
                <xdr:rowOff>209550</xdr:rowOff>
              </to>
            </anchor>
          </controlPr>
        </control>
      </mc:Choice>
      <mc:Fallback>
        <control shapeId="12304" r:id="rId14" name="CommandButton11"/>
      </mc:Fallback>
    </mc:AlternateContent>
    <mc:AlternateContent xmlns:mc="http://schemas.openxmlformats.org/markup-compatibility/2006">
      <mc:Choice Requires="x14">
        <control shapeId="12302" r:id="rId16" name="CommandButton10">
          <controlPr defaultSize="0" autoLine="0" r:id="rId17">
            <anchor moveWithCells="1">
              <from>
                <xdr:col>3</xdr:col>
                <xdr:colOff>485775</xdr:colOff>
                <xdr:row>9</xdr:row>
                <xdr:rowOff>114300</xdr:rowOff>
              </from>
              <to>
                <xdr:col>5</xdr:col>
                <xdr:colOff>57150</xdr:colOff>
                <xdr:row>11</xdr:row>
                <xdr:rowOff>247650</xdr:rowOff>
              </to>
            </anchor>
          </controlPr>
        </control>
      </mc:Choice>
      <mc:Fallback>
        <control shapeId="12302" r:id="rId16" name="CommandButton10"/>
      </mc:Fallback>
    </mc:AlternateContent>
    <mc:AlternateContent xmlns:mc="http://schemas.openxmlformats.org/markup-compatibility/2006">
      <mc:Choice Requires="x14">
        <control shapeId="12301" r:id="rId18" name="CommandButton9">
          <controlPr defaultSize="0" autoLine="0" r:id="rId19">
            <anchor moveWithCells="1">
              <from>
                <xdr:col>3</xdr:col>
                <xdr:colOff>485775</xdr:colOff>
                <xdr:row>6</xdr:row>
                <xdr:rowOff>257175</xdr:rowOff>
              </from>
              <to>
                <xdr:col>5</xdr:col>
                <xdr:colOff>57150</xdr:colOff>
                <xdr:row>9</xdr:row>
                <xdr:rowOff>171450</xdr:rowOff>
              </to>
            </anchor>
          </controlPr>
        </control>
      </mc:Choice>
      <mc:Fallback>
        <control shapeId="12301" r:id="rId18" name="CommandButton9"/>
      </mc:Fallback>
    </mc:AlternateContent>
    <mc:AlternateContent xmlns:mc="http://schemas.openxmlformats.org/markup-compatibility/2006">
      <mc:Choice Requires="x14">
        <control shapeId="12300" r:id="rId20" name="CommandButton8">
          <controlPr defaultSize="0" autoLine="0" r:id="rId21">
            <anchor moveWithCells="1">
              <from>
                <xdr:col>1</xdr:col>
                <xdr:colOff>904875</xdr:colOff>
                <xdr:row>6</xdr:row>
                <xdr:rowOff>257175</xdr:rowOff>
              </from>
              <to>
                <xdr:col>3</xdr:col>
                <xdr:colOff>533400</xdr:colOff>
                <xdr:row>9</xdr:row>
                <xdr:rowOff>133350</xdr:rowOff>
              </to>
            </anchor>
          </controlPr>
        </control>
      </mc:Choice>
      <mc:Fallback>
        <control shapeId="12300" r:id="rId20" name="CommandButton8"/>
      </mc:Fallback>
    </mc:AlternateContent>
    <mc:AlternateContent xmlns:mc="http://schemas.openxmlformats.org/markup-compatibility/2006">
      <mc:Choice Requires="x14">
        <control shapeId="12299" r:id="rId22" name="CommandButton7">
          <controlPr defaultSize="0" autoLine="0" r:id="rId23">
            <anchor moveWithCells="1">
              <from>
                <xdr:col>1</xdr:col>
                <xdr:colOff>895350</xdr:colOff>
                <xdr:row>9</xdr:row>
                <xdr:rowOff>66675</xdr:rowOff>
              </from>
              <to>
                <xdr:col>3</xdr:col>
                <xdr:colOff>533400</xdr:colOff>
                <xdr:row>11</xdr:row>
                <xdr:rowOff>247650</xdr:rowOff>
              </to>
            </anchor>
          </controlPr>
        </control>
      </mc:Choice>
      <mc:Fallback>
        <control shapeId="12299" r:id="rId22" name="CommandButton7"/>
      </mc:Fallback>
    </mc:AlternateContent>
    <mc:AlternateContent xmlns:mc="http://schemas.openxmlformats.org/markup-compatibility/2006">
      <mc:Choice Requires="x14">
        <control shapeId="12298" r:id="rId24" name="CommandButton6">
          <controlPr defaultSize="0" autoLine="0" r:id="rId25">
            <anchor moveWithCells="1">
              <from>
                <xdr:col>1</xdr:col>
                <xdr:colOff>133350</xdr:colOff>
                <xdr:row>6</xdr:row>
                <xdr:rowOff>266700</xdr:rowOff>
              </from>
              <to>
                <xdr:col>1</xdr:col>
                <xdr:colOff>914400</xdr:colOff>
                <xdr:row>9</xdr:row>
                <xdr:rowOff>133350</xdr:rowOff>
              </to>
            </anchor>
          </controlPr>
        </control>
      </mc:Choice>
      <mc:Fallback>
        <control shapeId="12298" r:id="rId24" name="CommandButton6"/>
      </mc:Fallback>
    </mc:AlternateContent>
    <mc:AlternateContent xmlns:mc="http://schemas.openxmlformats.org/markup-compatibility/2006">
      <mc:Choice Requires="x14">
        <control shapeId="12295" r:id="rId26" name="CommandButton4">
          <controlPr defaultSize="0" autoLine="0" autoPict="0" r:id="rId27">
            <anchor moveWithCells="1">
              <from>
                <xdr:col>11</xdr:col>
                <xdr:colOff>28575</xdr:colOff>
                <xdr:row>12</xdr:row>
                <xdr:rowOff>104775</xdr:rowOff>
              </from>
              <to>
                <xdr:col>13</xdr:col>
                <xdr:colOff>333375</xdr:colOff>
                <xdr:row>14</xdr:row>
                <xdr:rowOff>238125</xdr:rowOff>
              </to>
            </anchor>
          </controlPr>
        </control>
      </mc:Choice>
      <mc:Fallback>
        <control shapeId="12295" r:id="rId26" name="CommandButton4"/>
      </mc:Fallback>
    </mc:AlternateContent>
    <mc:AlternateContent xmlns:mc="http://schemas.openxmlformats.org/markup-compatibility/2006">
      <mc:Choice Requires="x14">
        <control shapeId="12293" r:id="rId28" name="CommandButton3">
          <controlPr defaultSize="0" autoLine="0" r:id="rId29">
            <anchor moveWithCells="1">
              <from>
                <xdr:col>1</xdr:col>
                <xdr:colOff>133350</xdr:colOff>
                <xdr:row>9</xdr:row>
                <xdr:rowOff>95250</xdr:rowOff>
              </from>
              <to>
                <xdr:col>1</xdr:col>
                <xdr:colOff>914400</xdr:colOff>
                <xdr:row>11</xdr:row>
                <xdr:rowOff>247650</xdr:rowOff>
              </to>
            </anchor>
          </controlPr>
        </control>
      </mc:Choice>
      <mc:Fallback>
        <control shapeId="12293" r:id="rId28" name="CommandButton3"/>
      </mc:Fallback>
    </mc:AlternateContent>
    <mc:AlternateContent xmlns:mc="http://schemas.openxmlformats.org/markup-compatibility/2006">
      <mc:Choice Requires="x14">
        <control shapeId="12291" r:id="rId30" name="CommandButton2">
          <controlPr defaultSize="0" autoLine="0" autoPict="0" r:id="rId31">
            <anchor moveWithCells="1">
              <from>
                <xdr:col>11</xdr:col>
                <xdr:colOff>19050</xdr:colOff>
                <xdr:row>9</xdr:row>
                <xdr:rowOff>76200</xdr:rowOff>
              </from>
              <to>
                <xdr:col>13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12291" r:id="rId30" name="CommandButton2"/>
      </mc:Fallback>
    </mc:AlternateContent>
    <mc:AlternateContent xmlns:mc="http://schemas.openxmlformats.org/markup-compatibility/2006">
      <mc:Choice Requires="x14">
        <control shapeId="12290" r:id="rId32" name="CommandButton1">
          <controlPr defaultSize="0" autoLine="0" autoPict="0" r:id="rId33">
            <anchor moveWithCells="1">
              <from>
                <xdr:col>11</xdr:col>
                <xdr:colOff>28575</xdr:colOff>
                <xdr:row>6</xdr:row>
                <xdr:rowOff>47625</xdr:rowOff>
              </from>
              <to>
                <xdr:col>13</xdr:col>
                <xdr:colOff>333375</xdr:colOff>
                <xdr:row>8</xdr:row>
                <xdr:rowOff>180975</xdr:rowOff>
              </to>
            </anchor>
          </controlPr>
        </control>
      </mc:Choice>
      <mc:Fallback>
        <control shapeId="12290" r:id="rId32" name="CommandButton1"/>
      </mc:Fallback>
    </mc:AlternateContent>
    <mc:AlternateContent xmlns:mc="http://schemas.openxmlformats.org/markup-compatibility/2006">
      <mc:Choice Requires="x14">
        <control shapeId="12310" r:id="rId34" name="CommandButton5">
          <controlPr defaultSize="0" autoLine="0" r:id="rId35">
            <anchor moveWithCells="1">
              <from>
                <xdr:col>13</xdr:col>
                <xdr:colOff>514350</xdr:colOff>
                <xdr:row>12</xdr:row>
                <xdr:rowOff>95250</xdr:rowOff>
              </from>
              <to>
                <xdr:col>16</xdr:col>
                <xdr:colOff>209550</xdr:colOff>
                <xdr:row>14</xdr:row>
                <xdr:rowOff>228600</xdr:rowOff>
              </to>
            </anchor>
          </controlPr>
        </control>
      </mc:Choice>
      <mc:Fallback>
        <control shapeId="12310" r:id="rId34" name="CommandButton5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4EFA6-4E63-4F8D-BE72-FE955821D3F4}">
  <sheetPr codeName="Sheet17">
    <pageSetUpPr autoPageBreaks="0" fitToPage="1"/>
  </sheetPr>
  <dimension ref="B1:AC58"/>
  <sheetViews>
    <sheetView zoomScaleNormal="100" workbookViewId="0">
      <selection activeCell="B2" sqref="B2:C2"/>
    </sheetView>
  </sheetViews>
  <sheetFormatPr defaultColWidth="9.140625" defaultRowHeight="15.75" x14ac:dyDescent="0.25"/>
  <cols>
    <col min="1" max="1" width="2.7109375" style="102" customWidth="1"/>
    <col min="2" max="2" width="8.7109375" style="102" customWidth="1"/>
    <col min="3" max="3" width="12.7109375" style="102" customWidth="1"/>
    <col min="4" max="4" width="1.7109375" style="102" customWidth="1"/>
    <col min="5" max="5" width="6.7109375" style="102" customWidth="1"/>
    <col min="6" max="6" width="1.7109375" style="102" customWidth="1"/>
    <col min="7" max="7" width="12.7109375" style="102" customWidth="1"/>
    <col min="8" max="8" width="0.85546875" style="102" customWidth="1"/>
    <col min="9" max="9" width="12.7109375" style="102" customWidth="1"/>
    <col min="10" max="10" width="1.7109375" style="102" customWidth="1"/>
    <col min="11" max="11" width="15.7109375" style="102" customWidth="1"/>
    <col min="12" max="12" width="1.7109375" style="102" customWidth="1"/>
    <col min="13" max="13" width="12.7109375" style="102" customWidth="1"/>
    <col min="14" max="14" width="0.85546875" style="102" customWidth="1"/>
    <col min="15" max="15" width="13.42578125" style="102" customWidth="1"/>
    <col min="16" max="16" width="1.7109375" style="102" customWidth="1"/>
    <col min="17" max="17" width="10.7109375" style="102" customWidth="1"/>
    <col min="18" max="18" width="2.7109375" style="102" customWidth="1"/>
    <col min="19" max="22" width="10.7109375" style="102" customWidth="1"/>
    <col min="23" max="16384" width="9.140625" style="102"/>
  </cols>
  <sheetData>
    <row r="1" spans="2:29" ht="24.95" customHeight="1" thickBot="1" x14ac:dyDescent="0.3">
      <c r="B1" s="1018" t="s">
        <v>383</v>
      </c>
      <c r="C1" s="1019"/>
      <c r="D1" s="281"/>
      <c r="E1" s="281"/>
      <c r="F1" s="281"/>
      <c r="G1" s="282"/>
      <c r="H1" s="283"/>
      <c r="I1" s="284"/>
      <c r="J1" s="285"/>
      <c r="K1" s="1020" t="s">
        <v>378</v>
      </c>
      <c r="L1" s="1020"/>
      <c r="M1" s="1020"/>
      <c r="N1" s="1020"/>
      <c r="O1" s="1020"/>
      <c r="P1" s="1020"/>
      <c r="Q1" s="1020"/>
      <c r="V1" s="103"/>
    </row>
    <row r="2" spans="2:29" ht="33" customHeight="1" thickBot="1" x14ac:dyDescent="0.3">
      <c r="B2" s="1021"/>
      <c r="C2" s="1022"/>
      <c r="E2" s="1023"/>
      <c r="F2" s="1024"/>
      <c r="G2" s="1024"/>
      <c r="H2" s="1024"/>
      <c r="I2" s="1024"/>
      <c r="J2" s="45"/>
      <c r="K2" s="1026" t="s">
        <v>388</v>
      </c>
      <c r="L2" s="1026"/>
      <c r="M2" s="1026"/>
      <c r="N2" s="1026"/>
      <c r="O2" s="1026"/>
      <c r="P2" s="1026"/>
      <c r="Q2" s="1026"/>
      <c r="V2" s="104"/>
    </row>
    <row r="3" spans="2:29" ht="2.1" customHeight="1" x14ac:dyDescent="0.25">
      <c r="B3" s="286"/>
      <c r="E3" s="1024"/>
      <c r="F3" s="1024"/>
      <c r="G3" s="1024"/>
      <c r="H3" s="1024"/>
      <c r="I3" s="1024"/>
      <c r="L3" s="103"/>
      <c r="O3" s="68"/>
      <c r="P3" s="68"/>
      <c r="Q3" s="68"/>
    </row>
    <row r="4" spans="2:29" ht="20.100000000000001" customHeight="1" x14ac:dyDescent="0.25">
      <c r="B4" s="1018" t="s">
        <v>395</v>
      </c>
      <c r="C4" s="1027"/>
      <c r="E4" s="1024"/>
      <c r="F4" s="1024"/>
      <c r="G4" s="1024"/>
      <c r="H4" s="1024"/>
      <c r="I4" s="1024"/>
      <c r="J4" s="287"/>
      <c r="K4" s="287" t="s">
        <v>118</v>
      </c>
      <c r="L4" s="68"/>
      <c r="M4" s="1028">
        <f ca="1">TODAY()</f>
        <v>46160</v>
      </c>
      <c r="N4" s="848"/>
      <c r="O4" s="848"/>
      <c r="P4" s="848"/>
      <c r="Q4" s="848"/>
      <c r="T4" s="105"/>
    </row>
    <row r="5" spans="2:29" ht="2.1" customHeight="1" thickBot="1" x14ac:dyDescent="0.3">
      <c r="B5" s="97"/>
      <c r="C5" s="97"/>
      <c r="E5" s="1024"/>
      <c r="F5" s="1024"/>
      <c r="G5" s="1024"/>
      <c r="H5" s="1024"/>
      <c r="I5" s="1024"/>
      <c r="J5" s="98"/>
      <c r="K5" s="98"/>
      <c r="L5" s="68"/>
      <c r="M5" s="288"/>
      <c r="N5" s="288"/>
      <c r="O5" s="68"/>
      <c r="P5" s="68"/>
      <c r="Q5" s="68"/>
    </row>
    <row r="6" spans="2:29" ht="15.95" customHeight="1" x14ac:dyDescent="0.25">
      <c r="B6" s="1029" t="s">
        <v>417</v>
      </c>
      <c r="C6" s="838"/>
      <c r="D6" s="289"/>
      <c r="E6" s="1024"/>
      <c r="F6" s="1024"/>
      <c r="G6" s="1024"/>
      <c r="H6" s="1024"/>
      <c r="I6" s="1024"/>
      <c r="J6" s="274"/>
      <c r="K6" s="274" t="s">
        <v>140</v>
      </c>
      <c r="L6" s="68"/>
      <c r="M6" s="1032" t="str">
        <f>CONCATENATE('Data Entry'!B5," - ",'Data Entry'!B7," - ",'Data Entry'!B9)</f>
        <v xml:space="preserve"> -  - </v>
      </c>
      <c r="N6" s="779"/>
      <c r="O6" s="779"/>
      <c r="P6" s="779"/>
      <c r="Q6" s="779"/>
      <c r="T6" s="98"/>
    </row>
    <row r="7" spans="2:29" ht="2.1" customHeight="1" x14ac:dyDescent="0.25">
      <c r="B7" s="824"/>
      <c r="C7" s="525"/>
      <c r="D7" s="289"/>
      <c r="E7" s="1024"/>
      <c r="F7" s="1024"/>
      <c r="G7" s="1024"/>
      <c r="H7" s="1024"/>
      <c r="I7" s="1024"/>
      <c r="J7" s="274"/>
      <c r="K7" s="288"/>
      <c r="L7" s="68"/>
      <c r="M7" s="288"/>
      <c r="N7" s="97"/>
      <c r="O7" s="97"/>
      <c r="P7" s="97"/>
      <c r="Q7" s="97"/>
    </row>
    <row r="8" spans="2:29" ht="15.95" customHeight="1" thickBot="1" x14ac:dyDescent="0.3">
      <c r="B8" s="1030"/>
      <c r="C8" s="1031"/>
      <c r="E8" s="1024"/>
      <c r="F8" s="1024"/>
      <c r="G8" s="1024"/>
      <c r="H8" s="1024"/>
      <c r="I8" s="1024"/>
      <c r="J8" s="282"/>
      <c r="K8" s="282" t="s">
        <v>124</v>
      </c>
      <c r="M8" s="1032">
        <f>'Data Entry'!C1</f>
        <v>0</v>
      </c>
      <c r="N8" s="1033"/>
      <c r="O8" s="1033"/>
      <c r="P8" s="1033"/>
      <c r="Q8" s="1033"/>
    </row>
    <row r="9" spans="2:29" ht="15" customHeight="1" x14ac:dyDescent="0.25">
      <c r="E9" s="1025"/>
      <c r="F9" s="1025"/>
      <c r="G9" s="1025"/>
      <c r="H9" s="1025"/>
      <c r="I9" s="1025"/>
      <c r="J9" s="290"/>
      <c r="K9" s="282" t="s">
        <v>128</v>
      </c>
      <c r="M9" s="1014" t="str">
        <f>'Data Entry'!F3</f>
        <v>SCOTT</v>
      </c>
      <c r="N9" s="1015"/>
      <c r="O9" s="1015"/>
      <c r="P9" s="1015"/>
      <c r="Q9" s="1015"/>
    </row>
    <row r="10" spans="2:29" ht="30" customHeight="1" thickBot="1" x14ac:dyDescent="0.3">
      <c r="B10" s="1016" t="s">
        <v>399</v>
      </c>
      <c r="C10" s="1017"/>
      <c r="D10" s="268"/>
      <c r="E10" s="291" t="s">
        <v>394</v>
      </c>
      <c r="F10" s="268"/>
      <c r="G10" s="291" t="s">
        <v>42</v>
      </c>
      <c r="H10" s="292"/>
      <c r="I10" s="291" t="s">
        <v>390</v>
      </c>
      <c r="J10" s="292"/>
      <c r="K10" s="293" t="s">
        <v>391</v>
      </c>
      <c r="L10" s="268"/>
      <c r="M10" s="293" t="s">
        <v>393</v>
      </c>
      <c r="N10" s="291"/>
      <c r="O10" s="293" t="s">
        <v>392</v>
      </c>
      <c r="P10" s="280"/>
      <c r="Q10" s="293" t="s">
        <v>398</v>
      </c>
      <c r="S10" s="280"/>
    </row>
    <row r="11" spans="2:29" ht="15" customHeight="1" x14ac:dyDescent="0.25">
      <c r="B11" s="1001"/>
      <c r="C11" s="1002"/>
      <c r="D11" s="99"/>
      <c r="E11" s="1007"/>
      <c r="F11" s="68"/>
      <c r="G11" s="346"/>
      <c r="H11" s="68"/>
      <c r="I11" s="346"/>
      <c r="J11" s="68"/>
      <c r="K11" s="998"/>
      <c r="L11" s="68"/>
      <c r="M11" s="1011" t="str">
        <f>IF(G11=""," ",G11-'Data Conversions'!M21)</f>
        <v xml:space="preserve"> </v>
      </c>
      <c r="N11" s="68"/>
      <c r="O11" s="1011" t="str">
        <f>IF(I11=""," ",I11-'Data Conversions'!M21)</f>
        <v xml:space="preserve"> </v>
      </c>
      <c r="P11" s="68"/>
      <c r="Q11" s="998"/>
      <c r="S11" s="98"/>
      <c r="T11" s="98"/>
      <c r="U11" s="68"/>
      <c r="V11" s="68"/>
      <c r="W11" s="68"/>
      <c r="X11" s="106"/>
      <c r="Z11" s="106"/>
      <c r="AC11" s="106"/>
    </row>
    <row r="12" spans="2:29" ht="15" customHeight="1" x14ac:dyDescent="0.25">
      <c r="B12" s="1003"/>
      <c r="C12" s="1004"/>
      <c r="D12" s="99"/>
      <c r="E12" s="1008"/>
      <c r="F12" s="68"/>
      <c r="G12" s="340"/>
      <c r="H12" s="68"/>
      <c r="I12" s="340"/>
      <c r="J12" s="68"/>
      <c r="K12" s="999"/>
      <c r="L12" s="68"/>
      <c r="M12" s="1012"/>
      <c r="N12" s="68"/>
      <c r="O12" s="1012"/>
      <c r="P12" s="68"/>
      <c r="Q12" s="999"/>
      <c r="S12" s="273"/>
      <c r="T12" s="98"/>
      <c r="U12" s="68"/>
      <c r="V12" s="68"/>
      <c r="W12" s="68"/>
      <c r="X12" s="106"/>
      <c r="Z12" s="106"/>
      <c r="AC12" s="106"/>
    </row>
    <row r="13" spans="2:29" ht="15" customHeight="1" x14ac:dyDescent="0.25">
      <c r="B13" s="1003"/>
      <c r="C13" s="1004"/>
      <c r="D13" s="99"/>
      <c r="E13" s="1008"/>
      <c r="F13" s="68"/>
      <c r="G13" s="341" t="s">
        <v>574</v>
      </c>
      <c r="H13" s="68"/>
      <c r="I13" s="341" t="s">
        <v>574</v>
      </c>
      <c r="J13" s="68"/>
      <c r="K13" s="999"/>
      <c r="L13" s="68"/>
      <c r="M13" s="1012"/>
      <c r="N13" s="68"/>
      <c r="O13" s="1012"/>
      <c r="P13" s="68"/>
      <c r="Q13" s="999"/>
      <c r="S13" s="98"/>
      <c r="T13" s="68"/>
      <c r="U13" s="68"/>
      <c r="V13" s="68"/>
      <c r="W13" s="68"/>
    </row>
    <row r="14" spans="2:29" ht="15" customHeight="1" thickBot="1" x14ac:dyDescent="0.3">
      <c r="B14" s="1005"/>
      <c r="C14" s="1006"/>
      <c r="D14" s="99"/>
      <c r="E14" s="1009"/>
      <c r="F14" s="68"/>
      <c r="G14" s="342" t="str">
        <f>IF(G11=""," ",G11+'Data Conversions'!AE1)</f>
        <v xml:space="preserve"> </v>
      </c>
      <c r="H14" s="68"/>
      <c r="I14" s="342" t="str">
        <f>IF(I11=""," ",I11+'Data Conversions'!AE1)</f>
        <v xml:space="preserve"> </v>
      </c>
      <c r="J14" s="68"/>
      <c r="K14" s="1010"/>
      <c r="L14" s="68"/>
      <c r="M14" s="1013"/>
      <c r="N14" s="68"/>
      <c r="O14" s="1013"/>
      <c r="P14" s="68"/>
      <c r="Q14" s="1000"/>
      <c r="S14" s="273"/>
      <c r="T14" s="68"/>
      <c r="U14" s="68"/>
      <c r="V14" s="68"/>
      <c r="W14" s="68"/>
    </row>
    <row r="15" spans="2:29" ht="15" customHeight="1" x14ac:dyDescent="0.25">
      <c r="B15" s="1001"/>
      <c r="C15" s="1002"/>
      <c r="D15" s="99"/>
      <c r="E15" s="1007"/>
      <c r="F15" s="68"/>
      <c r="G15" s="346"/>
      <c r="H15" s="68"/>
      <c r="I15" s="346"/>
      <c r="J15" s="68"/>
      <c r="K15" s="998"/>
      <c r="L15" s="68"/>
      <c r="M15" s="1011" t="str">
        <f>IF(G15=""," ",G15-'Data Conversions'!M21)</f>
        <v xml:space="preserve"> </v>
      </c>
      <c r="N15" s="68"/>
      <c r="O15" s="1011" t="str">
        <f>IF(I15=""," ",I15-'Data Conversions'!M21)</f>
        <v xml:space="preserve"> </v>
      </c>
      <c r="P15" s="68"/>
      <c r="Q15" s="998"/>
      <c r="S15" s="98"/>
    </row>
    <row r="16" spans="2:29" ht="15" customHeight="1" x14ac:dyDescent="0.25">
      <c r="B16" s="1003"/>
      <c r="C16" s="1004"/>
      <c r="D16" s="99"/>
      <c r="E16" s="1008"/>
      <c r="F16" s="68"/>
      <c r="G16" s="340"/>
      <c r="H16" s="68"/>
      <c r="I16" s="340"/>
      <c r="J16" s="68"/>
      <c r="K16" s="999"/>
      <c r="L16" s="68"/>
      <c r="M16" s="1012"/>
      <c r="N16" s="68"/>
      <c r="O16" s="1012"/>
      <c r="P16" s="68"/>
      <c r="Q16" s="999"/>
      <c r="S16" s="273"/>
    </row>
    <row r="17" spans="2:23" ht="15" customHeight="1" x14ac:dyDescent="0.25">
      <c r="B17" s="1003"/>
      <c r="C17" s="1004"/>
      <c r="D17" s="99"/>
      <c r="E17" s="1008"/>
      <c r="F17" s="68"/>
      <c r="G17" s="341" t="s">
        <v>574</v>
      </c>
      <c r="H17" s="68"/>
      <c r="I17" s="341" t="s">
        <v>574</v>
      </c>
      <c r="J17" s="68"/>
      <c r="K17" s="999"/>
      <c r="L17" s="68"/>
      <c r="M17" s="1012"/>
      <c r="N17" s="68"/>
      <c r="O17" s="1012"/>
      <c r="P17" s="68"/>
      <c r="Q17" s="999"/>
      <c r="S17" s="98"/>
      <c r="T17" s="69"/>
      <c r="U17" s="69"/>
      <c r="V17" s="69"/>
      <c r="W17" s="69"/>
    </row>
    <row r="18" spans="2:23" ht="15" customHeight="1" thickBot="1" x14ac:dyDescent="0.3">
      <c r="B18" s="1005"/>
      <c r="C18" s="1006"/>
      <c r="D18" s="99"/>
      <c r="E18" s="1009"/>
      <c r="F18" s="68"/>
      <c r="G18" s="342" t="str">
        <f>IF(G15=""," ",G15+'Data Conversions'!AE2)</f>
        <v xml:space="preserve"> </v>
      </c>
      <c r="H18" s="68"/>
      <c r="I18" s="342" t="str">
        <f>IF(I15=""," ",I15+'Data Conversions'!AE2)</f>
        <v xml:space="preserve"> </v>
      </c>
      <c r="J18" s="68"/>
      <c r="K18" s="1010"/>
      <c r="L18" s="68"/>
      <c r="M18" s="1013"/>
      <c r="N18" s="68"/>
      <c r="O18" s="1013"/>
      <c r="P18" s="68"/>
      <c r="Q18" s="1000"/>
      <c r="S18" s="273"/>
      <c r="T18" s="69"/>
      <c r="U18" s="69"/>
      <c r="V18" s="69"/>
      <c r="W18" s="69"/>
    </row>
    <row r="19" spans="2:23" ht="15" customHeight="1" x14ac:dyDescent="0.25">
      <c r="B19" s="1001"/>
      <c r="C19" s="1002"/>
      <c r="D19" s="99"/>
      <c r="E19" s="1007"/>
      <c r="F19" s="68"/>
      <c r="G19" s="346"/>
      <c r="H19" s="68"/>
      <c r="I19" s="346"/>
      <c r="J19" s="68"/>
      <c r="K19" s="998"/>
      <c r="L19" s="68"/>
      <c r="M19" s="1011" t="str">
        <f>IF(G19=""," ",G19-'Data Conversions'!M21)</f>
        <v xml:space="preserve"> </v>
      </c>
      <c r="N19" s="68"/>
      <c r="O19" s="1011" t="str">
        <f>IF(I19=""," ",I19-'Data Conversions'!M21)</f>
        <v xml:space="preserve"> </v>
      </c>
      <c r="P19" s="68"/>
      <c r="Q19" s="998"/>
      <c r="S19" s="98"/>
      <c r="T19" s="97"/>
      <c r="U19" s="97"/>
      <c r="V19" s="97"/>
      <c r="W19" s="97"/>
    </row>
    <row r="20" spans="2:23" ht="15" customHeight="1" x14ac:dyDescent="0.25">
      <c r="B20" s="1003"/>
      <c r="C20" s="1004"/>
      <c r="D20" s="99"/>
      <c r="E20" s="1008"/>
      <c r="F20" s="68"/>
      <c r="G20" s="340"/>
      <c r="H20" s="68"/>
      <c r="I20" s="340"/>
      <c r="J20" s="68"/>
      <c r="K20" s="999"/>
      <c r="L20" s="68"/>
      <c r="M20" s="1012"/>
      <c r="N20" s="68"/>
      <c r="O20" s="1012"/>
      <c r="P20" s="68"/>
      <c r="Q20" s="999"/>
      <c r="S20" s="273"/>
      <c r="T20" s="97"/>
      <c r="U20" s="97"/>
      <c r="V20" s="97"/>
      <c r="W20" s="97"/>
    </row>
    <row r="21" spans="2:23" ht="15" customHeight="1" x14ac:dyDescent="0.25">
      <c r="B21" s="1003"/>
      <c r="C21" s="1004"/>
      <c r="D21" s="99"/>
      <c r="E21" s="1008"/>
      <c r="F21" s="68"/>
      <c r="G21" s="341" t="s">
        <v>574</v>
      </c>
      <c r="H21" s="68"/>
      <c r="I21" s="341" t="s">
        <v>574</v>
      </c>
      <c r="J21" s="68"/>
      <c r="K21" s="999"/>
      <c r="L21" s="68"/>
      <c r="M21" s="1012"/>
      <c r="N21" s="68"/>
      <c r="O21" s="1012"/>
      <c r="P21" s="68"/>
      <c r="Q21" s="999"/>
      <c r="S21" s="98"/>
    </row>
    <row r="22" spans="2:23" ht="15" customHeight="1" thickBot="1" x14ac:dyDescent="0.3">
      <c r="B22" s="1005"/>
      <c r="C22" s="1006"/>
      <c r="D22" s="99"/>
      <c r="E22" s="1009"/>
      <c r="F22" s="68"/>
      <c r="G22" s="342" t="str">
        <f>IF(G19=""," ",G19+'Data Conversions'!AE3)</f>
        <v xml:space="preserve"> </v>
      </c>
      <c r="H22" s="68"/>
      <c r="I22" s="342" t="str">
        <f>IF(I19=""," ",I19+'Data Conversions'!AE3)</f>
        <v xml:space="preserve"> </v>
      </c>
      <c r="J22" s="68"/>
      <c r="K22" s="1010"/>
      <c r="L22" s="68"/>
      <c r="M22" s="1013"/>
      <c r="N22" s="68"/>
      <c r="O22" s="1013"/>
      <c r="P22" s="68"/>
      <c r="Q22" s="1000"/>
      <c r="S22" s="273"/>
    </row>
    <row r="23" spans="2:23" ht="15" customHeight="1" x14ac:dyDescent="0.25">
      <c r="B23" s="1001"/>
      <c r="C23" s="1002"/>
      <c r="D23" s="99"/>
      <c r="E23" s="1007"/>
      <c r="F23" s="68"/>
      <c r="G23" s="346"/>
      <c r="H23" s="68"/>
      <c r="I23" s="346"/>
      <c r="J23" s="68"/>
      <c r="K23" s="998"/>
      <c r="L23" s="68"/>
      <c r="M23" s="1011" t="str">
        <f>IF(G23=""," ",G23-'Data Conversions'!M21)</f>
        <v xml:space="preserve"> </v>
      </c>
      <c r="N23" s="68"/>
      <c r="O23" s="1011" t="str">
        <f>IF(I23=""," ",I23-'Data Conversions'!M21)</f>
        <v xml:space="preserve"> </v>
      </c>
      <c r="P23" s="68"/>
      <c r="Q23" s="998"/>
      <c r="S23" s="98"/>
    </row>
    <row r="24" spans="2:23" ht="15" customHeight="1" x14ac:dyDescent="0.25">
      <c r="B24" s="1003"/>
      <c r="C24" s="1004"/>
      <c r="D24" s="99"/>
      <c r="E24" s="1008"/>
      <c r="F24" s="68"/>
      <c r="G24" s="340"/>
      <c r="H24" s="68"/>
      <c r="I24" s="340"/>
      <c r="J24" s="68"/>
      <c r="K24" s="999"/>
      <c r="L24" s="68"/>
      <c r="M24" s="1012"/>
      <c r="N24" s="68"/>
      <c r="O24" s="1012"/>
      <c r="P24" s="68"/>
      <c r="Q24" s="999"/>
      <c r="S24" s="273"/>
    </row>
    <row r="25" spans="2:23" ht="15" customHeight="1" x14ac:dyDescent="0.25">
      <c r="B25" s="1003"/>
      <c r="C25" s="1004"/>
      <c r="D25" s="99"/>
      <c r="E25" s="1008"/>
      <c r="F25" s="68"/>
      <c r="G25" s="341" t="s">
        <v>574</v>
      </c>
      <c r="H25" s="68"/>
      <c r="I25" s="341" t="s">
        <v>574</v>
      </c>
      <c r="J25" s="68"/>
      <c r="K25" s="999"/>
      <c r="L25" s="68"/>
      <c r="M25" s="1012"/>
      <c r="N25" s="68"/>
      <c r="O25" s="1012"/>
      <c r="P25" s="68"/>
      <c r="Q25" s="999"/>
      <c r="S25" s="98"/>
    </row>
    <row r="26" spans="2:23" ht="15" customHeight="1" thickBot="1" x14ac:dyDescent="0.3">
      <c r="B26" s="1005"/>
      <c r="C26" s="1006"/>
      <c r="D26" s="99"/>
      <c r="E26" s="1009"/>
      <c r="F26" s="68"/>
      <c r="G26" s="342" t="str">
        <f>IF(G23=""," ",G23+'Data Conversions'!AE4)</f>
        <v xml:space="preserve"> </v>
      </c>
      <c r="H26" s="68"/>
      <c r="I26" s="342" t="str">
        <f>IF(I23=""," ",I23+'Data Conversions'!AE4)</f>
        <v xml:space="preserve"> </v>
      </c>
      <c r="J26" s="68"/>
      <c r="K26" s="1010"/>
      <c r="L26" s="68"/>
      <c r="M26" s="1013"/>
      <c r="N26" s="68"/>
      <c r="O26" s="1013"/>
      <c r="P26" s="68"/>
      <c r="Q26" s="1000"/>
      <c r="S26" s="273"/>
    </row>
    <row r="27" spans="2:23" ht="15" customHeight="1" x14ac:dyDescent="0.25">
      <c r="B27" s="1001"/>
      <c r="C27" s="1002"/>
      <c r="D27" s="99"/>
      <c r="E27" s="1007"/>
      <c r="F27" s="68"/>
      <c r="G27" s="346"/>
      <c r="H27" s="68"/>
      <c r="I27" s="346"/>
      <c r="J27" s="68"/>
      <c r="K27" s="998"/>
      <c r="L27" s="68"/>
      <c r="M27" s="1011" t="str">
        <f>IF(G27=""," ",G27-'Data Conversions'!M21)</f>
        <v xml:space="preserve"> </v>
      </c>
      <c r="N27" s="68"/>
      <c r="O27" s="1011" t="str">
        <f>IF(I27=""," ",I27-'Data Conversions'!M21)</f>
        <v xml:space="preserve"> </v>
      </c>
      <c r="P27" s="68"/>
      <c r="Q27" s="998"/>
      <c r="S27" s="98"/>
    </row>
    <row r="28" spans="2:23" ht="15" customHeight="1" x14ac:dyDescent="0.25">
      <c r="B28" s="1003"/>
      <c r="C28" s="1004"/>
      <c r="D28" s="99"/>
      <c r="E28" s="1008"/>
      <c r="F28" s="68"/>
      <c r="G28" s="340"/>
      <c r="H28" s="68"/>
      <c r="I28" s="340"/>
      <c r="J28" s="68"/>
      <c r="K28" s="999"/>
      <c r="L28" s="68"/>
      <c r="M28" s="1012"/>
      <c r="N28" s="68"/>
      <c r="O28" s="1012"/>
      <c r="P28" s="68"/>
      <c r="Q28" s="999"/>
      <c r="S28" s="273"/>
    </row>
    <row r="29" spans="2:23" ht="15" customHeight="1" x14ac:dyDescent="0.25">
      <c r="B29" s="1003"/>
      <c r="C29" s="1004"/>
      <c r="D29" s="99"/>
      <c r="E29" s="1008"/>
      <c r="F29" s="68"/>
      <c r="G29" s="341" t="s">
        <v>574</v>
      </c>
      <c r="H29" s="68"/>
      <c r="I29" s="341" t="s">
        <v>574</v>
      </c>
      <c r="J29" s="68"/>
      <c r="K29" s="999"/>
      <c r="L29" s="68"/>
      <c r="M29" s="1012"/>
      <c r="N29" s="68"/>
      <c r="O29" s="1012"/>
      <c r="P29" s="68"/>
      <c r="Q29" s="999"/>
      <c r="S29" s="98"/>
    </row>
    <row r="30" spans="2:23" ht="15" customHeight="1" thickBot="1" x14ac:dyDescent="0.3">
      <c r="B30" s="1005"/>
      <c r="C30" s="1006"/>
      <c r="D30" s="99"/>
      <c r="E30" s="1009"/>
      <c r="F30" s="68"/>
      <c r="G30" s="342" t="str">
        <f>IF(G27=""," ",G27+'Data Conversions'!AE5)</f>
        <v xml:space="preserve"> </v>
      </c>
      <c r="H30" s="68"/>
      <c r="I30" s="342" t="str">
        <f>IF(I27=""," ",I27+'Data Conversions'!AE5)</f>
        <v xml:space="preserve"> </v>
      </c>
      <c r="J30" s="68"/>
      <c r="K30" s="1010"/>
      <c r="L30" s="68"/>
      <c r="M30" s="1013"/>
      <c r="N30" s="68"/>
      <c r="O30" s="1013"/>
      <c r="P30" s="68"/>
      <c r="Q30" s="1000"/>
      <c r="S30" s="273"/>
    </row>
    <row r="31" spans="2:23" ht="15" customHeight="1" x14ac:dyDescent="0.25">
      <c r="B31" s="1001"/>
      <c r="C31" s="1002"/>
      <c r="D31" s="99"/>
      <c r="E31" s="1007"/>
      <c r="F31" s="68"/>
      <c r="G31" s="346"/>
      <c r="H31" s="68"/>
      <c r="I31" s="346"/>
      <c r="J31" s="68"/>
      <c r="K31" s="998"/>
      <c r="L31" s="68"/>
      <c r="M31" s="1011" t="str">
        <f>IF(G31=""," ",G31-'Data Conversions'!M21)</f>
        <v xml:space="preserve"> </v>
      </c>
      <c r="N31" s="68"/>
      <c r="O31" s="1011" t="str">
        <f>IF(I31=""," ",I31-'Data Conversions'!M21)</f>
        <v xml:space="preserve"> </v>
      </c>
      <c r="P31" s="68"/>
      <c r="Q31" s="998"/>
      <c r="S31" s="98"/>
    </row>
    <row r="32" spans="2:23" ht="15" customHeight="1" x14ac:dyDescent="0.25">
      <c r="B32" s="1003"/>
      <c r="C32" s="1004"/>
      <c r="D32" s="99"/>
      <c r="E32" s="1008"/>
      <c r="F32" s="68"/>
      <c r="G32" s="340"/>
      <c r="H32" s="68"/>
      <c r="I32" s="340"/>
      <c r="J32" s="68"/>
      <c r="K32" s="999"/>
      <c r="L32" s="68"/>
      <c r="M32" s="1012"/>
      <c r="N32" s="68"/>
      <c r="O32" s="1012"/>
      <c r="P32" s="68"/>
      <c r="Q32" s="999"/>
      <c r="S32" s="273"/>
    </row>
    <row r="33" spans="2:19" ht="15" customHeight="1" x14ac:dyDescent="0.25">
      <c r="B33" s="1003"/>
      <c r="C33" s="1004"/>
      <c r="D33" s="99"/>
      <c r="E33" s="1008"/>
      <c r="F33" s="68"/>
      <c r="G33" s="341" t="s">
        <v>574</v>
      </c>
      <c r="H33" s="68"/>
      <c r="I33" s="341" t="s">
        <v>574</v>
      </c>
      <c r="J33" s="68"/>
      <c r="K33" s="999"/>
      <c r="L33" s="68"/>
      <c r="M33" s="1012"/>
      <c r="N33" s="68"/>
      <c r="O33" s="1012"/>
      <c r="P33" s="68"/>
      <c r="Q33" s="999"/>
      <c r="S33" s="98"/>
    </row>
    <row r="34" spans="2:19" ht="15" customHeight="1" thickBot="1" x14ac:dyDescent="0.3">
      <c r="B34" s="1005"/>
      <c r="C34" s="1006"/>
      <c r="D34" s="99"/>
      <c r="E34" s="1009"/>
      <c r="F34" s="68"/>
      <c r="G34" s="342" t="str">
        <f>IF(G31=""," ",G31+'Data Conversions'!AE6)</f>
        <v xml:space="preserve"> </v>
      </c>
      <c r="H34" s="68"/>
      <c r="I34" s="342" t="str">
        <f>IF(I31=""," ",I31+'Data Conversions'!AE6)</f>
        <v xml:space="preserve"> </v>
      </c>
      <c r="J34" s="68"/>
      <c r="K34" s="1010"/>
      <c r="L34" s="68"/>
      <c r="M34" s="1013"/>
      <c r="N34" s="68"/>
      <c r="O34" s="1013"/>
      <c r="P34" s="68"/>
      <c r="Q34" s="1000"/>
      <c r="S34" s="273"/>
    </row>
    <row r="35" spans="2:19" ht="15" customHeight="1" x14ac:dyDescent="0.25">
      <c r="B35" s="1001"/>
      <c r="C35" s="1002"/>
      <c r="D35" s="99"/>
      <c r="E35" s="1007"/>
      <c r="F35" s="68"/>
      <c r="G35" s="346"/>
      <c r="H35" s="68"/>
      <c r="I35" s="346"/>
      <c r="J35" s="68"/>
      <c r="K35" s="998"/>
      <c r="L35" s="68"/>
      <c r="M35" s="1011" t="str">
        <f>IF(G35=""," ",G35-'Data Conversions'!M21)</f>
        <v xml:space="preserve"> </v>
      </c>
      <c r="N35" s="68"/>
      <c r="O35" s="1011" t="str">
        <f>IF(I35=""," ",I35-'Data Conversions'!M21)</f>
        <v xml:space="preserve"> </v>
      </c>
      <c r="P35" s="68"/>
      <c r="Q35" s="998"/>
      <c r="S35" s="98"/>
    </row>
    <row r="36" spans="2:19" ht="15" customHeight="1" x14ac:dyDescent="0.25">
      <c r="B36" s="1003"/>
      <c r="C36" s="1004"/>
      <c r="D36" s="99"/>
      <c r="E36" s="1008"/>
      <c r="F36" s="68"/>
      <c r="G36" s="340"/>
      <c r="H36" s="68"/>
      <c r="I36" s="340"/>
      <c r="J36" s="68"/>
      <c r="K36" s="999"/>
      <c r="L36" s="68"/>
      <c r="M36" s="1012"/>
      <c r="N36" s="68"/>
      <c r="O36" s="1012"/>
      <c r="P36" s="68"/>
      <c r="Q36" s="999"/>
      <c r="S36" s="273"/>
    </row>
    <row r="37" spans="2:19" ht="15" customHeight="1" x14ac:dyDescent="0.25">
      <c r="B37" s="1003"/>
      <c r="C37" s="1004"/>
      <c r="D37" s="99"/>
      <c r="E37" s="1008"/>
      <c r="F37" s="68"/>
      <c r="G37" s="341" t="s">
        <v>574</v>
      </c>
      <c r="H37" s="68"/>
      <c r="I37" s="341" t="s">
        <v>574</v>
      </c>
      <c r="J37" s="68"/>
      <c r="K37" s="999"/>
      <c r="L37" s="68"/>
      <c r="M37" s="1012"/>
      <c r="N37" s="68"/>
      <c r="O37" s="1012"/>
      <c r="P37" s="68"/>
      <c r="Q37" s="999"/>
      <c r="S37" s="98"/>
    </row>
    <row r="38" spans="2:19" ht="15" customHeight="1" thickBot="1" x14ac:dyDescent="0.3">
      <c r="B38" s="1005"/>
      <c r="C38" s="1006"/>
      <c r="D38" s="99"/>
      <c r="E38" s="1009"/>
      <c r="F38" s="68"/>
      <c r="G38" s="342" t="str">
        <f>IF(G35=""," ",G35+'Data Conversions'!AE7)</f>
        <v xml:space="preserve"> </v>
      </c>
      <c r="H38" s="68"/>
      <c r="I38" s="342" t="str">
        <f>IF(I35=""," ",I35+'Data Conversions'!AE7)</f>
        <v xml:space="preserve"> </v>
      </c>
      <c r="J38" s="68"/>
      <c r="K38" s="1010"/>
      <c r="L38" s="68"/>
      <c r="M38" s="1013"/>
      <c r="N38" s="68"/>
      <c r="O38" s="1013"/>
      <c r="P38" s="68"/>
      <c r="Q38" s="1000"/>
      <c r="S38" s="273"/>
    </row>
    <row r="39" spans="2:19" ht="15" customHeight="1" x14ac:dyDescent="0.25">
      <c r="B39" s="1001"/>
      <c r="C39" s="1002"/>
      <c r="D39" s="99"/>
      <c r="E39" s="1007"/>
      <c r="F39" s="68"/>
      <c r="G39" s="346"/>
      <c r="H39" s="68"/>
      <c r="I39" s="346"/>
      <c r="J39" s="68"/>
      <c r="K39" s="998"/>
      <c r="L39" s="68"/>
      <c r="M39" s="1011" t="str">
        <f>IF(G39=""," ",G39-'Data Conversions'!M21)</f>
        <v xml:space="preserve"> </v>
      </c>
      <c r="N39" s="68"/>
      <c r="O39" s="1011" t="str">
        <f>IF(I39=""," ",I39-'Data Conversions'!M21)</f>
        <v xml:space="preserve"> </v>
      </c>
      <c r="P39" s="68"/>
      <c r="Q39" s="998"/>
      <c r="S39" s="98"/>
    </row>
    <row r="40" spans="2:19" ht="15" customHeight="1" x14ac:dyDescent="0.25">
      <c r="B40" s="1003"/>
      <c r="C40" s="1004"/>
      <c r="D40" s="99"/>
      <c r="E40" s="1008"/>
      <c r="F40" s="68"/>
      <c r="G40" s="340"/>
      <c r="H40" s="68"/>
      <c r="I40" s="340"/>
      <c r="J40" s="68"/>
      <c r="K40" s="999"/>
      <c r="L40" s="68"/>
      <c r="M40" s="1012"/>
      <c r="N40" s="68"/>
      <c r="O40" s="1012"/>
      <c r="P40" s="68"/>
      <c r="Q40" s="999"/>
      <c r="S40" s="273"/>
    </row>
    <row r="41" spans="2:19" ht="15" customHeight="1" x14ac:dyDescent="0.25">
      <c r="B41" s="1003"/>
      <c r="C41" s="1004"/>
      <c r="D41" s="99"/>
      <c r="E41" s="1008"/>
      <c r="F41" s="68"/>
      <c r="G41" s="341" t="s">
        <v>574</v>
      </c>
      <c r="H41" s="68"/>
      <c r="I41" s="341" t="s">
        <v>574</v>
      </c>
      <c r="J41" s="68"/>
      <c r="K41" s="999"/>
      <c r="L41" s="68"/>
      <c r="M41" s="1012"/>
      <c r="N41" s="68"/>
      <c r="O41" s="1012"/>
      <c r="P41" s="68"/>
      <c r="Q41" s="999"/>
      <c r="S41" s="98"/>
    </row>
    <row r="42" spans="2:19" ht="15" customHeight="1" thickBot="1" x14ac:dyDescent="0.3">
      <c r="B42" s="1005"/>
      <c r="C42" s="1006"/>
      <c r="D42" s="99"/>
      <c r="E42" s="1009"/>
      <c r="F42" s="68"/>
      <c r="G42" s="342" t="str">
        <f>IF(G39=""," ",G39+'Data Conversions'!AE8)</f>
        <v xml:space="preserve"> </v>
      </c>
      <c r="H42" s="68"/>
      <c r="I42" s="342" t="str">
        <f>IF(I39=""," ",I39+'Data Conversions'!AE8)</f>
        <v xml:space="preserve"> </v>
      </c>
      <c r="J42" s="68"/>
      <c r="K42" s="1010"/>
      <c r="L42" s="68"/>
      <c r="M42" s="1013"/>
      <c r="N42" s="68"/>
      <c r="O42" s="1013"/>
      <c r="P42" s="68"/>
      <c r="Q42" s="1000"/>
      <c r="S42" s="273"/>
    </row>
    <row r="43" spans="2:19" ht="15" customHeight="1" x14ac:dyDescent="0.25">
      <c r="B43" s="1001"/>
      <c r="C43" s="1002"/>
      <c r="D43" s="99"/>
      <c r="E43" s="1007"/>
      <c r="F43" s="68"/>
      <c r="G43" s="346"/>
      <c r="H43" s="68"/>
      <c r="I43" s="346"/>
      <c r="J43" s="68"/>
      <c r="K43" s="998"/>
      <c r="L43" s="68"/>
      <c r="M43" s="1011" t="str">
        <f>IF(G43=""," ",G43-'Data Conversions'!M21)</f>
        <v xml:space="preserve"> </v>
      </c>
      <c r="N43" s="68"/>
      <c r="O43" s="1011" t="str">
        <f>IF(I43=""," ",I43-'Data Conversions'!M21)</f>
        <v xml:space="preserve"> </v>
      </c>
      <c r="P43" s="68"/>
      <c r="Q43" s="998"/>
      <c r="S43" s="98"/>
    </row>
    <row r="44" spans="2:19" ht="15" customHeight="1" x14ac:dyDescent="0.25">
      <c r="B44" s="1003"/>
      <c r="C44" s="1004"/>
      <c r="D44" s="99"/>
      <c r="E44" s="1008"/>
      <c r="F44" s="68"/>
      <c r="G44" s="340"/>
      <c r="H44" s="68"/>
      <c r="I44" s="340"/>
      <c r="J44" s="68"/>
      <c r="K44" s="999"/>
      <c r="L44" s="68"/>
      <c r="M44" s="1012"/>
      <c r="N44" s="68"/>
      <c r="O44" s="1012"/>
      <c r="P44" s="68"/>
      <c r="Q44" s="999"/>
      <c r="S44" s="273"/>
    </row>
    <row r="45" spans="2:19" ht="15" customHeight="1" x14ac:dyDescent="0.25">
      <c r="B45" s="1003"/>
      <c r="C45" s="1004"/>
      <c r="D45" s="99"/>
      <c r="E45" s="1008"/>
      <c r="F45" s="68"/>
      <c r="G45" s="341" t="s">
        <v>574</v>
      </c>
      <c r="H45" s="68"/>
      <c r="I45" s="341" t="s">
        <v>574</v>
      </c>
      <c r="J45" s="68"/>
      <c r="K45" s="999"/>
      <c r="L45" s="68"/>
      <c r="M45" s="1012"/>
      <c r="N45" s="68"/>
      <c r="O45" s="1012"/>
      <c r="P45" s="68"/>
      <c r="Q45" s="999"/>
      <c r="S45" s="98"/>
    </row>
    <row r="46" spans="2:19" ht="15" customHeight="1" thickBot="1" x14ac:dyDescent="0.3">
      <c r="B46" s="1005"/>
      <c r="C46" s="1006"/>
      <c r="D46" s="99"/>
      <c r="E46" s="1009"/>
      <c r="F46" s="68"/>
      <c r="G46" s="342" t="str">
        <f>IF(G43=""," ",G43+'Data Conversions'!AE9)</f>
        <v xml:space="preserve"> </v>
      </c>
      <c r="H46" s="68"/>
      <c r="I46" s="342" t="str">
        <f>IF(I43=""," ",I43+'Data Conversions'!AE9)</f>
        <v xml:space="preserve"> </v>
      </c>
      <c r="J46" s="68"/>
      <c r="K46" s="1010"/>
      <c r="L46" s="68"/>
      <c r="M46" s="1013"/>
      <c r="N46" s="68"/>
      <c r="O46" s="1013"/>
      <c r="P46" s="68"/>
      <c r="Q46" s="1000"/>
      <c r="S46" s="273"/>
    </row>
    <row r="47" spans="2:19" ht="15" customHeight="1" x14ac:dyDescent="0.25">
      <c r="B47" s="1001"/>
      <c r="C47" s="1002"/>
      <c r="D47" s="99"/>
      <c r="E47" s="1007"/>
      <c r="F47" s="68"/>
      <c r="G47" s="346"/>
      <c r="H47" s="68"/>
      <c r="I47" s="346"/>
      <c r="J47" s="68"/>
      <c r="K47" s="998"/>
      <c r="L47" s="68"/>
      <c r="M47" s="1011" t="str">
        <f>IF(G47=""," ",G47-'Data Conversions'!M21)</f>
        <v xml:space="preserve"> </v>
      </c>
      <c r="N47" s="68"/>
      <c r="O47" s="1011" t="str">
        <f>IF(I47=""," ",I47-'Data Conversions'!M21)</f>
        <v xml:space="preserve"> </v>
      </c>
      <c r="P47" s="68"/>
      <c r="Q47" s="998"/>
      <c r="S47" s="98"/>
    </row>
    <row r="48" spans="2:19" ht="15" customHeight="1" x14ac:dyDescent="0.25">
      <c r="B48" s="1003"/>
      <c r="C48" s="1004"/>
      <c r="D48" s="99"/>
      <c r="E48" s="1008"/>
      <c r="F48" s="68"/>
      <c r="G48" s="340"/>
      <c r="H48" s="68"/>
      <c r="I48" s="340"/>
      <c r="J48" s="68"/>
      <c r="K48" s="999"/>
      <c r="L48" s="68"/>
      <c r="M48" s="1012"/>
      <c r="N48" s="68"/>
      <c r="O48" s="1012"/>
      <c r="P48" s="68"/>
      <c r="Q48" s="999"/>
      <c r="S48" s="273"/>
    </row>
    <row r="49" spans="2:19" ht="15" customHeight="1" x14ac:dyDescent="0.25">
      <c r="B49" s="1003"/>
      <c r="C49" s="1004"/>
      <c r="D49" s="99"/>
      <c r="E49" s="1008"/>
      <c r="F49" s="68"/>
      <c r="G49" s="341" t="s">
        <v>574</v>
      </c>
      <c r="H49" s="68"/>
      <c r="I49" s="341" t="s">
        <v>574</v>
      </c>
      <c r="J49" s="68"/>
      <c r="K49" s="999"/>
      <c r="L49" s="68"/>
      <c r="M49" s="1012"/>
      <c r="N49" s="68"/>
      <c r="O49" s="1012"/>
      <c r="P49" s="68"/>
      <c r="Q49" s="999"/>
      <c r="S49" s="98"/>
    </row>
    <row r="50" spans="2:19" ht="15" customHeight="1" x14ac:dyDescent="0.25">
      <c r="B50" s="1005"/>
      <c r="C50" s="1006"/>
      <c r="D50" s="99"/>
      <c r="E50" s="1009"/>
      <c r="F50" s="68"/>
      <c r="G50" s="342" t="str">
        <f>IF(G47=""," ",G47+'Data Conversions'!AE10)</f>
        <v xml:space="preserve"> </v>
      </c>
      <c r="H50" s="68"/>
      <c r="I50" s="342" t="str">
        <f>IF(I47=""," ",I47+'Data Conversions'!AE10)</f>
        <v xml:space="preserve"> </v>
      </c>
      <c r="J50" s="68"/>
      <c r="K50" s="1000"/>
      <c r="L50" s="68"/>
      <c r="M50" s="1013"/>
      <c r="N50" s="68"/>
      <c r="O50" s="1013"/>
      <c r="P50" s="68"/>
      <c r="Q50" s="1000"/>
      <c r="S50" s="273"/>
    </row>
    <row r="51" spans="2:19" ht="9.9499999999999993" customHeight="1" x14ac:dyDescent="0.25"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</row>
    <row r="52" spans="2:19" ht="30" customHeight="1" x14ac:dyDescent="0.25">
      <c r="B52" s="990" t="s">
        <v>387</v>
      </c>
      <c r="C52" s="990"/>
      <c r="D52" s="68"/>
      <c r="E52" s="100" t="s">
        <v>394</v>
      </c>
      <c r="F52" s="68"/>
      <c r="G52" s="990" t="s">
        <v>389</v>
      </c>
      <c r="H52" s="991"/>
      <c r="I52" s="991"/>
      <c r="J52" s="991"/>
      <c r="K52" s="991"/>
      <c r="L52" s="100"/>
      <c r="M52" s="990" t="s">
        <v>416</v>
      </c>
      <c r="N52" s="990"/>
      <c r="O52" s="990"/>
      <c r="P52" s="990"/>
      <c r="Q52" s="100" t="s">
        <v>394</v>
      </c>
      <c r="S52" s="100"/>
    </row>
    <row r="53" spans="2:19" ht="9.9499999999999993" customHeight="1" thickBot="1" x14ac:dyDescent="0.3">
      <c r="B53" s="68"/>
      <c r="C53" s="68"/>
      <c r="D53" s="68"/>
      <c r="E53" s="68"/>
      <c r="F53" s="68"/>
      <c r="G53" s="68"/>
      <c r="H53" s="68"/>
      <c r="I53" s="69"/>
      <c r="J53" s="69"/>
      <c r="K53" s="69"/>
      <c r="L53" s="69"/>
      <c r="M53" s="69"/>
      <c r="N53" s="69"/>
      <c r="O53" s="69"/>
      <c r="P53" s="69"/>
      <c r="Q53" s="68"/>
    </row>
    <row r="54" spans="2:19" ht="30" customHeight="1" thickBot="1" x14ac:dyDescent="0.3">
      <c r="B54" s="980" t="s">
        <v>418</v>
      </c>
      <c r="C54" s="950"/>
      <c r="D54" s="68"/>
      <c r="E54" s="101"/>
      <c r="F54" s="68"/>
      <c r="G54" s="992"/>
      <c r="H54" s="983"/>
      <c r="I54" s="983"/>
      <c r="J54" s="983"/>
      <c r="K54" s="993"/>
      <c r="L54" s="68"/>
      <c r="M54" s="980">
        <f>B2</f>
        <v>0</v>
      </c>
      <c r="N54" s="981"/>
      <c r="O54" s="950"/>
      <c r="P54" s="69"/>
      <c r="Q54" s="101"/>
    </row>
    <row r="55" spans="2:19" ht="9.9499999999999993" customHeight="1" thickBot="1" x14ac:dyDescent="0.3">
      <c r="B55" s="68"/>
      <c r="C55" s="68"/>
      <c r="D55" s="68"/>
      <c r="E55" s="68"/>
      <c r="F55" s="68"/>
      <c r="G55" s="994"/>
      <c r="H55" s="779"/>
      <c r="I55" s="779"/>
      <c r="J55" s="779"/>
      <c r="K55" s="827"/>
      <c r="L55" s="68"/>
      <c r="M55" s="68"/>
      <c r="N55" s="69"/>
      <c r="O55" s="69"/>
      <c r="P55" s="69"/>
      <c r="Q55" s="68"/>
    </row>
    <row r="56" spans="2:19" ht="30" customHeight="1" thickBot="1" x14ac:dyDescent="0.3">
      <c r="B56" s="980" t="s">
        <v>419</v>
      </c>
      <c r="C56" s="950"/>
      <c r="D56" s="68"/>
      <c r="E56" s="101"/>
      <c r="F56" s="68"/>
      <c r="G56" s="995"/>
      <c r="H56" s="996"/>
      <c r="I56" s="996"/>
      <c r="J56" s="996"/>
      <c r="K56" s="997"/>
      <c r="L56" s="68"/>
      <c r="M56" s="980" t="s">
        <v>415</v>
      </c>
      <c r="N56" s="981"/>
      <c r="O56" s="950"/>
      <c r="P56" s="69"/>
      <c r="Q56" s="101"/>
    </row>
    <row r="57" spans="2:19" ht="9.9499999999999993" customHeight="1" x14ac:dyDescent="0.25"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</row>
    <row r="58" spans="2:19" x14ac:dyDescent="0.25">
      <c r="B58" s="988" t="s">
        <v>384</v>
      </c>
      <c r="C58" s="989"/>
      <c r="D58" s="989"/>
      <c r="E58" s="989"/>
      <c r="F58" s="989"/>
      <c r="G58" s="989"/>
      <c r="H58" s="989"/>
      <c r="I58" s="989"/>
      <c r="J58" s="989"/>
      <c r="K58" s="989"/>
      <c r="L58" s="989"/>
      <c r="M58" s="989"/>
      <c r="N58" s="989"/>
      <c r="O58" s="989"/>
      <c r="P58" s="989"/>
      <c r="Q58" s="989"/>
      <c r="R58" s="72"/>
      <c r="S58"/>
    </row>
  </sheetData>
  <mergeCells count="81">
    <mergeCell ref="B1:C1"/>
    <mergeCell ref="K1:Q1"/>
    <mergeCell ref="B2:C2"/>
    <mergeCell ref="E2:I9"/>
    <mergeCell ref="K2:Q2"/>
    <mergeCell ref="B4:C4"/>
    <mergeCell ref="M4:Q4"/>
    <mergeCell ref="B6:C8"/>
    <mergeCell ref="M6:Q6"/>
    <mergeCell ref="M8:Q8"/>
    <mergeCell ref="Q15:Q18"/>
    <mergeCell ref="M9:Q9"/>
    <mergeCell ref="B10:C10"/>
    <mergeCell ref="B11:C14"/>
    <mergeCell ref="E11:E14"/>
    <mergeCell ref="K11:K14"/>
    <mergeCell ref="M11:M14"/>
    <mergeCell ref="O11:O14"/>
    <mergeCell ref="Q11:Q14"/>
    <mergeCell ref="B15:C18"/>
    <mergeCell ref="E15:E18"/>
    <mergeCell ref="K15:K18"/>
    <mergeCell ref="M15:M18"/>
    <mergeCell ref="O15:O18"/>
    <mergeCell ref="Q23:Q26"/>
    <mergeCell ref="B19:C22"/>
    <mergeCell ref="E19:E22"/>
    <mergeCell ref="K19:K22"/>
    <mergeCell ref="M19:M22"/>
    <mergeCell ref="O19:O22"/>
    <mergeCell ref="Q19:Q22"/>
    <mergeCell ref="B23:C26"/>
    <mergeCell ref="E23:E26"/>
    <mergeCell ref="K23:K26"/>
    <mergeCell ref="M23:M26"/>
    <mergeCell ref="O23:O26"/>
    <mergeCell ref="Q31:Q34"/>
    <mergeCell ref="B27:C30"/>
    <mergeCell ref="E27:E30"/>
    <mergeCell ref="K27:K30"/>
    <mergeCell ref="M27:M30"/>
    <mergeCell ref="O27:O30"/>
    <mergeCell ref="Q27:Q30"/>
    <mergeCell ref="B31:C34"/>
    <mergeCell ref="E31:E34"/>
    <mergeCell ref="K31:K34"/>
    <mergeCell ref="M31:M34"/>
    <mergeCell ref="O31:O34"/>
    <mergeCell ref="Q39:Q42"/>
    <mergeCell ref="B35:C38"/>
    <mergeCell ref="E35:E38"/>
    <mergeCell ref="K35:K38"/>
    <mergeCell ref="M35:M38"/>
    <mergeCell ref="O35:O38"/>
    <mergeCell ref="Q35:Q38"/>
    <mergeCell ref="B39:C42"/>
    <mergeCell ref="E39:E42"/>
    <mergeCell ref="K39:K42"/>
    <mergeCell ref="M39:M42"/>
    <mergeCell ref="O39:O42"/>
    <mergeCell ref="Q47:Q50"/>
    <mergeCell ref="B43:C46"/>
    <mergeCell ref="E43:E46"/>
    <mergeCell ref="K43:K46"/>
    <mergeCell ref="M43:M46"/>
    <mergeCell ref="O43:O46"/>
    <mergeCell ref="Q43:Q46"/>
    <mergeCell ref="B47:C50"/>
    <mergeCell ref="E47:E50"/>
    <mergeCell ref="K47:K50"/>
    <mergeCell ref="M47:M50"/>
    <mergeCell ref="O47:O50"/>
    <mergeCell ref="B58:Q58"/>
    <mergeCell ref="B52:C52"/>
    <mergeCell ref="G52:K52"/>
    <mergeCell ref="M52:P52"/>
    <mergeCell ref="B54:C54"/>
    <mergeCell ref="G54:K56"/>
    <mergeCell ref="M54:O54"/>
    <mergeCell ref="B56:C56"/>
    <mergeCell ref="M56:O56"/>
  </mergeCells>
  <dataValidations count="2">
    <dataValidation type="list" allowBlank="1" showInputMessage="1" showErrorMessage="1" sqref="B2:C2" xr:uid="{00A875DF-F9D1-44D1-85D8-6BDF6AD9CF5F}">
      <formula1>"Narrow Shaker, Contemporary Shaker, Wide Shaker"</formula1>
    </dataValidation>
    <dataValidation type="list" allowBlank="1" showInputMessage="1" showErrorMessage="1" sqref="Q11:Q12 Q23:Q24 Q15:Q16 Q19:Q20 Q27:Q28 Q31:Q32 Q35:Q36 Q39:Q40 Q43:Q44 Q47:Q48" xr:uid="{F3E19BE8-7950-409A-83EC-6F89143B49FE}">
      <formula1>"Door,Drawer,Flip-Up"</formula1>
    </dataValidation>
  </dataValidations>
  <printOptions horizontalCentered="1"/>
  <pageMargins left="0.25" right="0.25" top="0.25" bottom="0.5" header="0" footer="0"/>
  <pageSetup scale="83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1ED4D8E-6AAE-46A7-8FB0-94BC51B3DA9B}">
          <x14:formula1>
            <xm:f>'Data Conversions'!$P$1:$P$21</xm:f>
          </x14:formula1>
          <xm:sqref>B11:C50</xm:sqref>
        </x14:dataValidation>
        <x14:dataValidation type="list" allowBlank="1" showInputMessage="1" showErrorMessage="1" xr:uid="{1F70A9E6-B8F5-4BB2-94E0-DC65F9B13154}">
          <x14:formula1>
            <xm:f>'Data Conversions'!$T$51:$T$55</xm:f>
          </x14:formula1>
          <xm:sqref>K47:K50</xm:sqref>
        </x14:dataValidation>
        <x14:dataValidation type="list" allowBlank="1" showInputMessage="1" showErrorMessage="1" xr:uid="{B563C1A3-4CAE-4CEB-94C9-4690CA57B43F}">
          <x14:formula1>
            <xm:f>'Data Conversions'!$T$6:$T$10</xm:f>
          </x14:formula1>
          <xm:sqref>K11:K14</xm:sqref>
        </x14:dataValidation>
        <x14:dataValidation type="list" allowBlank="1" showInputMessage="1" showErrorMessage="1" xr:uid="{2AAAA04E-C647-4341-9053-07192F5EE787}">
          <x14:formula1>
            <xm:f>'Data Conversions'!$T$11:$T$15</xm:f>
          </x14:formula1>
          <xm:sqref>K15:K18</xm:sqref>
        </x14:dataValidation>
        <x14:dataValidation type="list" allowBlank="1" showInputMessage="1" showErrorMessage="1" xr:uid="{23B4BE9B-D6DE-4D81-8681-9B37C0844816}">
          <x14:formula1>
            <xm:f>'Data Conversions'!$T$16:$T$20</xm:f>
          </x14:formula1>
          <xm:sqref>K19:K22</xm:sqref>
        </x14:dataValidation>
        <x14:dataValidation type="list" allowBlank="1" showInputMessage="1" showErrorMessage="1" xr:uid="{885E8A99-0F30-449B-A250-BDF53F747F57}">
          <x14:formula1>
            <xm:f>'Data Conversions'!$T$21:$T$25</xm:f>
          </x14:formula1>
          <xm:sqref>K23:K26</xm:sqref>
        </x14:dataValidation>
        <x14:dataValidation type="list" allowBlank="1" showInputMessage="1" showErrorMessage="1" xr:uid="{1070A0BF-FDAA-488F-87A1-B9CF635E83CA}">
          <x14:formula1>
            <xm:f>'Data Conversions'!$T$26:$T$30</xm:f>
          </x14:formula1>
          <xm:sqref>K27:K30</xm:sqref>
        </x14:dataValidation>
        <x14:dataValidation type="list" allowBlank="1" showInputMessage="1" showErrorMessage="1" xr:uid="{A805AFF1-0E2E-42FF-A1D2-005554FD1DB5}">
          <x14:formula1>
            <xm:f>'Data Conversions'!$T$31:$T$35</xm:f>
          </x14:formula1>
          <xm:sqref>K31:K34</xm:sqref>
        </x14:dataValidation>
        <x14:dataValidation type="list" allowBlank="1" showInputMessage="1" showErrorMessage="1" xr:uid="{F586A6A8-6BC0-47BE-BD27-E7E8672E8074}">
          <x14:formula1>
            <xm:f>'Data Conversions'!$T$36:$T$40</xm:f>
          </x14:formula1>
          <xm:sqref>K35:K38</xm:sqref>
        </x14:dataValidation>
        <x14:dataValidation type="list" allowBlank="1" showInputMessage="1" showErrorMessage="1" xr:uid="{CDD5F363-B4B6-4BFA-AC38-F2588793B7FB}">
          <x14:formula1>
            <xm:f>'Data Conversions'!$T$41:$T$45</xm:f>
          </x14:formula1>
          <xm:sqref>K39:K42</xm:sqref>
        </x14:dataValidation>
        <x14:dataValidation type="list" allowBlank="1" showInputMessage="1" showErrorMessage="1" xr:uid="{5FB0FA5C-8189-462A-AB48-0F54F866984D}">
          <x14:formula1>
            <xm:f>'Data Conversions'!$T$46:$T$50</xm:f>
          </x14:formula1>
          <xm:sqref>K43:K46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08C8A-CE8D-4792-9E2F-B98B0B42BD61}">
  <sheetPr codeName="Sheet4"/>
  <dimension ref="A1:FJ209"/>
  <sheetViews>
    <sheetView showGridLines="0" view="pageLayout" zoomScale="130" zoomScaleNormal="120" zoomScalePageLayoutView="130" workbookViewId="0">
      <selection activeCell="EM31" sqref="EM31:FJ35"/>
    </sheetView>
  </sheetViews>
  <sheetFormatPr defaultColWidth="0.7109375" defaultRowHeight="3.75" customHeight="1" x14ac:dyDescent="0.25"/>
  <sheetData>
    <row r="1" spans="1:142" ht="3.75" customHeight="1" thickTop="1" x14ac:dyDescent="0.25">
      <c r="A1" s="373"/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4"/>
      <c r="U1" s="374"/>
      <c r="V1" s="374"/>
      <c r="W1" s="374"/>
      <c r="X1" s="373"/>
      <c r="Y1" s="373"/>
      <c r="Z1" s="373"/>
      <c r="AA1" s="373"/>
      <c r="AB1" s="373"/>
      <c r="AC1" s="373"/>
      <c r="AD1" s="373"/>
      <c r="AE1" s="373"/>
      <c r="AF1" s="373"/>
      <c r="AG1" s="373"/>
      <c r="AH1" s="373"/>
      <c r="AI1" s="373"/>
      <c r="AJ1" s="373"/>
      <c r="AK1" s="373"/>
      <c r="AL1" s="373"/>
      <c r="AM1" s="373"/>
      <c r="AN1" s="373"/>
      <c r="AO1" s="373"/>
      <c r="AP1" s="373"/>
      <c r="AQ1" s="373"/>
      <c r="AR1" s="373"/>
      <c r="AS1" s="373"/>
      <c r="AT1" s="373"/>
      <c r="AU1" s="373"/>
      <c r="AV1" s="373"/>
      <c r="AW1" s="373"/>
      <c r="AX1" s="373"/>
      <c r="AY1" s="373"/>
      <c r="AZ1" s="373"/>
      <c r="BA1" s="373"/>
      <c r="BB1" s="373"/>
      <c r="BC1" s="373"/>
      <c r="BD1" s="373"/>
      <c r="BE1" s="373"/>
      <c r="BF1" s="373"/>
      <c r="BG1" s="373"/>
      <c r="BH1" s="373"/>
      <c r="BI1" s="373"/>
      <c r="BJ1" s="373"/>
      <c r="BK1" s="373"/>
      <c r="BL1" s="373"/>
      <c r="BM1" s="373"/>
      <c r="BN1" s="373"/>
      <c r="BO1" s="373"/>
      <c r="BP1" s="373"/>
      <c r="BQ1" s="373"/>
      <c r="BR1" s="373"/>
      <c r="BS1" s="373"/>
      <c r="BT1" s="373"/>
      <c r="BU1" s="373"/>
      <c r="BV1" s="373"/>
      <c r="BW1" s="373"/>
      <c r="BX1" s="373"/>
      <c r="BY1" s="373"/>
      <c r="BZ1" s="373"/>
      <c r="CA1" s="373"/>
      <c r="CB1" s="373"/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N1" s="373"/>
      <c r="CO1" s="373"/>
      <c r="CP1" s="373"/>
      <c r="CQ1" s="373"/>
      <c r="CR1" s="373"/>
      <c r="CS1" s="373"/>
      <c r="CT1" s="373"/>
      <c r="CU1" s="373"/>
      <c r="CV1" s="373"/>
      <c r="CW1" s="373"/>
      <c r="CX1" s="373"/>
      <c r="CY1" s="373"/>
      <c r="CZ1" s="373"/>
      <c r="DA1" s="373"/>
      <c r="DB1" s="373"/>
      <c r="DC1" s="373"/>
      <c r="DD1" s="373"/>
      <c r="DE1" s="373"/>
      <c r="DF1" s="373"/>
      <c r="DG1" s="373"/>
      <c r="DH1" s="373"/>
      <c r="DI1" s="373"/>
      <c r="DJ1" s="373"/>
      <c r="DK1" s="373"/>
      <c r="DL1" s="373"/>
      <c r="DM1" s="373"/>
      <c r="DN1" s="373"/>
      <c r="DO1" s="373"/>
      <c r="DP1" s="373"/>
      <c r="DQ1" s="373"/>
      <c r="DR1" s="373"/>
      <c r="DS1" s="373"/>
      <c r="DT1" s="373"/>
      <c r="DU1" s="373"/>
      <c r="DV1" s="373"/>
      <c r="DW1" s="373"/>
      <c r="DX1" s="373"/>
      <c r="DY1" s="373"/>
      <c r="DZ1" s="373"/>
      <c r="EA1" s="373"/>
      <c r="EB1" s="373"/>
      <c r="EC1" s="373"/>
      <c r="ED1" s="373"/>
      <c r="EE1" s="373"/>
      <c r="EF1" s="373"/>
      <c r="EG1" s="373"/>
      <c r="EH1" s="373"/>
      <c r="EI1" s="373"/>
      <c r="EJ1" s="373"/>
      <c r="EK1" s="373"/>
      <c r="EL1" s="373"/>
    </row>
    <row r="4" spans="1:142" ht="3.75" customHeight="1" x14ac:dyDescent="0.25">
      <c r="A4" s="1125" t="s">
        <v>653</v>
      </c>
      <c r="B4" s="1125"/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5"/>
      <c r="T4" s="1125"/>
      <c r="AA4" s="1122" t="s">
        <v>652</v>
      </c>
      <c r="AB4" s="1122"/>
      <c r="AC4" s="1122"/>
      <c r="AD4" s="1122"/>
      <c r="AE4" s="1122"/>
      <c r="AF4" s="1122"/>
      <c r="AG4" s="1122"/>
      <c r="AH4" s="1122"/>
      <c r="AI4" s="1122"/>
      <c r="AJ4" s="1122"/>
      <c r="AK4" s="1122"/>
      <c r="AL4" s="1122"/>
      <c r="AM4" s="1122"/>
      <c r="AN4" s="1122"/>
      <c r="AO4" s="1122"/>
      <c r="AP4" s="1122"/>
      <c r="AQ4" s="1122"/>
      <c r="AR4" s="1122"/>
      <c r="AS4" s="1122"/>
      <c r="AT4" s="1122"/>
      <c r="AU4" s="1122"/>
      <c r="AV4" s="1122"/>
      <c r="AW4" s="1122"/>
      <c r="AX4" s="1122"/>
      <c r="AY4" s="1122"/>
      <c r="AZ4" s="1122"/>
      <c r="BA4" s="1122"/>
      <c r="BB4" s="1122"/>
      <c r="BC4" s="1122"/>
      <c r="BD4" s="1122"/>
      <c r="BE4" s="1122"/>
      <c r="BF4" s="1122"/>
      <c r="BG4" s="1122"/>
      <c r="BH4" s="1122"/>
      <c r="BI4" s="1122"/>
      <c r="BJ4" s="1122"/>
      <c r="BK4" s="1122"/>
      <c r="BL4" s="1122"/>
      <c r="BM4" s="1122"/>
      <c r="BN4" s="1122"/>
      <c r="BO4" s="1122"/>
      <c r="BP4" s="1122"/>
      <c r="BQ4" s="1122"/>
      <c r="BR4" s="1122"/>
      <c r="BS4" s="1122"/>
      <c r="BT4" s="1122"/>
      <c r="BU4" s="1122"/>
      <c r="BV4" s="1122"/>
      <c r="BW4" s="1122"/>
      <c r="BX4" s="1122"/>
      <c r="BY4" s="1122"/>
      <c r="BZ4" s="1122"/>
      <c r="CA4" s="1122"/>
      <c r="CB4" s="1122"/>
      <c r="CC4" s="1122"/>
      <c r="CD4" s="1122"/>
      <c r="CE4" s="1122"/>
      <c r="CF4" s="1122"/>
      <c r="CG4" s="1122"/>
      <c r="CH4" s="1122"/>
      <c r="CI4" s="1122"/>
      <c r="CJ4" s="1122"/>
      <c r="CK4" s="1122"/>
      <c r="CL4" s="1122"/>
      <c r="CM4" s="1122"/>
      <c r="CN4" s="1122"/>
      <c r="CO4" s="1122"/>
      <c r="CP4" s="1122"/>
      <c r="CQ4" s="1122"/>
      <c r="CR4" s="1122"/>
      <c r="CS4" s="1122"/>
      <c r="CT4" s="1122"/>
      <c r="CU4" s="1122"/>
      <c r="CV4" s="1122"/>
      <c r="CW4" s="1122"/>
      <c r="CX4" s="1122"/>
      <c r="CY4" s="1122"/>
      <c r="CZ4" s="1122"/>
      <c r="DA4" s="1122"/>
      <c r="DB4" s="1122"/>
      <c r="DC4" s="1122"/>
      <c r="DD4" s="1122"/>
      <c r="DE4" s="1122"/>
      <c r="DF4" s="1122"/>
      <c r="DG4" s="1122"/>
      <c r="DN4" s="1126" t="s">
        <v>651</v>
      </c>
      <c r="DO4" s="1126"/>
      <c r="DP4" s="1126"/>
      <c r="DQ4" s="1126"/>
      <c r="DR4" s="1126"/>
      <c r="DS4" s="1126"/>
      <c r="DT4" s="1126"/>
      <c r="DU4" s="1126"/>
      <c r="DV4" s="1126"/>
      <c r="DW4" s="1126"/>
      <c r="DX4" s="1126"/>
      <c r="DY4" s="1126"/>
      <c r="DZ4" s="1126"/>
      <c r="EA4" s="1126"/>
      <c r="EB4" s="1126"/>
      <c r="EC4" s="1126"/>
      <c r="ED4" s="1126"/>
      <c r="EE4" s="1126"/>
      <c r="EF4" s="1126"/>
      <c r="EG4" s="1126"/>
      <c r="EH4" s="1126"/>
      <c r="EI4" s="1126"/>
      <c r="EJ4" s="1126"/>
      <c r="EK4" s="1126"/>
      <c r="EL4" s="1126"/>
    </row>
    <row r="5" spans="1:142" ht="3.75" customHeight="1" x14ac:dyDescent="0.25">
      <c r="A5" s="1125"/>
      <c r="B5" s="1125"/>
      <c r="C5" s="1125"/>
      <c r="D5" s="1125"/>
      <c r="E5" s="1125"/>
      <c r="F5" s="1125"/>
      <c r="G5" s="1125"/>
      <c r="H5" s="1125"/>
      <c r="I5" s="1125"/>
      <c r="J5" s="1125"/>
      <c r="K5" s="1125"/>
      <c r="L5" s="1125"/>
      <c r="M5" s="1125"/>
      <c r="N5" s="1125"/>
      <c r="O5" s="1125"/>
      <c r="P5" s="1125"/>
      <c r="Q5" s="1125"/>
      <c r="R5" s="1125"/>
      <c r="S5" s="1125"/>
      <c r="T5" s="1125"/>
      <c r="AA5" s="1123"/>
      <c r="AB5" s="1123"/>
      <c r="AC5" s="1123"/>
      <c r="AD5" s="1123"/>
      <c r="AE5" s="1123"/>
      <c r="AF5" s="1123"/>
      <c r="AG5" s="1123"/>
      <c r="AH5" s="1123"/>
      <c r="AI5" s="1123"/>
      <c r="AJ5" s="1123"/>
      <c r="AK5" s="1123"/>
      <c r="AL5" s="1123"/>
      <c r="AM5" s="1123"/>
      <c r="AN5" s="1123"/>
      <c r="AO5" s="1123"/>
      <c r="AP5" s="1123"/>
      <c r="AQ5" s="1123"/>
      <c r="AR5" s="1123"/>
      <c r="AS5" s="1123"/>
      <c r="AT5" s="1123"/>
      <c r="AU5" s="1123"/>
      <c r="AV5" s="1123"/>
      <c r="AW5" s="1123"/>
      <c r="AX5" s="1123"/>
      <c r="AY5" s="1123"/>
      <c r="AZ5" s="1123"/>
      <c r="BA5" s="1123"/>
      <c r="BB5" s="1123"/>
      <c r="BC5" s="1123"/>
      <c r="BD5" s="1123"/>
      <c r="BE5" s="1123"/>
      <c r="BF5" s="1123"/>
      <c r="BG5" s="1123"/>
      <c r="BH5" s="1123"/>
      <c r="BI5" s="1123"/>
      <c r="BJ5" s="1123"/>
      <c r="BK5" s="1123"/>
      <c r="BL5" s="1123"/>
      <c r="BM5" s="1123"/>
      <c r="BN5" s="1123"/>
      <c r="BO5" s="1123"/>
      <c r="BP5" s="1123"/>
      <c r="BQ5" s="1123"/>
      <c r="BR5" s="1123"/>
      <c r="BS5" s="1123"/>
      <c r="BT5" s="1123"/>
      <c r="BU5" s="1123"/>
      <c r="BV5" s="1123"/>
      <c r="BW5" s="1123"/>
      <c r="BX5" s="1123"/>
      <c r="BY5" s="1123"/>
      <c r="BZ5" s="1123"/>
      <c r="CA5" s="1123"/>
      <c r="CB5" s="1123"/>
      <c r="CC5" s="1123"/>
      <c r="CD5" s="1123"/>
      <c r="CE5" s="1123"/>
      <c r="CF5" s="1123"/>
      <c r="CG5" s="1123"/>
      <c r="CH5" s="1123"/>
      <c r="CI5" s="1123"/>
      <c r="CJ5" s="1123"/>
      <c r="CK5" s="1123"/>
      <c r="CL5" s="1123"/>
      <c r="CM5" s="1123"/>
      <c r="CN5" s="1123"/>
      <c r="CO5" s="1123"/>
      <c r="CP5" s="1123"/>
      <c r="CQ5" s="1123"/>
      <c r="CR5" s="1123"/>
      <c r="CS5" s="1123"/>
      <c r="CT5" s="1123"/>
      <c r="CU5" s="1123"/>
      <c r="CV5" s="1123"/>
      <c r="CW5" s="1123"/>
      <c r="CX5" s="1123"/>
      <c r="CY5" s="1123"/>
      <c r="CZ5" s="1123"/>
      <c r="DA5" s="1123"/>
      <c r="DB5" s="1123"/>
      <c r="DC5" s="1123"/>
      <c r="DD5" s="1123"/>
      <c r="DE5" s="1123"/>
      <c r="DF5" s="1123"/>
      <c r="DG5" s="1123"/>
      <c r="DN5" s="1126"/>
      <c r="DO5" s="1126"/>
      <c r="DP5" s="1126"/>
      <c r="DQ5" s="1126"/>
      <c r="DR5" s="1126"/>
      <c r="DS5" s="1126"/>
      <c r="DT5" s="1126"/>
      <c r="DU5" s="1126"/>
      <c r="DV5" s="1126"/>
      <c r="DW5" s="1126"/>
      <c r="DX5" s="1126"/>
      <c r="DY5" s="1126"/>
      <c r="DZ5" s="1126"/>
      <c r="EA5" s="1126"/>
      <c r="EB5" s="1126"/>
      <c r="EC5" s="1126"/>
      <c r="ED5" s="1126"/>
      <c r="EE5" s="1126"/>
      <c r="EF5" s="1126"/>
      <c r="EG5" s="1126"/>
      <c r="EH5" s="1126"/>
      <c r="EI5" s="1126"/>
      <c r="EJ5" s="1126"/>
      <c r="EK5" s="1126"/>
      <c r="EL5" s="1126"/>
    </row>
    <row r="6" spans="1:142" ht="3.75" customHeight="1" x14ac:dyDescent="0.25">
      <c r="A6" s="1125"/>
      <c r="B6" s="1125"/>
      <c r="C6" s="1125"/>
      <c r="D6" s="1125"/>
      <c r="E6" s="1125"/>
      <c r="F6" s="1125"/>
      <c r="G6" s="1125"/>
      <c r="H6" s="1125"/>
      <c r="I6" s="1125"/>
      <c r="J6" s="1125"/>
      <c r="K6" s="1125"/>
      <c r="L6" s="1125"/>
      <c r="M6" s="1125"/>
      <c r="N6" s="1125"/>
      <c r="O6" s="1125"/>
      <c r="P6" s="1125"/>
      <c r="Q6" s="1125"/>
      <c r="R6" s="1125"/>
      <c r="S6" s="1125"/>
      <c r="T6" s="1125"/>
      <c r="AA6" s="1123"/>
      <c r="AB6" s="1123"/>
      <c r="AC6" s="1123"/>
      <c r="AD6" s="1123"/>
      <c r="AE6" s="1123"/>
      <c r="AF6" s="1123"/>
      <c r="AG6" s="1123"/>
      <c r="AH6" s="1123"/>
      <c r="AI6" s="1123"/>
      <c r="AJ6" s="1123"/>
      <c r="AK6" s="1123"/>
      <c r="AL6" s="1123"/>
      <c r="AM6" s="1123"/>
      <c r="AN6" s="1123"/>
      <c r="AO6" s="1123"/>
      <c r="AP6" s="1123"/>
      <c r="AQ6" s="1123"/>
      <c r="AR6" s="1123"/>
      <c r="AS6" s="1123"/>
      <c r="AT6" s="1123"/>
      <c r="AU6" s="1123"/>
      <c r="AV6" s="1123"/>
      <c r="AW6" s="1123"/>
      <c r="AX6" s="1123"/>
      <c r="AY6" s="1123"/>
      <c r="AZ6" s="1123"/>
      <c r="BA6" s="1123"/>
      <c r="BB6" s="1123"/>
      <c r="BC6" s="1123"/>
      <c r="BD6" s="1123"/>
      <c r="BE6" s="1123"/>
      <c r="BF6" s="1123"/>
      <c r="BG6" s="1123"/>
      <c r="BH6" s="1123"/>
      <c r="BI6" s="1123"/>
      <c r="BJ6" s="1123"/>
      <c r="BK6" s="1123"/>
      <c r="BL6" s="1123"/>
      <c r="BM6" s="1123"/>
      <c r="BN6" s="1123"/>
      <c r="BO6" s="1123"/>
      <c r="BP6" s="1123"/>
      <c r="BQ6" s="1123"/>
      <c r="BR6" s="1123"/>
      <c r="BS6" s="1123"/>
      <c r="BT6" s="1123"/>
      <c r="BU6" s="1123"/>
      <c r="BV6" s="1123"/>
      <c r="BW6" s="1123"/>
      <c r="BX6" s="1123"/>
      <c r="BY6" s="1123"/>
      <c r="BZ6" s="1123"/>
      <c r="CA6" s="1123"/>
      <c r="CB6" s="1123"/>
      <c r="CC6" s="1123"/>
      <c r="CD6" s="1123"/>
      <c r="CE6" s="1123"/>
      <c r="CF6" s="1123"/>
      <c r="CG6" s="1123"/>
      <c r="CH6" s="1123"/>
      <c r="CI6" s="1123"/>
      <c r="CJ6" s="1123"/>
      <c r="CK6" s="1123"/>
      <c r="CL6" s="1123"/>
      <c r="CM6" s="1123"/>
      <c r="CN6" s="1123"/>
      <c r="CO6" s="1123"/>
      <c r="CP6" s="1123"/>
      <c r="CQ6" s="1123"/>
      <c r="CR6" s="1123"/>
      <c r="CS6" s="1123"/>
      <c r="CT6" s="1123"/>
      <c r="CU6" s="1123"/>
      <c r="CV6" s="1123"/>
      <c r="CW6" s="1123"/>
      <c r="CX6" s="1123"/>
      <c r="CY6" s="1123"/>
      <c r="CZ6" s="1123"/>
      <c r="DA6" s="1123"/>
      <c r="DB6" s="1123"/>
      <c r="DC6" s="1123"/>
      <c r="DD6" s="1123"/>
      <c r="DE6" s="1123"/>
      <c r="DF6" s="1123"/>
      <c r="DG6" s="1123"/>
      <c r="DN6" s="1126"/>
      <c r="DO6" s="1126"/>
      <c r="DP6" s="1126"/>
      <c r="DQ6" s="1126"/>
      <c r="DR6" s="1126"/>
      <c r="DS6" s="1126"/>
      <c r="DT6" s="1126"/>
      <c r="DU6" s="1126"/>
      <c r="DV6" s="1126"/>
      <c r="DW6" s="1126"/>
      <c r="DX6" s="1126"/>
      <c r="DY6" s="1126"/>
      <c r="DZ6" s="1126"/>
      <c r="EA6" s="1126"/>
      <c r="EB6" s="1126"/>
      <c r="EC6" s="1126"/>
      <c r="ED6" s="1126"/>
      <c r="EE6" s="1126"/>
      <c r="EF6" s="1126"/>
      <c r="EG6" s="1126"/>
      <c r="EH6" s="1126"/>
      <c r="EI6" s="1126"/>
      <c r="EJ6" s="1126"/>
      <c r="EK6" s="1126"/>
      <c r="EL6" s="1126"/>
    </row>
    <row r="7" spans="1:142" ht="3.75" customHeight="1" x14ac:dyDescent="0.25">
      <c r="A7" s="1125"/>
      <c r="B7" s="1125"/>
      <c r="C7" s="1125"/>
      <c r="D7" s="1125"/>
      <c r="E7" s="1125"/>
      <c r="F7" s="1125"/>
      <c r="G7" s="1125"/>
      <c r="H7" s="1125"/>
      <c r="I7" s="1125"/>
      <c r="J7" s="1125"/>
      <c r="K7" s="1125"/>
      <c r="L7" s="1125"/>
      <c r="M7" s="1125"/>
      <c r="N7" s="1125"/>
      <c r="O7" s="1125"/>
      <c r="P7" s="1125"/>
      <c r="Q7" s="1125"/>
      <c r="R7" s="1125"/>
      <c r="S7" s="1125"/>
      <c r="T7" s="1125"/>
      <c r="AA7" s="1123"/>
      <c r="AB7" s="1123"/>
      <c r="AC7" s="1123"/>
      <c r="AD7" s="1123"/>
      <c r="AE7" s="1123"/>
      <c r="AF7" s="1123"/>
      <c r="AG7" s="1123"/>
      <c r="AH7" s="1123"/>
      <c r="AI7" s="1123"/>
      <c r="AJ7" s="1123"/>
      <c r="AK7" s="1123"/>
      <c r="AL7" s="1123"/>
      <c r="AM7" s="1123"/>
      <c r="AN7" s="1123"/>
      <c r="AO7" s="1123"/>
      <c r="AP7" s="1123"/>
      <c r="AQ7" s="1123"/>
      <c r="AR7" s="1123"/>
      <c r="AS7" s="1123"/>
      <c r="AT7" s="1123"/>
      <c r="AU7" s="1123"/>
      <c r="AV7" s="1123"/>
      <c r="AW7" s="1123"/>
      <c r="AX7" s="1123"/>
      <c r="AY7" s="1123"/>
      <c r="AZ7" s="1123"/>
      <c r="BA7" s="1123"/>
      <c r="BB7" s="1123"/>
      <c r="BC7" s="1123"/>
      <c r="BD7" s="1123"/>
      <c r="BE7" s="1123"/>
      <c r="BF7" s="1123"/>
      <c r="BG7" s="1123"/>
      <c r="BH7" s="1123"/>
      <c r="BI7" s="1123"/>
      <c r="BJ7" s="1123"/>
      <c r="BK7" s="1123"/>
      <c r="BL7" s="1123"/>
      <c r="BM7" s="1123"/>
      <c r="BN7" s="1123"/>
      <c r="BO7" s="1123"/>
      <c r="BP7" s="1123"/>
      <c r="BQ7" s="1123"/>
      <c r="BR7" s="1123"/>
      <c r="BS7" s="1123"/>
      <c r="BT7" s="1123"/>
      <c r="BU7" s="1123"/>
      <c r="BV7" s="1123"/>
      <c r="BW7" s="1123"/>
      <c r="BX7" s="1123"/>
      <c r="BY7" s="1123"/>
      <c r="BZ7" s="1123"/>
      <c r="CA7" s="1123"/>
      <c r="CB7" s="1123"/>
      <c r="CC7" s="1123"/>
      <c r="CD7" s="1123"/>
      <c r="CE7" s="1123"/>
      <c r="CF7" s="1123"/>
      <c r="CG7" s="1123"/>
      <c r="CH7" s="1123"/>
      <c r="CI7" s="1123"/>
      <c r="CJ7" s="1123"/>
      <c r="CK7" s="1123"/>
      <c r="CL7" s="1123"/>
      <c r="CM7" s="1123"/>
      <c r="CN7" s="1123"/>
      <c r="CO7" s="1123"/>
      <c r="CP7" s="1123"/>
      <c r="CQ7" s="1123"/>
      <c r="CR7" s="1123"/>
      <c r="CS7" s="1123"/>
      <c r="CT7" s="1123"/>
      <c r="CU7" s="1123"/>
      <c r="CV7" s="1123"/>
      <c r="CW7" s="1123"/>
      <c r="CX7" s="1123"/>
      <c r="CY7" s="1123"/>
      <c r="CZ7" s="1123"/>
      <c r="DA7" s="1123"/>
      <c r="DB7" s="1123"/>
      <c r="DC7" s="1123"/>
      <c r="DD7" s="1123"/>
      <c r="DE7" s="1123"/>
      <c r="DF7" s="1123"/>
      <c r="DG7" s="1123"/>
      <c r="DN7" s="1126"/>
      <c r="DO7" s="1126"/>
      <c r="DP7" s="1126"/>
      <c r="DQ7" s="1126"/>
      <c r="DR7" s="1126"/>
      <c r="DS7" s="1126"/>
      <c r="DT7" s="1126"/>
      <c r="DU7" s="1126"/>
      <c r="DV7" s="1126"/>
      <c r="DW7" s="1126"/>
      <c r="DX7" s="1126"/>
      <c r="DY7" s="1126"/>
      <c r="DZ7" s="1126"/>
      <c r="EA7" s="1126"/>
      <c r="EB7" s="1126"/>
      <c r="EC7" s="1126"/>
      <c r="ED7" s="1126"/>
      <c r="EE7" s="1126"/>
      <c r="EF7" s="1126"/>
      <c r="EG7" s="1126"/>
      <c r="EH7" s="1126"/>
      <c r="EI7" s="1126"/>
      <c r="EJ7" s="1126"/>
      <c r="EK7" s="1126"/>
      <c r="EL7" s="1126"/>
    </row>
    <row r="8" spans="1:142" ht="3.75" customHeight="1" x14ac:dyDescent="0.25">
      <c r="A8" s="1125" t="s">
        <v>650</v>
      </c>
      <c r="B8" s="1125"/>
      <c r="C8" s="1125"/>
      <c r="D8" s="1125"/>
      <c r="E8" s="1125"/>
      <c r="F8" s="1125"/>
      <c r="G8" s="1125"/>
      <c r="H8" s="1125"/>
      <c r="I8" s="1125"/>
      <c r="J8" s="1125"/>
      <c r="K8" s="1125"/>
      <c r="L8" s="1125"/>
      <c r="M8" s="1125"/>
      <c r="N8" s="1125"/>
      <c r="O8" s="1125"/>
      <c r="P8" s="1125"/>
      <c r="Q8" s="1125"/>
      <c r="R8" s="1125"/>
      <c r="S8" s="1125"/>
      <c r="T8" s="1125"/>
      <c r="AA8" s="1123"/>
      <c r="AB8" s="1123"/>
      <c r="AC8" s="1123"/>
      <c r="AD8" s="1123"/>
      <c r="AE8" s="1123"/>
      <c r="AF8" s="1123"/>
      <c r="AG8" s="1123"/>
      <c r="AH8" s="1123"/>
      <c r="AI8" s="1123"/>
      <c r="AJ8" s="1123"/>
      <c r="AK8" s="1123"/>
      <c r="AL8" s="1123"/>
      <c r="AM8" s="1123"/>
      <c r="AN8" s="1123"/>
      <c r="AO8" s="1123"/>
      <c r="AP8" s="1123"/>
      <c r="AQ8" s="1123"/>
      <c r="AR8" s="1123"/>
      <c r="AS8" s="1123"/>
      <c r="AT8" s="1123"/>
      <c r="AU8" s="1123"/>
      <c r="AV8" s="1123"/>
      <c r="AW8" s="1123"/>
      <c r="AX8" s="1123"/>
      <c r="AY8" s="1123"/>
      <c r="AZ8" s="1123"/>
      <c r="BA8" s="1123"/>
      <c r="BB8" s="1123"/>
      <c r="BC8" s="1123"/>
      <c r="BD8" s="1123"/>
      <c r="BE8" s="1123"/>
      <c r="BF8" s="1123"/>
      <c r="BG8" s="1123"/>
      <c r="BH8" s="1123"/>
      <c r="BI8" s="1123"/>
      <c r="BJ8" s="1123"/>
      <c r="BK8" s="1123"/>
      <c r="BL8" s="1123"/>
      <c r="BM8" s="1123"/>
      <c r="BN8" s="1123"/>
      <c r="BO8" s="1123"/>
      <c r="BP8" s="1123"/>
      <c r="BQ8" s="1123"/>
      <c r="BR8" s="1123"/>
      <c r="BS8" s="1123"/>
      <c r="BT8" s="1123"/>
      <c r="BU8" s="1123"/>
      <c r="BV8" s="1123"/>
      <c r="BW8" s="1123"/>
      <c r="BX8" s="1123"/>
      <c r="BY8" s="1123"/>
      <c r="BZ8" s="1123"/>
      <c r="CA8" s="1123"/>
      <c r="CB8" s="1123"/>
      <c r="CC8" s="1123"/>
      <c r="CD8" s="1123"/>
      <c r="CE8" s="1123"/>
      <c r="CF8" s="1123"/>
      <c r="CG8" s="1123"/>
      <c r="CH8" s="1123"/>
      <c r="CI8" s="1123"/>
      <c r="CJ8" s="1123"/>
      <c r="CK8" s="1123"/>
      <c r="CL8" s="1123"/>
      <c r="CM8" s="1123"/>
      <c r="CN8" s="1123"/>
      <c r="CO8" s="1123"/>
      <c r="CP8" s="1123"/>
      <c r="CQ8" s="1123"/>
      <c r="CR8" s="1123"/>
      <c r="CS8" s="1123"/>
      <c r="CT8" s="1123"/>
      <c r="CU8" s="1123"/>
      <c r="CV8" s="1123"/>
      <c r="CW8" s="1123"/>
      <c r="CX8" s="1123"/>
      <c r="CY8" s="1123"/>
      <c r="CZ8" s="1123"/>
      <c r="DA8" s="1123"/>
      <c r="DB8" s="1123"/>
      <c r="DC8" s="1123"/>
      <c r="DD8" s="1123"/>
      <c r="DE8" s="1123"/>
      <c r="DF8" s="1123"/>
      <c r="DG8" s="1123"/>
      <c r="DN8" s="1126" t="s">
        <v>649</v>
      </c>
      <c r="DO8" s="1126"/>
      <c r="DP8" s="1126"/>
      <c r="DQ8" s="1126"/>
      <c r="DR8" s="1126"/>
      <c r="DS8" s="1126"/>
      <c r="DT8" s="1126"/>
      <c r="DU8" s="1126"/>
      <c r="DV8" s="1126"/>
      <c r="DW8" s="1126"/>
      <c r="DX8" s="1126"/>
      <c r="DY8" s="1126"/>
      <c r="DZ8" s="1126"/>
      <c r="EA8" s="1126"/>
      <c r="EB8" s="1126"/>
      <c r="EC8" s="1126"/>
      <c r="ED8" s="1126"/>
      <c r="EE8" s="1126"/>
      <c r="EF8" s="1126"/>
      <c r="EG8" s="1126"/>
      <c r="EH8" s="1126"/>
      <c r="EI8" s="1126"/>
      <c r="EJ8" s="1126"/>
      <c r="EK8" s="1126"/>
      <c r="EL8" s="1126"/>
    </row>
    <row r="9" spans="1:142" ht="3.75" customHeight="1" x14ac:dyDescent="0.25">
      <c r="A9" s="1125"/>
      <c r="B9" s="1125"/>
      <c r="C9" s="1125"/>
      <c r="D9" s="1125"/>
      <c r="E9" s="1125"/>
      <c r="F9" s="1125"/>
      <c r="G9" s="1125"/>
      <c r="H9" s="1125"/>
      <c r="I9" s="1125"/>
      <c r="J9" s="1125"/>
      <c r="K9" s="1125"/>
      <c r="L9" s="1125"/>
      <c r="M9" s="1125"/>
      <c r="N9" s="1125"/>
      <c r="O9" s="1125"/>
      <c r="P9" s="1125"/>
      <c r="Q9" s="1125"/>
      <c r="R9" s="1125"/>
      <c r="S9" s="1125"/>
      <c r="T9" s="1125"/>
      <c r="AA9" s="1124"/>
      <c r="AB9" s="1124"/>
      <c r="AC9" s="1124"/>
      <c r="AD9" s="1124"/>
      <c r="AE9" s="1124"/>
      <c r="AF9" s="1124"/>
      <c r="AG9" s="1124"/>
      <c r="AH9" s="1124"/>
      <c r="AI9" s="1124"/>
      <c r="AJ9" s="1124"/>
      <c r="AK9" s="1124"/>
      <c r="AL9" s="1124"/>
      <c r="AM9" s="1124"/>
      <c r="AN9" s="1124"/>
      <c r="AO9" s="1124"/>
      <c r="AP9" s="1124"/>
      <c r="AQ9" s="1124"/>
      <c r="AR9" s="1124"/>
      <c r="AS9" s="1124"/>
      <c r="AT9" s="1124"/>
      <c r="AU9" s="1124"/>
      <c r="AV9" s="1124"/>
      <c r="AW9" s="1124"/>
      <c r="AX9" s="1124"/>
      <c r="AY9" s="1124"/>
      <c r="AZ9" s="1124"/>
      <c r="BA9" s="1124"/>
      <c r="BB9" s="1124"/>
      <c r="BC9" s="1124"/>
      <c r="BD9" s="1124"/>
      <c r="BE9" s="1124"/>
      <c r="BF9" s="1124"/>
      <c r="BG9" s="1124"/>
      <c r="BH9" s="1124"/>
      <c r="BI9" s="1124"/>
      <c r="BJ9" s="1124"/>
      <c r="BK9" s="1124"/>
      <c r="BL9" s="1124"/>
      <c r="BM9" s="1124"/>
      <c r="BN9" s="1124"/>
      <c r="BO9" s="1124"/>
      <c r="BP9" s="1124"/>
      <c r="BQ9" s="1124"/>
      <c r="BR9" s="1124"/>
      <c r="BS9" s="1124"/>
      <c r="BT9" s="1124"/>
      <c r="BU9" s="1124"/>
      <c r="BV9" s="1124"/>
      <c r="BW9" s="1124"/>
      <c r="BX9" s="1124"/>
      <c r="BY9" s="1124"/>
      <c r="BZ9" s="1124"/>
      <c r="CA9" s="1124"/>
      <c r="CB9" s="1124"/>
      <c r="CC9" s="1124"/>
      <c r="CD9" s="1124"/>
      <c r="CE9" s="1124"/>
      <c r="CF9" s="1124"/>
      <c r="CG9" s="1124"/>
      <c r="CH9" s="1124"/>
      <c r="CI9" s="1124"/>
      <c r="CJ9" s="1124"/>
      <c r="CK9" s="1124"/>
      <c r="CL9" s="1124"/>
      <c r="CM9" s="1124"/>
      <c r="CN9" s="1124"/>
      <c r="CO9" s="1124"/>
      <c r="CP9" s="1124"/>
      <c r="CQ9" s="1124"/>
      <c r="CR9" s="1124"/>
      <c r="CS9" s="1124"/>
      <c r="CT9" s="1124"/>
      <c r="CU9" s="1124"/>
      <c r="CV9" s="1124"/>
      <c r="CW9" s="1124"/>
      <c r="CX9" s="1124"/>
      <c r="CY9" s="1124"/>
      <c r="CZ9" s="1124"/>
      <c r="DA9" s="1124"/>
      <c r="DB9" s="1124"/>
      <c r="DC9" s="1124"/>
      <c r="DD9" s="1124"/>
      <c r="DE9" s="1124"/>
      <c r="DF9" s="1124"/>
      <c r="DG9" s="1124"/>
      <c r="DN9" s="1126"/>
      <c r="DO9" s="1126"/>
      <c r="DP9" s="1126"/>
      <c r="DQ9" s="1126"/>
      <c r="DR9" s="1126"/>
      <c r="DS9" s="1126"/>
      <c r="DT9" s="1126"/>
      <c r="DU9" s="1126"/>
      <c r="DV9" s="1126"/>
      <c r="DW9" s="1126"/>
      <c r="DX9" s="1126"/>
      <c r="DY9" s="1126"/>
      <c r="DZ9" s="1126"/>
      <c r="EA9" s="1126"/>
      <c r="EB9" s="1126"/>
      <c r="EC9" s="1126"/>
      <c r="ED9" s="1126"/>
      <c r="EE9" s="1126"/>
      <c r="EF9" s="1126"/>
      <c r="EG9" s="1126"/>
      <c r="EH9" s="1126"/>
      <c r="EI9" s="1126"/>
      <c r="EJ9" s="1126"/>
      <c r="EK9" s="1126"/>
      <c r="EL9" s="1126"/>
    </row>
    <row r="10" spans="1:142" ht="3.75" customHeight="1" x14ac:dyDescent="0.25">
      <c r="A10" s="1125"/>
      <c r="B10" s="1125"/>
      <c r="C10" s="1125"/>
      <c r="D10" s="1125"/>
      <c r="E10" s="1125"/>
      <c r="F10" s="1125"/>
      <c r="G10" s="1125"/>
      <c r="H10" s="1125"/>
      <c r="I10" s="1125"/>
      <c r="J10" s="1125"/>
      <c r="K10" s="1125"/>
      <c r="L10" s="1125"/>
      <c r="M10" s="1125"/>
      <c r="N10" s="1125"/>
      <c r="O10" s="1125"/>
      <c r="P10" s="1125"/>
      <c r="Q10" s="1125"/>
      <c r="R10" s="1125"/>
      <c r="S10" s="1125"/>
      <c r="T10" s="1125"/>
      <c r="AA10" s="631" t="s">
        <v>648</v>
      </c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631"/>
      <c r="AW10" s="631"/>
      <c r="AX10" s="631"/>
      <c r="AY10" s="631"/>
      <c r="AZ10" s="631"/>
      <c r="BA10" s="631"/>
      <c r="BB10" s="631"/>
      <c r="BC10" s="631"/>
      <c r="BD10" s="631"/>
      <c r="BE10" s="631"/>
      <c r="BF10" s="631"/>
      <c r="BG10" s="631"/>
      <c r="BH10" s="631"/>
      <c r="BI10" s="631"/>
      <c r="BJ10" s="631"/>
      <c r="BK10" s="631"/>
      <c r="BL10" s="631"/>
      <c r="BM10" s="631"/>
      <c r="BN10" s="631"/>
      <c r="BO10" s="631"/>
      <c r="BP10" s="631"/>
      <c r="BQ10" s="631"/>
      <c r="BR10" s="631"/>
      <c r="BS10" s="631"/>
      <c r="BT10" s="631"/>
      <c r="BU10" s="631"/>
      <c r="BV10" s="631"/>
      <c r="BW10" s="631"/>
      <c r="BX10" s="631"/>
      <c r="BY10" s="631"/>
      <c r="BZ10" s="631"/>
      <c r="CA10" s="631"/>
      <c r="CB10" s="631"/>
      <c r="CC10" s="631"/>
      <c r="CD10" s="631"/>
      <c r="CE10" s="631"/>
      <c r="CF10" s="631"/>
      <c r="CG10" s="631"/>
      <c r="CH10" s="631"/>
      <c r="CI10" s="631"/>
      <c r="CJ10" s="631"/>
      <c r="CK10" s="631"/>
      <c r="CL10" s="631"/>
      <c r="CM10" s="631"/>
      <c r="CN10" s="631"/>
      <c r="CO10" s="631"/>
      <c r="CP10" s="631"/>
      <c r="CQ10" s="631"/>
      <c r="CR10" s="631"/>
      <c r="CS10" s="631"/>
      <c r="CT10" s="631"/>
      <c r="CU10" s="631"/>
      <c r="CV10" s="631"/>
      <c r="CW10" s="631"/>
      <c r="CX10" s="631"/>
      <c r="CY10" s="631"/>
      <c r="CZ10" s="631"/>
      <c r="DA10" s="631"/>
      <c r="DB10" s="631"/>
      <c r="DC10" s="631"/>
      <c r="DD10" s="631"/>
      <c r="DE10" s="631"/>
      <c r="DF10" s="631"/>
      <c r="DG10" s="631"/>
      <c r="DN10" s="1126"/>
      <c r="DO10" s="1126"/>
      <c r="DP10" s="1126"/>
      <c r="DQ10" s="1126"/>
      <c r="DR10" s="1126"/>
      <c r="DS10" s="1126"/>
      <c r="DT10" s="1126"/>
      <c r="DU10" s="1126"/>
      <c r="DV10" s="1126"/>
      <c r="DW10" s="1126"/>
      <c r="DX10" s="1126"/>
      <c r="DY10" s="1126"/>
      <c r="DZ10" s="1126"/>
      <c r="EA10" s="1126"/>
      <c r="EB10" s="1126"/>
      <c r="EC10" s="1126"/>
      <c r="ED10" s="1126"/>
      <c r="EE10" s="1126"/>
      <c r="EF10" s="1126"/>
      <c r="EG10" s="1126"/>
      <c r="EH10" s="1126"/>
      <c r="EI10" s="1126"/>
      <c r="EJ10" s="1126"/>
      <c r="EK10" s="1126"/>
      <c r="EL10" s="1126"/>
    </row>
    <row r="11" spans="1:142" ht="3.75" customHeight="1" x14ac:dyDescent="0.25">
      <c r="A11" s="1125"/>
      <c r="B11" s="1125"/>
      <c r="C11" s="1125"/>
      <c r="D11" s="1125"/>
      <c r="E11" s="1125"/>
      <c r="F11" s="1125"/>
      <c r="G11" s="1125"/>
      <c r="H11" s="1125"/>
      <c r="I11" s="1125"/>
      <c r="J11" s="1125"/>
      <c r="K11" s="1125"/>
      <c r="L11" s="1125"/>
      <c r="M11" s="1125"/>
      <c r="N11" s="1125"/>
      <c r="O11" s="1125"/>
      <c r="P11" s="1125"/>
      <c r="Q11" s="1125"/>
      <c r="R11" s="1125"/>
      <c r="S11" s="1125"/>
      <c r="T11" s="1125"/>
      <c r="AA11" s="631"/>
      <c r="AB11" s="631"/>
      <c r="AC11" s="631"/>
      <c r="AD11" s="631"/>
      <c r="AE11" s="631"/>
      <c r="AF11" s="631"/>
      <c r="AG11" s="631"/>
      <c r="AH11" s="631"/>
      <c r="AI11" s="631"/>
      <c r="AJ11" s="631"/>
      <c r="AK11" s="631"/>
      <c r="AL11" s="631"/>
      <c r="AM11" s="631"/>
      <c r="AN11" s="631"/>
      <c r="AO11" s="631"/>
      <c r="AP11" s="631"/>
      <c r="AQ11" s="631"/>
      <c r="AR11" s="631"/>
      <c r="AS11" s="631"/>
      <c r="AT11" s="631"/>
      <c r="AU11" s="631"/>
      <c r="AV11" s="631"/>
      <c r="AW11" s="631"/>
      <c r="AX11" s="631"/>
      <c r="AY11" s="631"/>
      <c r="AZ11" s="631"/>
      <c r="BA11" s="631"/>
      <c r="BB11" s="631"/>
      <c r="BC11" s="631"/>
      <c r="BD11" s="631"/>
      <c r="BE11" s="631"/>
      <c r="BF11" s="631"/>
      <c r="BG11" s="631"/>
      <c r="BH11" s="631"/>
      <c r="BI11" s="631"/>
      <c r="BJ11" s="631"/>
      <c r="BK11" s="631"/>
      <c r="BL11" s="631"/>
      <c r="BM11" s="631"/>
      <c r="BN11" s="631"/>
      <c r="BO11" s="631"/>
      <c r="BP11" s="631"/>
      <c r="BQ11" s="631"/>
      <c r="BR11" s="631"/>
      <c r="BS11" s="631"/>
      <c r="BT11" s="631"/>
      <c r="BU11" s="631"/>
      <c r="BV11" s="631"/>
      <c r="BW11" s="631"/>
      <c r="BX11" s="631"/>
      <c r="BY11" s="631"/>
      <c r="BZ11" s="631"/>
      <c r="CA11" s="631"/>
      <c r="CB11" s="631"/>
      <c r="CC11" s="631"/>
      <c r="CD11" s="631"/>
      <c r="CE11" s="631"/>
      <c r="CF11" s="631"/>
      <c r="CG11" s="631"/>
      <c r="CH11" s="631"/>
      <c r="CI11" s="631"/>
      <c r="CJ11" s="631"/>
      <c r="CK11" s="631"/>
      <c r="CL11" s="631"/>
      <c r="CM11" s="631"/>
      <c r="CN11" s="631"/>
      <c r="CO11" s="631"/>
      <c r="CP11" s="631"/>
      <c r="CQ11" s="631"/>
      <c r="CR11" s="631"/>
      <c r="CS11" s="631"/>
      <c r="CT11" s="631"/>
      <c r="CU11" s="631"/>
      <c r="CV11" s="631"/>
      <c r="CW11" s="631"/>
      <c r="CX11" s="631"/>
      <c r="CY11" s="631"/>
      <c r="CZ11" s="631"/>
      <c r="DA11" s="631"/>
      <c r="DB11" s="631"/>
      <c r="DC11" s="631"/>
      <c r="DD11" s="631"/>
      <c r="DE11" s="631"/>
      <c r="DF11" s="631"/>
      <c r="DG11" s="631"/>
      <c r="DN11" s="1126"/>
      <c r="DO11" s="1126"/>
      <c r="DP11" s="1126"/>
      <c r="DQ11" s="1126"/>
      <c r="DR11" s="1126"/>
      <c r="DS11" s="1126"/>
      <c r="DT11" s="1126"/>
      <c r="DU11" s="1126"/>
      <c r="DV11" s="1126"/>
      <c r="DW11" s="1126"/>
      <c r="DX11" s="1126"/>
      <c r="DY11" s="1126"/>
      <c r="DZ11" s="1126"/>
      <c r="EA11" s="1126"/>
      <c r="EB11" s="1126"/>
      <c r="EC11" s="1126"/>
      <c r="ED11" s="1126"/>
      <c r="EE11" s="1126"/>
      <c r="EF11" s="1126"/>
      <c r="EG11" s="1126"/>
      <c r="EH11" s="1126"/>
      <c r="EI11" s="1126"/>
      <c r="EJ11" s="1126"/>
      <c r="EK11" s="1126"/>
      <c r="EL11" s="1126"/>
    </row>
    <row r="12" spans="1:142" ht="3.75" customHeight="1" x14ac:dyDescent="0.25">
      <c r="A12" s="364"/>
      <c r="B12" s="364"/>
      <c r="C12" s="364"/>
      <c r="D12" s="364"/>
      <c r="E12" s="364"/>
      <c r="F12" s="364"/>
      <c r="G12" s="364"/>
      <c r="H12" s="364"/>
      <c r="I12" s="364"/>
      <c r="J12" s="364"/>
      <c r="K12" s="364"/>
      <c r="L12" s="364"/>
      <c r="M12" s="364"/>
      <c r="N12" s="364"/>
      <c r="O12" s="364"/>
      <c r="P12" s="364"/>
      <c r="Q12" s="364"/>
      <c r="R12" s="364"/>
      <c r="S12" s="364"/>
      <c r="T12" s="364"/>
      <c r="U12" s="364"/>
      <c r="V12" s="364"/>
      <c r="W12" s="364"/>
      <c r="X12" s="364"/>
      <c r="Y12" s="364"/>
      <c r="Z12" s="364"/>
      <c r="AA12" s="1084"/>
      <c r="AB12" s="1084"/>
      <c r="AC12" s="1084"/>
      <c r="AD12" s="1084"/>
      <c r="AE12" s="1084"/>
      <c r="AF12" s="1084"/>
      <c r="AG12" s="1084"/>
      <c r="AH12" s="1084"/>
      <c r="AI12" s="1084"/>
      <c r="AJ12" s="1084"/>
      <c r="AK12" s="1084"/>
      <c r="AL12" s="1084"/>
      <c r="AM12" s="1084"/>
      <c r="AN12" s="1084"/>
      <c r="AO12" s="1084"/>
      <c r="AP12" s="1084"/>
      <c r="AQ12" s="1084"/>
      <c r="AR12" s="1084"/>
      <c r="AS12" s="1084"/>
      <c r="AT12" s="1084"/>
      <c r="AU12" s="1084"/>
      <c r="AV12" s="1084"/>
      <c r="AW12" s="1084"/>
      <c r="AX12" s="1084"/>
      <c r="AY12" s="1084"/>
      <c r="AZ12" s="1084"/>
      <c r="BA12" s="1084"/>
      <c r="BB12" s="1084"/>
      <c r="BC12" s="1084"/>
      <c r="BD12" s="1084"/>
      <c r="BE12" s="1084"/>
      <c r="BF12" s="1084"/>
      <c r="BG12" s="1084"/>
      <c r="BH12" s="1084"/>
      <c r="BI12" s="1084"/>
      <c r="BJ12" s="1084"/>
      <c r="BK12" s="1084"/>
      <c r="BL12" s="1084"/>
      <c r="BM12" s="1084"/>
      <c r="BN12" s="1084"/>
      <c r="BO12" s="1084"/>
      <c r="BP12" s="1084"/>
      <c r="BQ12" s="1084"/>
      <c r="BR12" s="1084"/>
      <c r="BS12" s="1084"/>
      <c r="BT12" s="1084"/>
      <c r="BU12" s="1084"/>
      <c r="BV12" s="1084"/>
      <c r="BW12" s="1084"/>
      <c r="BX12" s="1084"/>
      <c r="BY12" s="1084"/>
      <c r="BZ12" s="1084"/>
      <c r="CA12" s="1084"/>
      <c r="CB12" s="1084"/>
      <c r="CC12" s="1084"/>
      <c r="CD12" s="1084"/>
      <c r="CE12" s="1084"/>
      <c r="CF12" s="1084"/>
      <c r="CG12" s="1084"/>
      <c r="CH12" s="1084"/>
      <c r="CI12" s="1084"/>
      <c r="CJ12" s="1084"/>
      <c r="CK12" s="1084"/>
      <c r="CL12" s="1084"/>
      <c r="CM12" s="1084"/>
      <c r="CN12" s="1084"/>
      <c r="CO12" s="1084"/>
      <c r="CP12" s="1084"/>
      <c r="CQ12" s="1084"/>
      <c r="CR12" s="1084"/>
      <c r="CS12" s="1084"/>
      <c r="CT12" s="1084"/>
      <c r="CU12" s="1084"/>
      <c r="CV12" s="1084"/>
      <c r="CW12" s="1084"/>
      <c r="CX12" s="1084"/>
      <c r="CY12" s="1084"/>
      <c r="CZ12" s="1084"/>
      <c r="DA12" s="1084"/>
      <c r="DB12" s="1084"/>
      <c r="DC12" s="1084"/>
      <c r="DD12" s="1084"/>
      <c r="DE12" s="1084"/>
      <c r="DF12" s="1084"/>
      <c r="DG12" s="1084"/>
      <c r="DH12" s="364"/>
      <c r="DI12" s="364"/>
      <c r="DJ12" s="364"/>
      <c r="DK12" s="364"/>
      <c r="DL12" s="364"/>
      <c r="DM12" s="364"/>
      <c r="DN12" s="364"/>
      <c r="DO12" s="364"/>
      <c r="DP12" s="364"/>
      <c r="DQ12" s="364"/>
      <c r="DR12" s="364"/>
      <c r="DS12" s="364"/>
      <c r="DT12" s="364"/>
      <c r="DU12" s="364"/>
      <c r="DV12" s="364"/>
      <c r="DW12" s="364"/>
      <c r="DX12" s="364"/>
      <c r="DY12" s="364"/>
      <c r="DZ12" s="364"/>
      <c r="EA12" s="364"/>
      <c r="EB12" s="364"/>
      <c r="EC12" s="364"/>
      <c r="ED12" s="364"/>
      <c r="EE12" s="364"/>
      <c r="EF12" s="364"/>
      <c r="EG12" s="364"/>
      <c r="EH12" s="364"/>
      <c r="EI12" s="364"/>
      <c r="EJ12" s="364"/>
      <c r="EK12" s="364"/>
      <c r="EL12" s="364"/>
    </row>
    <row r="14" spans="1:142" ht="3.75" customHeight="1" x14ac:dyDescent="0.25">
      <c r="N14" s="1129" t="s">
        <v>647</v>
      </c>
      <c r="O14" s="1130"/>
      <c r="P14" s="1130"/>
      <c r="Q14" s="1130"/>
      <c r="R14" s="1130"/>
      <c r="S14" s="1130"/>
      <c r="T14" s="1130"/>
      <c r="U14" s="1130"/>
      <c r="V14" s="1130"/>
      <c r="W14" s="1130"/>
      <c r="X14" s="1130"/>
      <c r="Y14" s="1130"/>
      <c r="Z14" s="1130"/>
      <c r="AA14" s="1130"/>
      <c r="AB14" s="1130"/>
      <c r="AC14" s="1130"/>
      <c r="AD14" s="1130"/>
      <c r="AE14" s="1131"/>
      <c r="AT14" s="1129" t="s">
        <v>646</v>
      </c>
      <c r="AU14" s="1113"/>
      <c r="AV14" s="1113"/>
      <c r="AW14" s="1113"/>
      <c r="AX14" s="1113"/>
      <c r="AY14" s="1113"/>
      <c r="AZ14" s="1113"/>
      <c r="BA14" s="1113"/>
      <c r="BB14" s="1113"/>
      <c r="BC14" s="1113"/>
      <c r="BD14" s="1113"/>
      <c r="BE14" s="1113"/>
      <c r="BF14" s="1113"/>
      <c r="BG14" s="1113"/>
      <c r="BH14" s="1113"/>
      <c r="BI14" s="1113"/>
      <c r="BJ14" s="1113"/>
      <c r="BK14" s="1113"/>
      <c r="BL14" s="1113"/>
      <c r="BM14" s="1113"/>
      <c r="BN14" s="1113"/>
      <c r="BO14" s="1113"/>
      <c r="BP14" s="1113"/>
      <c r="BQ14" s="1114"/>
      <c r="BS14" s="1121" t="s">
        <v>645</v>
      </c>
      <c r="BT14" s="1121"/>
      <c r="BU14" s="1121"/>
      <c r="BV14" s="1121"/>
      <c r="BW14" s="1121"/>
      <c r="BX14" s="1121"/>
      <c r="BY14" s="1121"/>
      <c r="BZ14" s="1121"/>
      <c r="CA14" s="1121"/>
      <c r="CB14" s="1121"/>
      <c r="CC14" s="1121"/>
      <c r="CD14" s="1121"/>
      <c r="CE14" s="1121"/>
      <c r="CF14" s="1121"/>
      <c r="CG14" s="1121"/>
      <c r="CH14" s="1121"/>
      <c r="CI14" s="1121"/>
      <c r="CJ14" s="1121"/>
      <c r="CK14" s="1121"/>
      <c r="CL14" s="1121"/>
      <c r="CM14" s="1121"/>
      <c r="CN14" s="1121"/>
      <c r="CO14" s="1121"/>
      <c r="CP14" s="1121"/>
      <c r="CQ14" s="1121"/>
      <c r="CR14" s="1121"/>
      <c r="CS14" s="1121"/>
      <c r="CT14" s="1121"/>
      <c r="CU14" s="1121"/>
      <c r="CV14" s="1121"/>
      <c r="CW14" s="1121"/>
      <c r="CX14" s="1121"/>
      <c r="CY14" s="1121"/>
      <c r="CZ14" s="1121"/>
      <c r="DA14" s="1121"/>
      <c r="DB14" s="1121"/>
      <c r="DC14" s="1121"/>
      <c r="DD14" s="1121"/>
      <c r="DE14" s="1121"/>
      <c r="DF14" s="1121"/>
      <c r="DG14" s="1121"/>
      <c r="DH14" s="1121"/>
      <c r="DI14" s="1121"/>
      <c r="DJ14" s="1121"/>
      <c r="DK14" s="1121"/>
      <c r="DL14" s="1121"/>
      <c r="DM14" s="1121"/>
      <c r="DN14" s="1121"/>
      <c r="DO14" s="1121"/>
      <c r="DP14" s="1121"/>
      <c r="DQ14" s="1121"/>
      <c r="DR14" s="1121"/>
      <c r="DS14" s="1121"/>
      <c r="DT14" s="1121"/>
      <c r="DU14" s="1121"/>
      <c r="DV14" s="1121"/>
      <c r="DW14" s="1121"/>
      <c r="DX14" s="1121"/>
      <c r="DY14" s="1121"/>
      <c r="DZ14" s="1121"/>
      <c r="EA14" s="1121"/>
      <c r="EB14" s="1121"/>
      <c r="EC14" s="1121"/>
      <c r="ED14" s="1121"/>
      <c r="EE14" s="1121"/>
      <c r="EF14" s="1121"/>
      <c r="EG14" s="1121"/>
      <c r="EH14" s="1121"/>
      <c r="EI14" s="1121"/>
      <c r="EJ14" s="1121"/>
      <c r="EK14" s="1121"/>
      <c r="EL14" s="1121"/>
    </row>
    <row r="15" spans="1:142" ht="3.75" customHeight="1" x14ac:dyDescent="0.25">
      <c r="A15" s="1127" t="s">
        <v>639</v>
      </c>
      <c r="B15" s="1127"/>
      <c r="C15" s="1127"/>
      <c r="D15" s="1127"/>
      <c r="E15" s="1127"/>
      <c r="F15" s="1127"/>
      <c r="G15" s="1127"/>
      <c r="H15" s="1127"/>
      <c r="I15" s="1127"/>
      <c r="J15" s="1127"/>
      <c r="K15" s="1127"/>
      <c r="L15" s="1127"/>
      <c r="M15" s="1127"/>
      <c r="N15" s="1132"/>
      <c r="O15" s="1133"/>
      <c r="P15" s="1133"/>
      <c r="Q15" s="1133"/>
      <c r="R15" s="1133"/>
      <c r="S15" s="1133"/>
      <c r="T15" s="1133"/>
      <c r="U15" s="1133"/>
      <c r="V15" s="1133"/>
      <c r="W15" s="1133"/>
      <c r="X15" s="1133"/>
      <c r="Y15" s="1133"/>
      <c r="Z15" s="1133"/>
      <c r="AA15" s="1133"/>
      <c r="AB15" s="1133"/>
      <c r="AC15" s="1133"/>
      <c r="AD15" s="1133"/>
      <c r="AE15" s="1134"/>
      <c r="AF15" s="1077" t="s">
        <v>644</v>
      </c>
      <c r="AG15" s="1077"/>
      <c r="AH15" s="1077"/>
      <c r="AI15" s="1077"/>
      <c r="AJ15" s="1077"/>
      <c r="AK15" s="1077"/>
      <c r="AL15" s="1077"/>
      <c r="AM15" s="1077"/>
      <c r="AN15" s="1077"/>
      <c r="AO15" s="1077"/>
      <c r="AP15" s="1077"/>
      <c r="AQ15" s="1077"/>
      <c r="AR15" s="1077"/>
      <c r="AS15" s="1077"/>
      <c r="AT15" s="1115"/>
      <c r="AU15" s="1116"/>
      <c r="AV15" s="1116"/>
      <c r="AW15" s="1116"/>
      <c r="AX15" s="1116"/>
      <c r="AY15" s="1116"/>
      <c r="AZ15" s="1116"/>
      <c r="BA15" s="1116"/>
      <c r="BB15" s="1116"/>
      <c r="BC15" s="1116"/>
      <c r="BD15" s="1116"/>
      <c r="BE15" s="1116"/>
      <c r="BF15" s="1116"/>
      <c r="BG15" s="1116"/>
      <c r="BH15" s="1116"/>
      <c r="BI15" s="1116"/>
      <c r="BJ15" s="1116"/>
      <c r="BK15" s="1116"/>
      <c r="BL15" s="1116"/>
      <c r="BM15" s="1116"/>
      <c r="BN15" s="1116"/>
      <c r="BO15" s="1116"/>
      <c r="BP15" s="1116"/>
      <c r="BQ15" s="1117"/>
      <c r="BS15" s="1121"/>
      <c r="BT15" s="1121"/>
      <c r="BU15" s="1121"/>
      <c r="BV15" s="1121"/>
      <c r="BW15" s="1121"/>
      <c r="BX15" s="1121"/>
      <c r="BY15" s="1121"/>
      <c r="BZ15" s="1121"/>
      <c r="CA15" s="1121"/>
      <c r="CB15" s="1121"/>
      <c r="CC15" s="1121"/>
      <c r="CD15" s="1121"/>
      <c r="CE15" s="1121"/>
      <c r="CF15" s="1121"/>
      <c r="CG15" s="1121"/>
      <c r="CH15" s="1121"/>
      <c r="CI15" s="1121"/>
      <c r="CJ15" s="1121"/>
      <c r="CK15" s="1121"/>
      <c r="CL15" s="1121"/>
      <c r="CM15" s="1121"/>
      <c r="CN15" s="1121"/>
      <c r="CO15" s="1121"/>
      <c r="CP15" s="1121"/>
      <c r="CQ15" s="1121"/>
      <c r="CR15" s="1121"/>
      <c r="CS15" s="1121"/>
      <c r="CT15" s="1121"/>
      <c r="CU15" s="1121"/>
      <c r="CV15" s="1121"/>
      <c r="CW15" s="1121"/>
      <c r="CX15" s="1121"/>
      <c r="CY15" s="1121"/>
      <c r="CZ15" s="1121"/>
      <c r="DA15" s="1121"/>
      <c r="DB15" s="1121"/>
      <c r="DC15" s="1121"/>
      <c r="DD15" s="1121"/>
      <c r="DE15" s="1121"/>
      <c r="DF15" s="1121"/>
      <c r="DG15" s="1121"/>
      <c r="DH15" s="1121"/>
      <c r="DI15" s="1121"/>
      <c r="DJ15" s="1121"/>
      <c r="DK15" s="1121"/>
      <c r="DL15" s="1121"/>
      <c r="DM15" s="1121"/>
      <c r="DN15" s="1121"/>
      <c r="DO15" s="1121"/>
      <c r="DP15" s="1121"/>
      <c r="DQ15" s="1121"/>
      <c r="DR15" s="1121"/>
      <c r="DS15" s="1121"/>
      <c r="DT15" s="1121"/>
      <c r="DU15" s="1121"/>
      <c r="DV15" s="1121"/>
      <c r="DW15" s="1121"/>
      <c r="DX15" s="1121"/>
      <c r="DY15" s="1121"/>
      <c r="DZ15" s="1121"/>
      <c r="EA15" s="1121"/>
      <c r="EB15" s="1121"/>
      <c r="EC15" s="1121"/>
      <c r="ED15" s="1121"/>
      <c r="EE15" s="1121"/>
      <c r="EF15" s="1121"/>
      <c r="EG15" s="1121"/>
      <c r="EH15" s="1121"/>
      <c r="EI15" s="1121"/>
      <c r="EJ15" s="1121"/>
      <c r="EK15" s="1121"/>
      <c r="EL15" s="1121"/>
    </row>
    <row r="16" spans="1:142" ht="3.75" customHeight="1" x14ac:dyDescent="0.25">
      <c r="A16" s="1127"/>
      <c r="B16" s="1127"/>
      <c r="C16" s="1127"/>
      <c r="D16" s="1127"/>
      <c r="E16" s="1127"/>
      <c r="F16" s="1127"/>
      <c r="G16" s="1127"/>
      <c r="H16" s="1127"/>
      <c r="I16" s="1127"/>
      <c r="J16" s="1127"/>
      <c r="K16" s="1127"/>
      <c r="L16" s="1127"/>
      <c r="M16" s="1127"/>
      <c r="N16" s="1132"/>
      <c r="O16" s="1133"/>
      <c r="P16" s="1133"/>
      <c r="Q16" s="1133"/>
      <c r="R16" s="1133"/>
      <c r="S16" s="1133"/>
      <c r="T16" s="1133"/>
      <c r="U16" s="1133"/>
      <c r="V16" s="1133"/>
      <c r="W16" s="1133"/>
      <c r="X16" s="1133"/>
      <c r="Y16" s="1133"/>
      <c r="Z16" s="1133"/>
      <c r="AA16" s="1133"/>
      <c r="AB16" s="1133"/>
      <c r="AC16" s="1133"/>
      <c r="AD16" s="1133"/>
      <c r="AE16" s="1134"/>
      <c r="AF16" s="1077"/>
      <c r="AG16" s="1077"/>
      <c r="AH16" s="1077"/>
      <c r="AI16" s="1077"/>
      <c r="AJ16" s="1077"/>
      <c r="AK16" s="1077"/>
      <c r="AL16" s="1077"/>
      <c r="AM16" s="1077"/>
      <c r="AN16" s="1077"/>
      <c r="AO16" s="1077"/>
      <c r="AP16" s="1077"/>
      <c r="AQ16" s="1077"/>
      <c r="AR16" s="1077"/>
      <c r="AS16" s="1077"/>
      <c r="AT16" s="1115"/>
      <c r="AU16" s="1116"/>
      <c r="AV16" s="1116"/>
      <c r="AW16" s="1116"/>
      <c r="AX16" s="1116"/>
      <c r="AY16" s="1116"/>
      <c r="AZ16" s="1116"/>
      <c r="BA16" s="1116"/>
      <c r="BB16" s="1116"/>
      <c r="BC16" s="1116"/>
      <c r="BD16" s="1116"/>
      <c r="BE16" s="1116"/>
      <c r="BF16" s="1116"/>
      <c r="BG16" s="1116"/>
      <c r="BH16" s="1116"/>
      <c r="BI16" s="1116"/>
      <c r="BJ16" s="1116"/>
      <c r="BK16" s="1116"/>
      <c r="BL16" s="1116"/>
      <c r="BM16" s="1116"/>
      <c r="BN16" s="1116"/>
      <c r="BO16" s="1116"/>
      <c r="BP16" s="1116"/>
      <c r="BQ16" s="1117"/>
      <c r="BS16" s="364"/>
      <c r="BT16" s="364"/>
      <c r="BU16" s="364"/>
      <c r="BV16" s="364"/>
      <c r="BW16" s="364"/>
      <c r="BX16" s="364"/>
      <c r="BY16" s="364"/>
      <c r="BZ16" s="364"/>
      <c r="CA16" s="364"/>
      <c r="CB16" s="364"/>
      <c r="CC16" s="364"/>
      <c r="CD16" s="364"/>
      <c r="CE16" s="364"/>
      <c r="CF16" s="364"/>
      <c r="CG16" s="364"/>
      <c r="CH16" s="364"/>
      <c r="CI16" s="364"/>
      <c r="CJ16" s="364"/>
      <c r="CK16" s="364"/>
      <c r="CL16" s="364"/>
      <c r="CM16" s="364"/>
      <c r="CN16" s="364"/>
      <c r="CO16" s="364"/>
      <c r="CP16" s="364"/>
      <c r="CQ16" s="364"/>
      <c r="CR16" s="364"/>
      <c r="CS16" s="364"/>
      <c r="CT16" s="364"/>
      <c r="CU16" s="364"/>
      <c r="CV16" s="364"/>
      <c r="CW16" s="364"/>
      <c r="CX16" s="364"/>
      <c r="CY16" s="364"/>
      <c r="CZ16" s="364"/>
      <c r="DA16" s="364"/>
      <c r="DB16" s="364"/>
      <c r="DC16" s="364"/>
      <c r="DD16" s="364"/>
      <c r="DE16" s="364"/>
      <c r="DF16" s="364"/>
      <c r="DG16" s="364"/>
      <c r="DH16" s="364"/>
      <c r="DI16" s="364"/>
      <c r="DJ16" s="364"/>
      <c r="DK16" s="364"/>
      <c r="DL16" s="364"/>
      <c r="DM16" s="364"/>
      <c r="DN16" s="364"/>
      <c r="DO16" s="364"/>
      <c r="DP16" s="364"/>
      <c r="DQ16" s="364"/>
      <c r="DR16" s="364"/>
      <c r="DS16" s="364"/>
      <c r="DT16" s="364"/>
      <c r="DU16" s="364"/>
      <c r="DV16" s="364"/>
      <c r="DW16" s="364"/>
      <c r="DX16" s="364"/>
      <c r="DY16" s="364"/>
      <c r="DZ16" s="364"/>
      <c r="EA16" s="364"/>
      <c r="EB16" s="364"/>
      <c r="EC16" s="364"/>
      <c r="ED16" s="364"/>
      <c r="EE16" s="364"/>
      <c r="EF16" s="364"/>
      <c r="EG16" s="364"/>
      <c r="EH16" s="364"/>
      <c r="EI16" s="364"/>
      <c r="EJ16" s="364"/>
      <c r="EK16" s="364"/>
      <c r="EL16" s="364"/>
    </row>
    <row r="17" spans="1:166" ht="3.75" customHeight="1" x14ac:dyDescent="0.25">
      <c r="A17" s="1127"/>
      <c r="B17" s="1127"/>
      <c r="C17" s="1127"/>
      <c r="D17" s="1127"/>
      <c r="E17" s="1127"/>
      <c r="F17" s="1127"/>
      <c r="G17" s="1127"/>
      <c r="H17" s="1127"/>
      <c r="I17" s="1127"/>
      <c r="J17" s="1127"/>
      <c r="K17" s="1127"/>
      <c r="L17" s="1127"/>
      <c r="M17" s="1127"/>
      <c r="N17" s="1132"/>
      <c r="O17" s="1133"/>
      <c r="P17" s="1133"/>
      <c r="Q17" s="1133"/>
      <c r="R17" s="1133"/>
      <c r="S17" s="1133"/>
      <c r="T17" s="1133"/>
      <c r="U17" s="1133"/>
      <c r="V17" s="1133"/>
      <c r="W17" s="1133"/>
      <c r="X17" s="1133"/>
      <c r="Y17" s="1133"/>
      <c r="Z17" s="1133"/>
      <c r="AA17" s="1133"/>
      <c r="AB17" s="1133"/>
      <c r="AC17" s="1133"/>
      <c r="AD17" s="1133"/>
      <c r="AE17" s="1134"/>
      <c r="AF17" s="1077"/>
      <c r="AG17" s="1077"/>
      <c r="AH17" s="1077"/>
      <c r="AI17" s="1077"/>
      <c r="AJ17" s="1077"/>
      <c r="AK17" s="1077"/>
      <c r="AL17" s="1077"/>
      <c r="AM17" s="1077"/>
      <c r="AN17" s="1077"/>
      <c r="AO17" s="1077"/>
      <c r="AP17" s="1077"/>
      <c r="AQ17" s="1077"/>
      <c r="AR17" s="1077"/>
      <c r="AS17" s="1077"/>
      <c r="AT17" s="1115"/>
      <c r="AU17" s="1116"/>
      <c r="AV17" s="1116"/>
      <c r="AW17" s="1116"/>
      <c r="AX17" s="1116"/>
      <c r="AY17" s="1116"/>
      <c r="AZ17" s="1116"/>
      <c r="BA17" s="1116"/>
      <c r="BB17" s="1116"/>
      <c r="BC17" s="1116"/>
      <c r="BD17" s="1116"/>
      <c r="BE17" s="1116"/>
      <c r="BF17" s="1116"/>
      <c r="BG17" s="1116"/>
      <c r="BH17" s="1116"/>
      <c r="BI17" s="1116"/>
      <c r="BJ17" s="1116"/>
      <c r="BK17" s="1116"/>
      <c r="BL17" s="1116"/>
      <c r="BM17" s="1116"/>
      <c r="BN17" s="1116"/>
      <c r="BO17" s="1116"/>
      <c r="BP17" s="1116"/>
      <c r="BQ17" s="1117"/>
      <c r="BS17" s="1138" t="str">
        <f>CONCATENATE('Data Entry'!B5," - ",'Data Entry'!B7," - ",'Data Entry'!B9)</f>
        <v xml:space="preserve"> -  - </v>
      </c>
      <c r="BT17" s="1139"/>
      <c r="BU17" s="1139"/>
      <c r="BV17" s="1139"/>
      <c r="BW17" s="1139"/>
      <c r="BX17" s="1139"/>
      <c r="BY17" s="1139"/>
      <c r="BZ17" s="1139"/>
      <c r="CA17" s="1139"/>
      <c r="CB17" s="1139"/>
      <c r="CC17" s="1139"/>
      <c r="CD17" s="1139"/>
      <c r="CE17" s="1139"/>
      <c r="CF17" s="1139"/>
      <c r="CG17" s="1139"/>
      <c r="CH17" s="1139"/>
      <c r="CI17" s="1139"/>
      <c r="CJ17" s="1139"/>
      <c r="CK17" s="1139"/>
      <c r="CL17" s="1139"/>
      <c r="CM17" s="1139"/>
      <c r="CN17" s="1139"/>
      <c r="CO17" s="1139"/>
      <c r="CP17" s="1139"/>
      <c r="CQ17" s="1139"/>
      <c r="CR17" s="1139"/>
      <c r="CS17" s="1139"/>
      <c r="CT17" s="1139"/>
      <c r="CU17" s="1139"/>
      <c r="CV17" s="1139"/>
      <c r="CW17" s="1139"/>
      <c r="CX17" s="1139"/>
      <c r="CY17" s="1139"/>
      <c r="CZ17" s="1139"/>
      <c r="DA17" s="1139"/>
      <c r="DB17" s="1139"/>
      <c r="DC17" s="1139"/>
      <c r="DD17" s="1139"/>
      <c r="DE17" s="1139"/>
      <c r="DF17" s="1139"/>
      <c r="DG17" s="1139"/>
      <c r="DH17" s="1139"/>
      <c r="DI17" s="1139"/>
      <c r="DJ17" s="1139"/>
      <c r="DK17" s="1139"/>
      <c r="DL17" s="1139"/>
      <c r="DM17" s="1139"/>
      <c r="DN17" s="1139"/>
      <c r="DO17" s="1139"/>
      <c r="DP17" s="1139"/>
      <c r="DQ17" s="1139"/>
      <c r="DR17" s="1139"/>
      <c r="DS17" s="1139"/>
      <c r="DT17" s="1139"/>
      <c r="DU17" s="1139"/>
      <c r="DV17" s="1139"/>
      <c r="DW17" s="1139"/>
      <c r="DX17" s="1139"/>
      <c r="DY17" s="1139"/>
      <c r="DZ17" s="1139"/>
      <c r="EA17" s="1139"/>
      <c r="EB17" s="1139"/>
      <c r="EC17" s="1139"/>
      <c r="ED17" s="1139"/>
      <c r="EE17" s="1139"/>
      <c r="EF17" s="1139"/>
      <c r="EG17" s="1139"/>
      <c r="EH17" s="1139"/>
      <c r="EI17" s="1139"/>
      <c r="EJ17" s="1139"/>
      <c r="EK17" s="1139"/>
      <c r="EL17" s="1140"/>
    </row>
    <row r="18" spans="1:166" ht="3.75" customHeight="1" x14ac:dyDescent="0.25">
      <c r="A18" s="1127" t="s">
        <v>643</v>
      </c>
      <c r="B18" s="1127"/>
      <c r="C18" s="1127"/>
      <c r="D18" s="1127"/>
      <c r="E18" s="1127"/>
      <c r="F18" s="1127"/>
      <c r="G18" s="1127"/>
      <c r="H18" s="1127"/>
      <c r="I18" s="1127"/>
      <c r="J18" s="1127"/>
      <c r="K18" s="1127"/>
      <c r="L18" s="1127"/>
      <c r="M18" s="1127"/>
      <c r="N18" s="1132"/>
      <c r="O18" s="1133"/>
      <c r="P18" s="1133"/>
      <c r="Q18" s="1133"/>
      <c r="R18" s="1133"/>
      <c r="S18" s="1133"/>
      <c r="T18" s="1133"/>
      <c r="U18" s="1133"/>
      <c r="V18" s="1133"/>
      <c r="W18" s="1133"/>
      <c r="X18" s="1133"/>
      <c r="Y18" s="1133"/>
      <c r="Z18" s="1133"/>
      <c r="AA18" s="1133"/>
      <c r="AB18" s="1133"/>
      <c r="AC18" s="1133"/>
      <c r="AD18" s="1133"/>
      <c r="AE18" s="1134"/>
      <c r="AF18" s="1077" t="s">
        <v>642</v>
      </c>
      <c r="AG18" s="1077"/>
      <c r="AH18" s="1077"/>
      <c r="AI18" s="1077"/>
      <c r="AJ18" s="1077"/>
      <c r="AK18" s="1077"/>
      <c r="AL18" s="1077"/>
      <c r="AM18" s="1077"/>
      <c r="AN18" s="1077"/>
      <c r="AO18" s="1077"/>
      <c r="AP18" s="1077"/>
      <c r="AQ18" s="1077"/>
      <c r="AR18" s="1077"/>
      <c r="AS18" s="1077"/>
      <c r="AT18" s="1115"/>
      <c r="AU18" s="1116"/>
      <c r="AV18" s="1116"/>
      <c r="AW18" s="1116"/>
      <c r="AX18" s="1116"/>
      <c r="AY18" s="1116"/>
      <c r="AZ18" s="1116"/>
      <c r="BA18" s="1116"/>
      <c r="BB18" s="1116"/>
      <c r="BC18" s="1116"/>
      <c r="BD18" s="1116"/>
      <c r="BE18" s="1116"/>
      <c r="BF18" s="1116"/>
      <c r="BG18" s="1116"/>
      <c r="BH18" s="1116"/>
      <c r="BI18" s="1116"/>
      <c r="BJ18" s="1116"/>
      <c r="BK18" s="1116"/>
      <c r="BL18" s="1116"/>
      <c r="BM18" s="1116"/>
      <c r="BN18" s="1116"/>
      <c r="BO18" s="1116"/>
      <c r="BP18" s="1116"/>
      <c r="BQ18" s="1117"/>
      <c r="BS18" s="1141"/>
      <c r="BT18" s="1077"/>
      <c r="BU18" s="1077"/>
      <c r="BV18" s="1077"/>
      <c r="BW18" s="1077"/>
      <c r="BX18" s="1077"/>
      <c r="BY18" s="1077"/>
      <c r="BZ18" s="1077"/>
      <c r="CA18" s="1077"/>
      <c r="CB18" s="1077"/>
      <c r="CC18" s="1077"/>
      <c r="CD18" s="1077"/>
      <c r="CE18" s="1077"/>
      <c r="CF18" s="1077"/>
      <c r="CG18" s="1077"/>
      <c r="CH18" s="1077"/>
      <c r="CI18" s="1077"/>
      <c r="CJ18" s="1077"/>
      <c r="CK18" s="1077"/>
      <c r="CL18" s="1077"/>
      <c r="CM18" s="1077"/>
      <c r="CN18" s="1077"/>
      <c r="CO18" s="1077"/>
      <c r="CP18" s="1077"/>
      <c r="CQ18" s="1077"/>
      <c r="CR18" s="1077"/>
      <c r="CS18" s="1077"/>
      <c r="CT18" s="1077"/>
      <c r="CU18" s="1077"/>
      <c r="CV18" s="1077"/>
      <c r="CW18" s="1077"/>
      <c r="CX18" s="1077"/>
      <c r="CY18" s="1077"/>
      <c r="CZ18" s="1077"/>
      <c r="DA18" s="1077"/>
      <c r="DB18" s="1077"/>
      <c r="DC18" s="1077"/>
      <c r="DD18" s="1077"/>
      <c r="DE18" s="1077"/>
      <c r="DF18" s="1077"/>
      <c r="DG18" s="1077"/>
      <c r="DH18" s="1077"/>
      <c r="DI18" s="1077"/>
      <c r="DJ18" s="1077"/>
      <c r="DK18" s="1077"/>
      <c r="DL18" s="1077"/>
      <c r="DM18" s="1077"/>
      <c r="DN18" s="1077"/>
      <c r="DO18" s="1077"/>
      <c r="DP18" s="1077"/>
      <c r="DQ18" s="1077"/>
      <c r="DR18" s="1077"/>
      <c r="DS18" s="1077"/>
      <c r="DT18" s="1077"/>
      <c r="DU18" s="1077"/>
      <c r="DV18" s="1077"/>
      <c r="DW18" s="1077"/>
      <c r="DX18" s="1077"/>
      <c r="DY18" s="1077"/>
      <c r="DZ18" s="1077"/>
      <c r="EA18" s="1077"/>
      <c r="EB18" s="1077"/>
      <c r="EC18" s="1077"/>
      <c r="ED18" s="1077"/>
      <c r="EE18" s="1077"/>
      <c r="EF18" s="1077"/>
      <c r="EG18" s="1077"/>
      <c r="EH18" s="1077"/>
      <c r="EI18" s="1077"/>
      <c r="EJ18" s="1077"/>
      <c r="EK18" s="1077"/>
      <c r="EL18" s="1142"/>
    </row>
    <row r="19" spans="1:166" ht="3.75" customHeight="1" x14ac:dyDescent="0.25">
      <c r="A19" s="1127"/>
      <c r="B19" s="1127"/>
      <c r="C19" s="1127"/>
      <c r="D19" s="1127"/>
      <c r="E19" s="1127"/>
      <c r="F19" s="1127"/>
      <c r="G19" s="1127"/>
      <c r="H19" s="1127"/>
      <c r="I19" s="1127"/>
      <c r="J19" s="1127"/>
      <c r="K19" s="1127"/>
      <c r="L19" s="1127"/>
      <c r="M19" s="1127"/>
      <c r="N19" s="1132"/>
      <c r="O19" s="1133"/>
      <c r="P19" s="1133"/>
      <c r="Q19" s="1133"/>
      <c r="R19" s="1133"/>
      <c r="S19" s="1133"/>
      <c r="T19" s="1133"/>
      <c r="U19" s="1133"/>
      <c r="V19" s="1133"/>
      <c r="W19" s="1133"/>
      <c r="X19" s="1133"/>
      <c r="Y19" s="1133"/>
      <c r="Z19" s="1133"/>
      <c r="AA19" s="1133"/>
      <c r="AB19" s="1133"/>
      <c r="AC19" s="1133"/>
      <c r="AD19" s="1133"/>
      <c r="AE19" s="1134"/>
      <c r="AF19" s="1077"/>
      <c r="AG19" s="1077"/>
      <c r="AH19" s="1077"/>
      <c r="AI19" s="1077"/>
      <c r="AJ19" s="1077"/>
      <c r="AK19" s="1077"/>
      <c r="AL19" s="1077"/>
      <c r="AM19" s="1077"/>
      <c r="AN19" s="1077"/>
      <c r="AO19" s="1077"/>
      <c r="AP19" s="1077"/>
      <c r="AQ19" s="1077"/>
      <c r="AR19" s="1077"/>
      <c r="AS19" s="1077"/>
      <c r="AT19" s="1115"/>
      <c r="AU19" s="1116"/>
      <c r="AV19" s="1116"/>
      <c r="AW19" s="1116"/>
      <c r="AX19" s="1116"/>
      <c r="AY19" s="1116"/>
      <c r="AZ19" s="1116"/>
      <c r="BA19" s="1116"/>
      <c r="BB19" s="1116"/>
      <c r="BC19" s="1116"/>
      <c r="BD19" s="1116"/>
      <c r="BE19" s="1116"/>
      <c r="BF19" s="1116"/>
      <c r="BG19" s="1116"/>
      <c r="BH19" s="1116"/>
      <c r="BI19" s="1116"/>
      <c r="BJ19" s="1116"/>
      <c r="BK19" s="1116"/>
      <c r="BL19" s="1116"/>
      <c r="BM19" s="1116"/>
      <c r="BN19" s="1116"/>
      <c r="BO19" s="1116"/>
      <c r="BP19" s="1116"/>
      <c r="BQ19" s="1117"/>
      <c r="BS19" s="1141"/>
      <c r="BT19" s="1077"/>
      <c r="BU19" s="1077"/>
      <c r="BV19" s="1077"/>
      <c r="BW19" s="1077"/>
      <c r="BX19" s="1077"/>
      <c r="BY19" s="1077"/>
      <c r="BZ19" s="1077"/>
      <c r="CA19" s="1077"/>
      <c r="CB19" s="1077"/>
      <c r="CC19" s="1077"/>
      <c r="CD19" s="1077"/>
      <c r="CE19" s="1077"/>
      <c r="CF19" s="1077"/>
      <c r="CG19" s="1077"/>
      <c r="CH19" s="1077"/>
      <c r="CI19" s="1077"/>
      <c r="CJ19" s="1077"/>
      <c r="CK19" s="1077"/>
      <c r="CL19" s="1077"/>
      <c r="CM19" s="1077"/>
      <c r="CN19" s="1077"/>
      <c r="CO19" s="1077"/>
      <c r="CP19" s="1077"/>
      <c r="CQ19" s="1077"/>
      <c r="CR19" s="1077"/>
      <c r="CS19" s="1077"/>
      <c r="CT19" s="1077"/>
      <c r="CU19" s="1077"/>
      <c r="CV19" s="1077"/>
      <c r="CW19" s="1077"/>
      <c r="CX19" s="1077"/>
      <c r="CY19" s="1077"/>
      <c r="CZ19" s="1077"/>
      <c r="DA19" s="1077"/>
      <c r="DB19" s="1077"/>
      <c r="DC19" s="1077"/>
      <c r="DD19" s="1077"/>
      <c r="DE19" s="1077"/>
      <c r="DF19" s="1077"/>
      <c r="DG19" s="1077"/>
      <c r="DH19" s="1077"/>
      <c r="DI19" s="1077"/>
      <c r="DJ19" s="1077"/>
      <c r="DK19" s="1077"/>
      <c r="DL19" s="1077"/>
      <c r="DM19" s="1077"/>
      <c r="DN19" s="1077"/>
      <c r="DO19" s="1077"/>
      <c r="DP19" s="1077"/>
      <c r="DQ19" s="1077"/>
      <c r="DR19" s="1077"/>
      <c r="DS19" s="1077"/>
      <c r="DT19" s="1077"/>
      <c r="DU19" s="1077"/>
      <c r="DV19" s="1077"/>
      <c r="DW19" s="1077"/>
      <c r="DX19" s="1077"/>
      <c r="DY19" s="1077"/>
      <c r="DZ19" s="1077"/>
      <c r="EA19" s="1077"/>
      <c r="EB19" s="1077"/>
      <c r="EC19" s="1077"/>
      <c r="ED19" s="1077"/>
      <c r="EE19" s="1077"/>
      <c r="EF19" s="1077"/>
      <c r="EG19" s="1077"/>
      <c r="EH19" s="1077"/>
      <c r="EI19" s="1077"/>
      <c r="EJ19" s="1077"/>
      <c r="EK19" s="1077"/>
      <c r="EL19" s="1142"/>
    </row>
    <row r="20" spans="1:166" ht="3.75" customHeight="1" x14ac:dyDescent="0.25">
      <c r="A20" s="1127"/>
      <c r="B20" s="1127"/>
      <c r="C20" s="1127"/>
      <c r="D20" s="1127"/>
      <c r="E20" s="1127"/>
      <c r="F20" s="1127"/>
      <c r="G20" s="1127"/>
      <c r="H20" s="1127"/>
      <c r="I20" s="1127"/>
      <c r="J20" s="1127"/>
      <c r="K20" s="1127"/>
      <c r="L20" s="1127"/>
      <c r="M20" s="1127"/>
      <c r="N20" s="1132"/>
      <c r="O20" s="1133"/>
      <c r="P20" s="1133"/>
      <c r="Q20" s="1133"/>
      <c r="R20" s="1133"/>
      <c r="S20" s="1133"/>
      <c r="T20" s="1133"/>
      <c r="U20" s="1133"/>
      <c r="V20" s="1133"/>
      <c r="W20" s="1133"/>
      <c r="X20" s="1133"/>
      <c r="Y20" s="1133"/>
      <c r="Z20" s="1133"/>
      <c r="AA20" s="1133"/>
      <c r="AB20" s="1133"/>
      <c r="AC20" s="1133"/>
      <c r="AD20" s="1133"/>
      <c r="AE20" s="1134"/>
      <c r="AF20" s="1077"/>
      <c r="AG20" s="1077"/>
      <c r="AH20" s="1077"/>
      <c r="AI20" s="1077"/>
      <c r="AJ20" s="1077"/>
      <c r="AK20" s="1077"/>
      <c r="AL20" s="1077"/>
      <c r="AM20" s="1077"/>
      <c r="AN20" s="1077"/>
      <c r="AO20" s="1077"/>
      <c r="AP20" s="1077"/>
      <c r="AQ20" s="1077"/>
      <c r="AR20" s="1077"/>
      <c r="AS20" s="1077"/>
      <c r="AT20" s="1115"/>
      <c r="AU20" s="1116"/>
      <c r="AV20" s="1116"/>
      <c r="AW20" s="1116"/>
      <c r="AX20" s="1116"/>
      <c r="AY20" s="1116"/>
      <c r="AZ20" s="1116"/>
      <c r="BA20" s="1116"/>
      <c r="BB20" s="1116"/>
      <c r="BC20" s="1116"/>
      <c r="BD20" s="1116"/>
      <c r="BE20" s="1116"/>
      <c r="BF20" s="1116"/>
      <c r="BG20" s="1116"/>
      <c r="BH20" s="1116"/>
      <c r="BI20" s="1116"/>
      <c r="BJ20" s="1116"/>
      <c r="BK20" s="1116"/>
      <c r="BL20" s="1116"/>
      <c r="BM20" s="1116"/>
      <c r="BN20" s="1116"/>
      <c r="BO20" s="1116"/>
      <c r="BP20" s="1116"/>
      <c r="BQ20" s="1117"/>
      <c r="BS20" s="1141"/>
      <c r="BT20" s="1077"/>
      <c r="BU20" s="1077"/>
      <c r="BV20" s="1077"/>
      <c r="BW20" s="1077"/>
      <c r="BX20" s="1077"/>
      <c r="BY20" s="1077"/>
      <c r="BZ20" s="1077"/>
      <c r="CA20" s="1077"/>
      <c r="CB20" s="1077"/>
      <c r="CC20" s="1077"/>
      <c r="CD20" s="1077"/>
      <c r="CE20" s="1077"/>
      <c r="CF20" s="1077"/>
      <c r="CG20" s="1077"/>
      <c r="CH20" s="1077"/>
      <c r="CI20" s="1077"/>
      <c r="CJ20" s="1077"/>
      <c r="CK20" s="1077"/>
      <c r="CL20" s="1077"/>
      <c r="CM20" s="1077"/>
      <c r="CN20" s="1077"/>
      <c r="CO20" s="1077"/>
      <c r="CP20" s="1077"/>
      <c r="CQ20" s="1077"/>
      <c r="CR20" s="1077"/>
      <c r="CS20" s="1077"/>
      <c r="CT20" s="1077"/>
      <c r="CU20" s="1077"/>
      <c r="CV20" s="1077"/>
      <c r="CW20" s="1077"/>
      <c r="CX20" s="1077"/>
      <c r="CY20" s="1077"/>
      <c r="CZ20" s="1077"/>
      <c r="DA20" s="1077"/>
      <c r="DB20" s="1077"/>
      <c r="DC20" s="1077"/>
      <c r="DD20" s="1077"/>
      <c r="DE20" s="1077"/>
      <c r="DF20" s="1077"/>
      <c r="DG20" s="1077"/>
      <c r="DH20" s="1077"/>
      <c r="DI20" s="1077"/>
      <c r="DJ20" s="1077"/>
      <c r="DK20" s="1077"/>
      <c r="DL20" s="1077"/>
      <c r="DM20" s="1077"/>
      <c r="DN20" s="1077"/>
      <c r="DO20" s="1077"/>
      <c r="DP20" s="1077"/>
      <c r="DQ20" s="1077"/>
      <c r="DR20" s="1077"/>
      <c r="DS20" s="1077"/>
      <c r="DT20" s="1077"/>
      <c r="DU20" s="1077"/>
      <c r="DV20" s="1077"/>
      <c r="DW20" s="1077"/>
      <c r="DX20" s="1077"/>
      <c r="DY20" s="1077"/>
      <c r="DZ20" s="1077"/>
      <c r="EA20" s="1077"/>
      <c r="EB20" s="1077"/>
      <c r="EC20" s="1077"/>
      <c r="ED20" s="1077"/>
      <c r="EE20" s="1077"/>
      <c r="EF20" s="1077"/>
      <c r="EG20" s="1077"/>
      <c r="EH20" s="1077"/>
      <c r="EI20" s="1077"/>
      <c r="EJ20" s="1077"/>
      <c r="EK20" s="1077"/>
      <c r="EL20" s="1142"/>
    </row>
    <row r="21" spans="1:166" ht="3.75" customHeight="1" x14ac:dyDescent="0.25">
      <c r="N21" s="1135"/>
      <c r="O21" s="1136"/>
      <c r="P21" s="1136"/>
      <c r="Q21" s="1136"/>
      <c r="R21" s="1136"/>
      <c r="S21" s="1136"/>
      <c r="T21" s="1136"/>
      <c r="U21" s="1136"/>
      <c r="V21" s="1136"/>
      <c r="W21" s="1136"/>
      <c r="X21" s="1136"/>
      <c r="Y21" s="1136"/>
      <c r="Z21" s="1136"/>
      <c r="AA21" s="1136"/>
      <c r="AB21" s="1136"/>
      <c r="AC21" s="1136"/>
      <c r="AD21" s="1136"/>
      <c r="AE21" s="1137"/>
      <c r="AT21" s="1118"/>
      <c r="AU21" s="1119"/>
      <c r="AV21" s="1119"/>
      <c r="AW21" s="1119"/>
      <c r="AX21" s="1119"/>
      <c r="AY21" s="1119"/>
      <c r="AZ21" s="1119"/>
      <c r="BA21" s="1119"/>
      <c r="BB21" s="1119"/>
      <c r="BC21" s="1119"/>
      <c r="BD21" s="1119"/>
      <c r="BE21" s="1119"/>
      <c r="BF21" s="1119"/>
      <c r="BG21" s="1119"/>
      <c r="BH21" s="1119"/>
      <c r="BI21" s="1119"/>
      <c r="BJ21" s="1119"/>
      <c r="BK21" s="1119"/>
      <c r="BL21" s="1119"/>
      <c r="BM21" s="1119"/>
      <c r="BN21" s="1119"/>
      <c r="BO21" s="1119"/>
      <c r="BP21" s="1119"/>
      <c r="BQ21" s="1120"/>
      <c r="BS21" s="1143"/>
      <c r="BT21" s="1144"/>
      <c r="BU21" s="1144"/>
      <c r="BV21" s="1144"/>
      <c r="BW21" s="1144"/>
      <c r="BX21" s="1144"/>
      <c r="BY21" s="1144"/>
      <c r="BZ21" s="1144"/>
      <c r="CA21" s="1144"/>
      <c r="CB21" s="1144"/>
      <c r="CC21" s="1144"/>
      <c r="CD21" s="1144"/>
      <c r="CE21" s="1144"/>
      <c r="CF21" s="1144"/>
      <c r="CG21" s="1144"/>
      <c r="CH21" s="1144"/>
      <c r="CI21" s="1144"/>
      <c r="CJ21" s="1144"/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4"/>
      <c r="CU21" s="1144"/>
      <c r="CV21" s="1144"/>
      <c r="CW21" s="1144"/>
      <c r="CX21" s="1144"/>
      <c r="CY21" s="1144"/>
      <c r="CZ21" s="1144"/>
      <c r="DA21" s="1144"/>
      <c r="DB21" s="1144"/>
      <c r="DC21" s="1144"/>
      <c r="DD21" s="1144"/>
      <c r="DE21" s="1144"/>
      <c r="DF21" s="1144"/>
      <c r="DG21" s="1144"/>
      <c r="DH21" s="1144"/>
      <c r="DI21" s="1144"/>
      <c r="DJ21" s="1144"/>
      <c r="DK21" s="1144"/>
      <c r="DL21" s="1144"/>
      <c r="DM21" s="1144"/>
      <c r="DN21" s="1144"/>
      <c r="DO21" s="1144"/>
      <c r="DP21" s="1144"/>
      <c r="DQ21" s="1144"/>
      <c r="DR21" s="1144"/>
      <c r="DS21" s="1144"/>
      <c r="DT21" s="1144"/>
      <c r="DU21" s="1144"/>
      <c r="DV21" s="1144"/>
      <c r="DW21" s="1144"/>
      <c r="DX21" s="1144"/>
      <c r="DY21" s="1144"/>
      <c r="DZ21" s="1144"/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4"/>
      <c r="EK21" s="1144"/>
      <c r="EL21" s="1145"/>
    </row>
    <row r="22" spans="1:166" ht="3.75" customHeight="1" thickBot="1" x14ac:dyDescent="0.3">
      <c r="A22" s="355"/>
      <c r="B22" s="355"/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  <c r="W22" s="355"/>
      <c r="X22" s="355"/>
      <c r="Y22" s="355"/>
      <c r="Z22" s="355"/>
      <c r="AA22" s="355"/>
      <c r="AB22" s="355"/>
      <c r="AC22" s="355"/>
      <c r="AD22" s="355"/>
      <c r="AE22" s="355"/>
      <c r="AF22" s="355"/>
      <c r="AG22" s="355"/>
      <c r="AH22" s="355"/>
      <c r="AI22" s="355"/>
      <c r="AJ22" s="355"/>
      <c r="AK22" s="355"/>
      <c r="AL22" s="355"/>
      <c r="AM22" s="355"/>
      <c r="AN22" s="355"/>
      <c r="AO22" s="355"/>
      <c r="AP22" s="355"/>
      <c r="AQ22" s="355"/>
      <c r="AR22" s="355"/>
      <c r="AS22" s="355"/>
      <c r="AT22" s="355"/>
      <c r="AU22" s="355"/>
      <c r="AV22" s="355"/>
      <c r="AW22" s="355"/>
      <c r="AX22" s="355"/>
      <c r="AY22" s="355"/>
      <c r="AZ22" s="355"/>
      <c r="BA22" s="355"/>
      <c r="BB22" s="355"/>
      <c r="BC22" s="355"/>
      <c r="BD22" s="355"/>
      <c r="BE22" s="355"/>
      <c r="BF22" s="355"/>
      <c r="BG22" s="355"/>
      <c r="BH22" s="355"/>
      <c r="BI22" s="355"/>
      <c r="BJ22" s="355"/>
      <c r="BK22" s="355"/>
      <c r="BL22" s="355"/>
      <c r="BM22" s="355"/>
      <c r="BN22" s="355"/>
      <c r="BO22" s="355"/>
      <c r="BP22" s="355"/>
      <c r="BQ22" s="355"/>
      <c r="BR22" s="355"/>
      <c r="BS22" s="355"/>
      <c r="BT22" s="355"/>
      <c r="BU22" s="355"/>
      <c r="BV22" s="355"/>
      <c r="BW22" s="355"/>
      <c r="BX22" s="355"/>
      <c r="BY22" s="355"/>
      <c r="BZ22" s="355"/>
      <c r="CA22" s="355"/>
      <c r="CB22" s="355"/>
      <c r="CC22" s="355"/>
      <c r="CD22" s="355"/>
      <c r="CE22" s="355"/>
      <c r="CF22" s="355"/>
      <c r="CG22" s="355"/>
      <c r="CH22" s="355"/>
      <c r="CI22" s="355"/>
      <c r="CJ22" s="355"/>
      <c r="CK22" s="355"/>
      <c r="CL22" s="355"/>
      <c r="CM22" s="355"/>
      <c r="CN22" s="355"/>
      <c r="CO22" s="355"/>
      <c r="CP22" s="355"/>
      <c r="CQ22" s="355"/>
      <c r="CR22" s="355"/>
      <c r="CS22" s="355"/>
      <c r="CT22" s="355"/>
      <c r="CU22" s="355"/>
      <c r="CV22" s="355"/>
      <c r="CW22" s="355"/>
      <c r="CX22" s="355"/>
      <c r="CY22" s="355"/>
      <c r="CZ22" s="355"/>
      <c r="DA22" s="355"/>
      <c r="DB22" s="355"/>
      <c r="DC22" s="355"/>
      <c r="DD22" s="355"/>
      <c r="DE22" s="355"/>
      <c r="DF22" s="355"/>
      <c r="DG22" s="355"/>
      <c r="DH22" s="355"/>
      <c r="DI22" s="355"/>
      <c r="DJ22" s="355"/>
      <c r="DK22" s="355"/>
      <c r="DL22" s="355"/>
      <c r="DM22" s="355"/>
      <c r="DN22" s="355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  <c r="ED22" s="355"/>
      <c r="EE22" s="355"/>
      <c r="EF22" s="355"/>
      <c r="EG22" s="355"/>
      <c r="EH22" s="355"/>
      <c r="EI22" s="355"/>
      <c r="EJ22" s="355"/>
      <c r="EK22" s="355"/>
      <c r="EL22" s="355"/>
    </row>
    <row r="23" spans="1:166" ht="3.75" customHeight="1" x14ac:dyDescent="0.25">
      <c r="DQ23" s="1128" t="s">
        <v>641</v>
      </c>
      <c r="DR23" s="1128"/>
      <c r="DS23" s="1128"/>
      <c r="DT23" s="1128"/>
      <c r="DU23" s="1128"/>
      <c r="DV23" s="1128"/>
      <c r="DW23" s="1128"/>
      <c r="DX23" s="1128"/>
      <c r="DY23" s="1128"/>
      <c r="DZ23" s="1128"/>
      <c r="EA23" s="1128"/>
      <c r="EB23" s="1128"/>
      <c r="EC23" s="1128"/>
      <c r="ED23" s="1128"/>
      <c r="EE23" s="1128"/>
      <c r="EF23" s="1128"/>
      <c r="EG23" s="1128"/>
      <c r="EH23" s="1128"/>
      <c r="EI23" s="1128"/>
      <c r="EJ23" s="1128"/>
      <c r="EK23" s="1128"/>
      <c r="EL23" s="1128"/>
    </row>
    <row r="24" spans="1:166" ht="3.75" customHeight="1" x14ac:dyDescent="0.3">
      <c r="N24" s="779" t="str">
        <f>CONCATENATE("Closet Factory, Deerfield"," - ",'Data Entry'!F3)</f>
        <v>Closet Factory, Deerfield - SCOTT</v>
      </c>
      <c r="O24" s="779"/>
      <c r="P24" s="779"/>
      <c r="Q24" s="779"/>
      <c r="R24" s="779"/>
      <c r="S24" s="779"/>
      <c r="T24" s="779"/>
      <c r="U24" s="779"/>
      <c r="V24" s="779"/>
      <c r="W24" s="779"/>
      <c r="X24" s="779"/>
      <c r="Y24" s="779"/>
      <c r="Z24" s="779"/>
      <c r="AA24" s="779"/>
      <c r="AB24" s="779"/>
      <c r="AC24" s="779"/>
      <c r="AD24" s="779"/>
      <c r="AE24" s="779"/>
      <c r="AF24" s="779"/>
      <c r="AG24" s="779"/>
      <c r="AH24" s="779"/>
      <c r="AI24" s="779"/>
      <c r="AJ24" s="779"/>
      <c r="AK24" s="779"/>
      <c r="AL24" s="779"/>
      <c r="AM24" s="779"/>
      <c r="AN24" s="779"/>
      <c r="AO24" s="779"/>
      <c r="AP24" s="779"/>
      <c r="AQ24" s="779"/>
      <c r="AR24" s="779"/>
      <c r="AS24" s="779"/>
      <c r="AT24" s="779"/>
      <c r="AU24" s="779"/>
      <c r="AV24" s="779"/>
      <c r="AW24" s="779"/>
      <c r="AX24" s="779"/>
      <c r="AY24" s="779"/>
      <c r="AZ24" s="779"/>
      <c r="BA24" s="779"/>
      <c r="BB24" s="779"/>
      <c r="BC24" s="779"/>
      <c r="BD24" s="779"/>
      <c r="BE24" s="779"/>
      <c r="BF24" s="779"/>
      <c r="BG24" s="779"/>
      <c r="BH24" s="779"/>
      <c r="BI24" s="779"/>
      <c r="BJ24" s="779"/>
      <c r="BT24" s="779" t="s">
        <v>640</v>
      </c>
      <c r="BU24" s="779"/>
      <c r="BV24" s="779"/>
      <c r="BW24" s="779"/>
      <c r="BX24" s="779"/>
      <c r="BY24" s="779"/>
      <c r="BZ24" s="779"/>
      <c r="CA24" s="779"/>
      <c r="CB24" s="779"/>
      <c r="CC24" s="779"/>
      <c r="CD24" s="779"/>
      <c r="CE24" s="779"/>
      <c r="CF24" s="779"/>
      <c r="CG24" s="779"/>
      <c r="CH24" s="779"/>
      <c r="CI24" s="779"/>
      <c r="CJ24" s="779"/>
      <c r="CK24" s="779"/>
      <c r="CL24" s="779"/>
      <c r="CM24" s="779"/>
      <c r="CN24" s="779"/>
      <c r="CO24" s="779"/>
      <c r="CP24" s="779"/>
      <c r="CQ24" s="779"/>
      <c r="CS24" s="372"/>
      <c r="CT24" s="372"/>
      <c r="CY24" s="697">
        <f ca="1">TODAY()</f>
        <v>46160</v>
      </c>
      <c r="CZ24" s="631"/>
      <c r="DA24" s="631"/>
      <c r="DB24" s="631"/>
      <c r="DC24" s="631"/>
      <c r="DD24" s="631"/>
      <c r="DE24" s="631"/>
      <c r="DF24" s="631"/>
      <c r="DG24" s="631"/>
      <c r="DH24" s="631"/>
      <c r="DI24" s="631"/>
      <c r="DJ24" s="631"/>
      <c r="DK24" s="631"/>
      <c r="DL24" s="631"/>
      <c r="DM24" s="631"/>
      <c r="DN24" s="631"/>
      <c r="DO24" s="631"/>
      <c r="DQ24" s="1091"/>
      <c r="DR24" s="1091"/>
      <c r="DS24" s="1091"/>
      <c r="DT24" s="1091"/>
      <c r="DU24" s="1091"/>
      <c r="DV24" s="1091"/>
      <c r="DW24" s="1091"/>
      <c r="DX24" s="1091"/>
      <c r="DY24" s="1091"/>
      <c r="DZ24" s="1091"/>
      <c r="EA24" s="1091"/>
      <c r="EB24" s="1091"/>
      <c r="EC24" s="1091"/>
      <c r="ED24" s="1091"/>
      <c r="EE24" s="1091"/>
      <c r="EF24" s="1091"/>
      <c r="EG24" s="1091"/>
      <c r="EH24" s="1091"/>
      <c r="EI24" s="1091"/>
      <c r="EJ24" s="1091"/>
      <c r="EK24" s="1091"/>
      <c r="EL24" s="1091"/>
    </row>
    <row r="25" spans="1:166" ht="3.75" customHeight="1" x14ac:dyDescent="0.25">
      <c r="A25" s="1146" t="s">
        <v>639</v>
      </c>
      <c r="B25" s="1146"/>
      <c r="C25" s="1146"/>
      <c r="D25" s="1146"/>
      <c r="E25" s="1146"/>
      <c r="F25" s="1146"/>
      <c r="G25" s="1146"/>
      <c r="H25" s="1146"/>
      <c r="I25" s="1146"/>
      <c r="J25" s="1146"/>
      <c r="K25" s="1146"/>
      <c r="L25" s="1146"/>
      <c r="M25" s="1146"/>
      <c r="N25" s="779"/>
      <c r="O25" s="779"/>
      <c r="P25" s="779"/>
      <c r="Q25" s="779"/>
      <c r="R25" s="779"/>
      <c r="S25" s="779"/>
      <c r="T25" s="779"/>
      <c r="U25" s="779"/>
      <c r="V25" s="779"/>
      <c r="W25" s="779"/>
      <c r="X25" s="779"/>
      <c r="Y25" s="779"/>
      <c r="Z25" s="779"/>
      <c r="AA25" s="779"/>
      <c r="AB25" s="779"/>
      <c r="AC25" s="779"/>
      <c r="AD25" s="779"/>
      <c r="AE25" s="779"/>
      <c r="AF25" s="779"/>
      <c r="AG25" s="779"/>
      <c r="AH25" s="779"/>
      <c r="AI25" s="779"/>
      <c r="AJ25" s="779"/>
      <c r="AK25" s="779"/>
      <c r="AL25" s="779"/>
      <c r="AM25" s="779"/>
      <c r="AN25" s="779"/>
      <c r="AO25" s="779"/>
      <c r="AP25" s="779"/>
      <c r="AQ25" s="779"/>
      <c r="AR25" s="779"/>
      <c r="AS25" s="779"/>
      <c r="AT25" s="779"/>
      <c r="AU25" s="779"/>
      <c r="AV25" s="779"/>
      <c r="AW25" s="779"/>
      <c r="AX25" s="779"/>
      <c r="AY25" s="779"/>
      <c r="AZ25" s="779"/>
      <c r="BA25" s="779"/>
      <c r="BB25" s="779"/>
      <c r="BC25" s="779"/>
      <c r="BD25" s="779"/>
      <c r="BE25" s="779"/>
      <c r="BF25" s="779"/>
      <c r="BG25" s="779"/>
      <c r="BH25" s="779"/>
      <c r="BI25" s="779"/>
      <c r="BJ25" s="779"/>
      <c r="BL25" s="631" t="s">
        <v>638</v>
      </c>
      <c r="BM25" s="631"/>
      <c r="BN25" s="631"/>
      <c r="BO25" s="631"/>
      <c r="BP25" s="631"/>
      <c r="BQ25" s="631"/>
      <c r="BR25" s="631"/>
      <c r="BS25" s="631"/>
      <c r="BT25" s="779"/>
      <c r="BU25" s="779"/>
      <c r="BV25" s="779"/>
      <c r="BW25" s="779"/>
      <c r="BX25" s="779"/>
      <c r="BY25" s="779"/>
      <c r="BZ25" s="779"/>
      <c r="CA25" s="779"/>
      <c r="CB25" s="779"/>
      <c r="CC25" s="779"/>
      <c r="CD25" s="779"/>
      <c r="CE25" s="779"/>
      <c r="CF25" s="779"/>
      <c r="CG25" s="779"/>
      <c r="CH25" s="779"/>
      <c r="CI25" s="779"/>
      <c r="CJ25" s="779"/>
      <c r="CK25" s="779"/>
      <c r="CL25" s="779"/>
      <c r="CM25" s="779"/>
      <c r="CN25" s="779"/>
      <c r="CO25" s="779"/>
      <c r="CP25" s="779"/>
      <c r="CQ25" s="779"/>
      <c r="CS25" s="631" t="s">
        <v>114</v>
      </c>
      <c r="CT25" s="631"/>
      <c r="CU25" s="631"/>
      <c r="CV25" s="631"/>
      <c r="CW25" s="631"/>
      <c r="CX25" s="631"/>
      <c r="CY25" s="631"/>
      <c r="CZ25" s="631"/>
      <c r="DA25" s="631"/>
      <c r="DB25" s="631"/>
      <c r="DC25" s="631"/>
      <c r="DD25" s="631"/>
      <c r="DE25" s="631"/>
      <c r="DF25" s="631"/>
      <c r="DG25" s="631"/>
      <c r="DH25" s="631"/>
      <c r="DI25" s="631"/>
      <c r="DJ25" s="631"/>
      <c r="DK25" s="631"/>
      <c r="DL25" s="631"/>
      <c r="DM25" s="631"/>
      <c r="DN25" s="631"/>
      <c r="DO25" s="631"/>
      <c r="DQ25" s="1091"/>
      <c r="DR25" s="1091"/>
      <c r="DS25" s="1091"/>
      <c r="DT25" s="1091"/>
      <c r="DU25" s="1091"/>
      <c r="DV25" s="1091"/>
      <c r="DW25" s="1091"/>
      <c r="DX25" s="1091"/>
      <c r="DY25" s="1091"/>
      <c r="DZ25" s="1091"/>
      <c r="EA25" s="1091"/>
      <c r="EB25" s="1091"/>
      <c r="EC25" s="1091"/>
      <c r="ED25" s="1091"/>
      <c r="EE25" s="1091"/>
      <c r="EF25" s="1091"/>
      <c r="EG25" s="1091"/>
      <c r="EH25" s="1091"/>
      <c r="EI25" s="1091"/>
      <c r="EJ25" s="1091"/>
      <c r="EK25" s="1091"/>
      <c r="EL25" s="1091"/>
    </row>
    <row r="26" spans="1:166" ht="3.75" customHeight="1" x14ac:dyDescent="0.25">
      <c r="A26" s="1146"/>
      <c r="B26" s="1146"/>
      <c r="C26" s="1146"/>
      <c r="D26" s="1146"/>
      <c r="E26" s="1146"/>
      <c r="F26" s="1146"/>
      <c r="G26" s="1146"/>
      <c r="H26" s="1146"/>
      <c r="I26" s="1146"/>
      <c r="J26" s="1146"/>
      <c r="K26" s="1146"/>
      <c r="L26" s="1146"/>
      <c r="M26" s="1146"/>
      <c r="N26" s="779"/>
      <c r="O26" s="779"/>
      <c r="P26" s="779"/>
      <c r="Q26" s="779"/>
      <c r="R26" s="779"/>
      <c r="S26" s="779"/>
      <c r="T26" s="779"/>
      <c r="U26" s="779"/>
      <c r="V26" s="779"/>
      <c r="W26" s="779"/>
      <c r="X26" s="779"/>
      <c r="Y26" s="779"/>
      <c r="Z26" s="779"/>
      <c r="AA26" s="779"/>
      <c r="AB26" s="779"/>
      <c r="AC26" s="779"/>
      <c r="AD26" s="779"/>
      <c r="AE26" s="779"/>
      <c r="AF26" s="779"/>
      <c r="AG26" s="779"/>
      <c r="AH26" s="779"/>
      <c r="AI26" s="779"/>
      <c r="AJ26" s="779"/>
      <c r="AK26" s="779"/>
      <c r="AL26" s="779"/>
      <c r="AM26" s="779"/>
      <c r="AN26" s="779"/>
      <c r="AO26" s="779"/>
      <c r="AP26" s="779"/>
      <c r="AQ26" s="779"/>
      <c r="AR26" s="779"/>
      <c r="AS26" s="779"/>
      <c r="AT26" s="779"/>
      <c r="AU26" s="779"/>
      <c r="AV26" s="779"/>
      <c r="AW26" s="779"/>
      <c r="AX26" s="779"/>
      <c r="AY26" s="779"/>
      <c r="AZ26" s="779"/>
      <c r="BA26" s="779"/>
      <c r="BB26" s="779"/>
      <c r="BC26" s="779"/>
      <c r="BD26" s="779"/>
      <c r="BE26" s="779"/>
      <c r="BF26" s="779"/>
      <c r="BG26" s="779"/>
      <c r="BH26" s="779"/>
      <c r="BI26" s="779"/>
      <c r="BJ26" s="779"/>
      <c r="BL26" s="631"/>
      <c r="BM26" s="631"/>
      <c r="BN26" s="631"/>
      <c r="BO26" s="631"/>
      <c r="BP26" s="631"/>
      <c r="BQ26" s="631"/>
      <c r="BR26" s="631"/>
      <c r="BS26" s="631"/>
      <c r="BT26" s="779"/>
      <c r="BU26" s="779"/>
      <c r="BV26" s="779"/>
      <c r="BW26" s="779"/>
      <c r="BX26" s="779"/>
      <c r="BY26" s="779"/>
      <c r="BZ26" s="779"/>
      <c r="CA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P26" s="779"/>
      <c r="CQ26" s="779"/>
      <c r="CS26" s="631"/>
      <c r="CT26" s="631"/>
      <c r="CU26" s="631"/>
      <c r="CV26" s="631"/>
      <c r="CW26" s="631"/>
      <c r="CX26" s="631"/>
      <c r="CY26" s="631"/>
      <c r="CZ26" s="631"/>
      <c r="DA26" s="631"/>
      <c r="DB26" s="631"/>
      <c r="DC26" s="631"/>
      <c r="DD26" s="631"/>
      <c r="DE26" s="631"/>
      <c r="DF26" s="631"/>
      <c r="DG26" s="631"/>
      <c r="DH26" s="631"/>
      <c r="DI26" s="631"/>
      <c r="DJ26" s="631"/>
      <c r="DK26" s="631"/>
      <c r="DL26" s="631"/>
      <c r="DM26" s="631"/>
      <c r="DN26" s="631"/>
      <c r="DO26" s="631"/>
      <c r="DQ26" s="1091" t="s">
        <v>637</v>
      </c>
      <c r="DR26" s="1091"/>
      <c r="DS26" s="1091"/>
      <c r="DT26" s="1091"/>
      <c r="DU26" s="1091"/>
      <c r="DV26" s="1091"/>
      <c r="DW26" s="1091"/>
      <c r="DX26" s="1091"/>
      <c r="DY26" s="1091"/>
      <c r="DZ26" s="1091"/>
      <c r="EA26" s="1091"/>
      <c r="EB26" s="1091"/>
      <c r="EC26" s="1091"/>
      <c r="ED26" s="1091"/>
      <c r="EE26" s="1091"/>
      <c r="EF26" s="1091"/>
      <c r="EG26" s="1091"/>
      <c r="EH26" s="1091"/>
      <c r="EI26" s="1091"/>
      <c r="EJ26" s="1091"/>
      <c r="EK26" s="1091"/>
      <c r="EL26" s="1091"/>
    </row>
    <row r="27" spans="1:166" ht="3.75" customHeight="1" x14ac:dyDescent="0.25">
      <c r="A27" s="1146"/>
      <c r="B27" s="1146"/>
      <c r="C27" s="1146"/>
      <c r="D27" s="1146"/>
      <c r="E27" s="1146"/>
      <c r="F27" s="1146"/>
      <c r="G27" s="1146"/>
      <c r="H27" s="1146"/>
      <c r="I27" s="1146"/>
      <c r="J27" s="1146"/>
      <c r="K27" s="1146"/>
      <c r="L27" s="1146"/>
      <c r="M27" s="1146"/>
      <c r="N27" s="1147"/>
      <c r="O27" s="1147"/>
      <c r="P27" s="1147"/>
      <c r="Q27" s="1147"/>
      <c r="R27" s="1147"/>
      <c r="S27" s="1147"/>
      <c r="T27" s="1147"/>
      <c r="U27" s="1147"/>
      <c r="V27" s="1147"/>
      <c r="W27" s="1147"/>
      <c r="X27" s="1147"/>
      <c r="Y27" s="1147"/>
      <c r="Z27" s="1147"/>
      <c r="AA27" s="1147"/>
      <c r="AB27" s="1147"/>
      <c r="AC27" s="1147"/>
      <c r="AD27" s="1147"/>
      <c r="AE27" s="1147"/>
      <c r="AF27" s="1147"/>
      <c r="AG27" s="1147"/>
      <c r="AH27" s="1147"/>
      <c r="AI27" s="1147"/>
      <c r="AJ27" s="1147"/>
      <c r="AK27" s="1147"/>
      <c r="AL27" s="1147"/>
      <c r="AM27" s="1147"/>
      <c r="AN27" s="1147"/>
      <c r="AO27" s="1147"/>
      <c r="AP27" s="1147"/>
      <c r="AQ27" s="1147"/>
      <c r="AR27" s="1147"/>
      <c r="AS27" s="1147"/>
      <c r="AT27" s="1147"/>
      <c r="AU27" s="1147"/>
      <c r="AV27" s="1147"/>
      <c r="AW27" s="1147"/>
      <c r="AX27" s="1147"/>
      <c r="AY27" s="1147"/>
      <c r="AZ27" s="1147"/>
      <c r="BA27" s="1147"/>
      <c r="BB27" s="1147"/>
      <c r="BC27" s="1147"/>
      <c r="BD27" s="1147"/>
      <c r="BE27" s="1147"/>
      <c r="BF27" s="1147"/>
      <c r="BG27" s="1147"/>
      <c r="BH27" s="1147"/>
      <c r="BI27" s="1147"/>
      <c r="BJ27" s="1147"/>
      <c r="BL27" s="631"/>
      <c r="BM27" s="631"/>
      <c r="BN27" s="631"/>
      <c r="BO27" s="631"/>
      <c r="BP27" s="631"/>
      <c r="BQ27" s="631"/>
      <c r="BR27" s="631"/>
      <c r="BS27" s="631"/>
      <c r="BT27" s="1147"/>
      <c r="BU27" s="1147"/>
      <c r="BV27" s="1147"/>
      <c r="BW27" s="1147"/>
      <c r="BX27" s="1147"/>
      <c r="BY27" s="1147"/>
      <c r="BZ27" s="1147"/>
      <c r="CA27" s="1147"/>
      <c r="CB27" s="1147"/>
      <c r="CC27" s="1147"/>
      <c r="CD27" s="1147"/>
      <c r="CE27" s="1147"/>
      <c r="CF27" s="1147"/>
      <c r="CG27" s="1147"/>
      <c r="CH27" s="1147"/>
      <c r="CI27" s="1147"/>
      <c r="CJ27" s="1147"/>
      <c r="CK27" s="1147"/>
      <c r="CL27" s="1147"/>
      <c r="CM27" s="1147"/>
      <c r="CN27" s="1147"/>
      <c r="CO27" s="1147"/>
      <c r="CP27" s="1147"/>
      <c r="CQ27" s="1147"/>
      <c r="CS27" s="631"/>
      <c r="CT27" s="631"/>
      <c r="CU27" s="631"/>
      <c r="CV27" s="631"/>
      <c r="CW27" s="631"/>
      <c r="CX27" s="631"/>
      <c r="CY27" s="1084"/>
      <c r="CZ27" s="1084"/>
      <c r="DA27" s="1084"/>
      <c r="DB27" s="1084"/>
      <c r="DC27" s="1084"/>
      <c r="DD27" s="1084"/>
      <c r="DE27" s="1084"/>
      <c r="DF27" s="1084"/>
      <c r="DG27" s="1084"/>
      <c r="DH27" s="1084"/>
      <c r="DI27" s="1084"/>
      <c r="DJ27" s="1084"/>
      <c r="DK27" s="1084"/>
      <c r="DL27" s="1084"/>
      <c r="DM27" s="1084"/>
      <c r="DN27" s="1084"/>
      <c r="DO27" s="1084"/>
      <c r="DQ27" s="1091"/>
      <c r="DR27" s="1091"/>
      <c r="DS27" s="1091"/>
      <c r="DT27" s="1091"/>
      <c r="DU27" s="1091"/>
      <c r="DV27" s="1091"/>
      <c r="DW27" s="1091"/>
      <c r="DX27" s="1091"/>
      <c r="DY27" s="1091"/>
      <c r="DZ27" s="1091"/>
      <c r="EA27" s="1091"/>
      <c r="EB27" s="1091"/>
      <c r="EC27" s="1091"/>
      <c r="ED27" s="1091"/>
      <c r="EE27" s="1091"/>
      <c r="EF27" s="1091"/>
      <c r="EG27" s="1091"/>
      <c r="EH27" s="1091"/>
      <c r="EI27" s="1091"/>
      <c r="EJ27" s="1091"/>
      <c r="EK27" s="1091"/>
      <c r="EL27" s="1091"/>
      <c r="EM27" s="1086" t="s">
        <v>636</v>
      </c>
      <c r="EN27" s="1086"/>
      <c r="EO27" s="1086"/>
      <c r="EP27" s="1086"/>
      <c r="EQ27" s="1086"/>
      <c r="ER27" s="1086"/>
      <c r="ES27" s="1086"/>
      <c r="ET27" s="1086"/>
      <c r="EU27" s="1086"/>
      <c r="EV27" s="1086"/>
      <c r="EW27" s="1086"/>
      <c r="EX27" s="1086"/>
      <c r="EY27" s="1086"/>
      <c r="EZ27" s="1086"/>
      <c r="FA27" s="1086"/>
      <c r="FB27" s="1086"/>
      <c r="FC27" s="1086"/>
      <c r="FD27" s="1086"/>
      <c r="FE27" s="1086"/>
      <c r="FF27" s="1086"/>
      <c r="FG27" s="1086"/>
      <c r="FH27" s="1086"/>
      <c r="FI27" s="1086"/>
      <c r="FJ27" s="1086"/>
    </row>
    <row r="28" spans="1:166" ht="3.75" customHeight="1" x14ac:dyDescent="0.25">
      <c r="DQ28" s="1091"/>
      <c r="DR28" s="1091"/>
      <c r="DS28" s="1091"/>
      <c r="DT28" s="1091"/>
      <c r="DU28" s="1091"/>
      <c r="DV28" s="1091"/>
      <c r="DW28" s="1091"/>
      <c r="DX28" s="1091"/>
      <c r="DY28" s="1091"/>
      <c r="DZ28" s="1091"/>
      <c r="EA28" s="1091"/>
      <c r="EB28" s="1091"/>
      <c r="EC28" s="1091"/>
      <c r="ED28" s="1091"/>
      <c r="EE28" s="1091"/>
      <c r="EF28" s="1091"/>
      <c r="EG28" s="1091"/>
      <c r="EH28" s="1091"/>
      <c r="EI28" s="1091"/>
      <c r="EJ28" s="1091"/>
      <c r="EK28" s="1091"/>
      <c r="EL28" s="1091"/>
      <c r="EM28" s="1086"/>
      <c r="EN28" s="1086"/>
      <c r="EO28" s="1086"/>
      <c r="EP28" s="1086"/>
      <c r="EQ28" s="1086"/>
      <c r="ER28" s="1086"/>
      <c r="ES28" s="1086"/>
      <c r="ET28" s="1086"/>
      <c r="EU28" s="1086"/>
      <c r="EV28" s="1086"/>
      <c r="EW28" s="1086"/>
      <c r="EX28" s="1086"/>
      <c r="EY28" s="1086"/>
      <c r="EZ28" s="1086"/>
      <c r="FA28" s="1086"/>
      <c r="FB28" s="1086"/>
      <c r="FC28" s="1086"/>
      <c r="FD28" s="1086"/>
      <c r="FE28" s="1086"/>
      <c r="FF28" s="1086"/>
      <c r="FG28" s="1086"/>
      <c r="FH28" s="1086"/>
      <c r="FI28" s="1086"/>
      <c r="FJ28" s="1086"/>
    </row>
    <row r="29" spans="1:166" ht="3.75" customHeight="1" thickBot="1" x14ac:dyDescent="0.3">
      <c r="A29" s="355"/>
      <c r="B29" s="355"/>
      <c r="C29" s="355"/>
      <c r="D29" s="355"/>
      <c r="E29" s="355"/>
      <c r="F29" s="355"/>
      <c r="G29" s="355"/>
      <c r="H29" s="355"/>
      <c r="I29" s="355"/>
      <c r="J29" s="355"/>
      <c r="K29" s="355"/>
      <c r="L29" s="355"/>
      <c r="M29" s="355"/>
      <c r="N29" s="355"/>
      <c r="O29" s="355"/>
      <c r="P29" s="355"/>
      <c r="Q29" s="355"/>
      <c r="R29" s="355"/>
      <c r="S29" s="355"/>
      <c r="T29" s="355"/>
      <c r="U29" s="355"/>
      <c r="V29" s="355"/>
      <c r="W29" s="355"/>
      <c r="X29" s="355"/>
      <c r="Y29" s="355"/>
      <c r="Z29" s="355"/>
      <c r="AA29" s="355"/>
      <c r="AB29" s="355"/>
      <c r="AC29" s="355"/>
      <c r="AD29" s="355"/>
      <c r="AE29" s="355"/>
      <c r="AF29" s="355"/>
      <c r="AG29" s="355"/>
      <c r="AH29" s="355"/>
      <c r="AI29" s="355"/>
      <c r="AJ29" s="355"/>
      <c r="AK29" s="355"/>
      <c r="AL29" s="355"/>
      <c r="AM29" s="355"/>
      <c r="AN29" s="355"/>
      <c r="AO29" s="355"/>
      <c r="AP29" s="355"/>
      <c r="AQ29" s="355"/>
      <c r="AR29" s="355"/>
      <c r="AS29" s="355"/>
      <c r="AT29" s="355"/>
      <c r="AU29" s="355"/>
      <c r="AV29" s="355"/>
      <c r="AW29" s="355"/>
      <c r="AX29" s="355"/>
      <c r="AY29" s="355"/>
      <c r="AZ29" s="355"/>
      <c r="BA29" s="355"/>
      <c r="BB29" s="355"/>
      <c r="BC29" s="355"/>
      <c r="BD29" s="355"/>
      <c r="BE29" s="355"/>
      <c r="BF29" s="355"/>
      <c r="BG29" s="355"/>
      <c r="BH29" s="355"/>
      <c r="BI29" s="355"/>
      <c r="BJ29" s="355"/>
      <c r="BK29" s="355"/>
      <c r="BL29" s="355"/>
      <c r="BM29" s="355"/>
      <c r="BN29" s="355"/>
      <c r="BO29" s="355"/>
      <c r="BP29" s="355"/>
      <c r="BQ29" s="355"/>
      <c r="BR29" s="355"/>
      <c r="BS29" s="355"/>
      <c r="BT29" s="355"/>
      <c r="BU29" s="355"/>
      <c r="BV29" s="355"/>
      <c r="BW29" s="355"/>
      <c r="BX29" s="355"/>
      <c r="BY29" s="355"/>
      <c r="BZ29" s="355"/>
      <c r="CA29" s="355"/>
      <c r="CB29" s="355"/>
      <c r="CC29" s="355"/>
      <c r="CD29" s="355"/>
      <c r="CE29" s="355"/>
      <c r="CF29" s="355"/>
      <c r="CG29" s="355"/>
      <c r="CH29" s="355"/>
      <c r="CI29" s="355"/>
      <c r="CJ29" s="355"/>
      <c r="CK29" s="355"/>
      <c r="CL29" s="355"/>
      <c r="CM29" s="355"/>
      <c r="CN29" s="355"/>
      <c r="CO29" s="355"/>
      <c r="CP29" s="355"/>
      <c r="CQ29" s="355"/>
      <c r="CR29" s="355"/>
      <c r="CS29" s="355"/>
      <c r="CT29" s="355"/>
      <c r="CU29" s="355"/>
      <c r="CV29" s="355"/>
      <c r="CW29" s="355"/>
      <c r="CX29" s="355"/>
      <c r="CY29" s="355"/>
      <c r="CZ29" s="355"/>
      <c r="DA29" s="355"/>
      <c r="DB29" s="355"/>
      <c r="DC29" s="355"/>
      <c r="DD29" s="355"/>
      <c r="DE29" s="355"/>
      <c r="DF29" s="355"/>
      <c r="DG29" s="355"/>
      <c r="DH29" s="355"/>
      <c r="DI29" s="355"/>
      <c r="DJ29" s="355"/>
      <c r="DK29" s="355"/>
      <c r="DL29" s="355"/>
      <c r="DM29" s="355"/>
      <c r="DN29" s="355"/>
      <c r="DO29" s="355"/>
      <c r="DP29" s="355"/>
      <c r="DQ29" s="355"/>
      <c r="DR29" s="355"/>
      <c r="DS29" s="355"/>
      <c r="DT29" s="355"/>
      <c r="DU29" s="355"/>
      <c r="DV29" s="355"/>
      <c r="DW29" s="355"/>
      <c r="DX29" s="355"/>
      <c r="DY29" s="355"/>
      <c r="DZ29" s="355"/>
      <c r="EA29" s="355"/>
      <c r="EB29" s="355"/>
      <c r="EC29" s="355"/>
      <c r="ED29" s="355"/>
      <c r="EE29" s="355"/>
      <c r="EF29" s="355"/>
      <c r="EG29" s="355"/>
      <c r="EH29" s="355"/>
      <c r="EI29" s="355"/>
      <c r="EJ29" s="355"/>
      <c r="EK29" s="355"/>
      <c r="EL29" s="355"/>
      <c r="EM29" s="1086"/>
      <c r="EN29" s="1086"/>
      <c r="EO29" s="1086"/>
      <c r="EP29" s="1086"/>
      <c r="EQ29" s="1086"/>
      <c r="ER29" s="1086"/>
      <c r="ES29" s="1086"/>
      <c r="ET29" s="1086"/>
      <c r="EU29" s="1086"/>
      <c r="EV29" s="1086"/>
      <c r="EW29" s="1086"/>
      <c r="EX29" s="1086"/>
      <c r="EY29" s="1086"/>
      <c r="EZ29" s="1086"/>
      <c r="FA29" s="1086"/>
      <c r="FB29" s="1086"/>
      <c r="FC29" s="1086"/>
      <c r="FD29" s="1086"/>
      <c r="FE29" s="1086"/>
      <c r="FF29" s="1086"/>
      <c r="FG29" s="1086"/>
      <c r="FH29" s="1086"/>
      <c r="FI29" s="1086"/>
      <c r="FJ29" s="1086"/>
    </row>
    <row r="30" spans="1:166" ht="3.75" customHeight="1" x14ac:dyDescent="0.25">
      <c r="EM30" s="1086"/>
      <c r="EN30" s="1086"/>
      <c r="EO30" s="1086"/>
      <c r="EP30" s="1086"/>
      <c r="EQ30" s="1086"/>
      <c r="ER30" s="1086"/>
      <c r="ES30" s="1086"/>
      <c r="ET30" s="1086"/>
      <c r="EU30" s="1086"/>
      <c r="EV30" s="1086"/>
      <c r="EW30" s="1086"/>
      <c r="EX30" s="1086"/>
      <c r="EY30" s="1086"/>
      <c r="EZ30" s="1086"/>
      <c r="FA30" s="1086"/>
      <c r="FB30" s="1086"/>
      <c r="FC30" s="1086"/>
      <c r="FD30" s="1086"/>
      <c r="FE30" s="1086"/>
      <c r="FF30" s="1086"/>
      <c r="FG30" s="1086"/>
      <c r="FH30" s="1086"/>
      <c r="FI30" s="1086"/>
      <c r="FJ30" s="1086"/>
    </row>
    <row r="31" spans="1:166" ht="3.75" customHeight="1" x14ac:dyDescent="0.25">
      <c r="AH31" s="1112" t="str">
        <f>IFERROR(VLOOKUP(EM31, 'Data Conversions'!X3:Y36, 2, FALSE), "")</f>
        <v/>
      </c>
      <c r="AI31" s="1113"/>
      <c r="AJ31" s="1113"/>
      <c r="AK31" s="1113"/>
      <c r="AL31" s="1113"/>
      <c r="AM31" s="1113"/>
      <c r="AN31" s="1113"/>
      <c r="AO31" s="1113"/>
      <c r="AP31" s="1113"/>
      <c r="AQ31" s="1113"/>
      <c r="AR31" s="1113"/>
      <c r="AS31" s="1113"/>
      <c r="AT31" s="1113"/>
      <c r="AU31" s="1113"/>
      <c r="AV31" s="1113"/>
      <c r="AW31" s="1113"/>
      <c r="AX31" s="1113"/>
      <c r="AY31" s="1114"/>
      <c r="CA31" s="1111" t="str">
        <f>IFERROR(VLOOKUP(EM41, 'Data Conversions'!X41:Y58, 2, FALSE), "")</f>
        <v/>
      </c>
      <c r="CB31" s="1111"/>
      <c r="CC31" s="1111"/>
      <c r="CD31" s="1111"/>
      <c r="CE31" s="1111"/>
      <c r="CF31" s="1111"/>
      <c r="CG31" s="1111"/>
      <c r="CH31" s="1111"/>
      <c r="CI31" s="1111"/>
      <c r="CJ31" s="1111"/>
      <c r="CK31" s="1111"/>
      <c r="CL31" s="1111"/>
      <c r="CM31" s="1111"/>
      <c r="CN31" s="1111"/>
      <c r="CO31" s="1111"/>
      <c r="CP31" s="1111"/>
      <c r="CQ31" s="1111"/>
      <c r="CR31" s="1111"/>
      <c r="CS31" s="1111"/>
      <c r="CT31" s="1111"/>
      <c r="CU31" s="1111"/>
      <c r="CV31" s="1111"/>
      <c r="CW31" s="1111"/>
      <c r="CX31" s="1111"/>
      <c r="DN31" s="1102"/>
      <c r="DO31" s="1102"/>
      <c r="DP31" s="1102"/>
      <c r="DQ31" s="1091" t="s">
        <v>496</v>
      </c>
      <c r="DR31" s="1091"/>
      <c r="DS31" s="1091"/>
      <c r="DT31" s="1091"/>
      <c r="DU31" s="1091"/>
      <c r="DV31" s="1091"/>
      <c r="DW31" s="1091"/>
      <c r="DX31" s="1091"/>
      <c r="DY31" s="1091"/>
      <c r="DZ31" s="1091"/>
      <c r="EA31" s="1091"/>
      <c r="EB31" s="1091"/>
      <c r="EC31" s="1091"/>
      <c r="ED31" s="371"/>
      <c r="EE31" s="371"/>
      <c r="EF31" s="371"/>
      <c r="EG31" s="371"/>
      <c r="EH31" s="371"/>
      <c r="EI31" s="371"/>
      <c r="EJ31" s="371"/>
      <c r="EK31" s="371"/>
      <c r="EL31" s="371"/>
      <c r="EM31" s="1087"/>
      <c r="EN31" s="1088"/>
      <c r="EO31" s="1088"/>
      <c r="EP31" s="1088"/>
      <c r="EQ31" s="1088"/>
      <c r="ER31" s="1088"/>
      <c r="ES31" s="1088"/>
      <c r="ET31" s="1088"/>
      <c r="EU31" s="1088"/>
      <c r="EV31" s="1088"/>
      <c r="EW31" s="1088"/>
      <c r="EX31" s="1088"/>
      <c r="EY31" s="1088"/>
      <c r="EZ31" s="1088"/>
      <c r="FA31" s="1088"/>
      <c r="FB31" s="1088"/>
      <c r="FC31" s="1088"/>
      <c r="FD31" s="1088"/>
      <c r="FE31" s="1088"/>
      <c r="FF31" s="1088"/>
      <c r="FG31" s="1088"/>
      <c r="FH31" s="1088"/>
      <c r="FI31" s="1088"/>
      <c r="FJ31" s="1089"/>
    </row>
    <row r="32" spans="1:166" ht="3.75" customHeight="1" x14ac:dyDescent="0.25">
      <c r="A32" s="1110" t="s">
        <v>636</v>
      </c>
      <c r="B32" s="1110"/>
      <c r="C32" s="1110"/>
      <c r="D32" s="1110"/>
      <c r="E32" s="1110"/>
      <c r="F32" s="1110"/>
      <c r="G32" s="1110"/>
      <c r="H32" s="1110"/>
      <c r="I32" s="1110"/>
      <c r="J32" s="1110"/>
      <c r="K32" s="1110"/>
      <c r="L32" s="1110"/>
      <c r="M32" s="1110"/>
      <c r="N32" s="1110"/>
      <c r="O32" s="1110"/>
      <c r="P32" s="1110"/>
      <c r="Q32" s="1110"/>
      <c r="R32" s="1110"/>
      <c r="S32" s="1110"/>
      <c r="T32" s="1110"/>
      <c r="U32" s="1110"/>
      <c r="V32" s="1110"/>
      <c r="W32" s="1110"/>
      <c r="X32" s="1110"/>
      <c r="Y32" s="1110"/>
      <c r="Z32" s="1110"/>
      <c r="AA32" s="1110"/>
      <c r="AB32" s="1110"/>
      <c r="AC32" s="1110"/>
      <c r="AD32" s="1110"/>
      <c r="AE32" s="1110"/>
      <c r="AF32" s="1110"/>
      <c r="AH32" s="1115"/>
      <c r="AI32" s="1116"/>
      <c r="AJ32" s="1116"/>
      <c r="AK32" s="1116"/>
      <c r="AL32" s="1116"/>
      <c r="AM32" s="1116"/>
      <c r="AN32" s="1116"/>
      <c r="AO32" s="1116"/>
      <c r="AP32" s="1116"/>
      <c r="AQ32" s="1116"/>
      <c r="AR32" s="1116"/>
      <c r="AS32" s="1116"/>
      <c r="AT32" s="1116"/>
      <c r="AU32" s="1116"/>
      <c r="AV32" s="1116"/>
      <c r="AW32" s="1116"/>
      <c r="AX32" s="1116"/>
      <c r="AY32" s="1117"/>
      <c r="BI32" s="1110" t="s">
        <v>144</v>
      </c>
      <c r="BJ32" s="1110"/>
      <c r="BK32" s="1110"/>
      <c r="BL32" s="1110"/>
      <c r="BM32" s="1110"/>
      <c r="BN32" s="1110"/>
      <c r="BO32" s="1110"/>
      <c r="BP32" s="1110"/>
      <c r="BQ32" s="1110"/>
      <c r="BR32" s="1110"/>
      <c r="BS32" s="1110"/>
      <c r="BT32" s="1110"/>
      <c r="BU32" s="1110"/>
      <c r="BV32" s="1110"/>
      <c r="BW32" s="1110"/>
      <c r="BX32" s="1110"/>
      <c r="BY32" s="1110"/>
      <c r="BZ32" s="370"/>
      <c r="CA32" s="1111"/>
      <c r="CB32" s="1111"/>
      <c r="CC32" s="1111"/>
      <c r="CD32" s="1111"/>
      <c r="CE32" s="1111"/>
      <c r="CF32" s="1111"/>
      <c r="CG32" s="1111"/>
      <c r="CH32" s="1111"/>
      <c r="CI32" s="1111"/>
      <c r="CJ32" s="1111"/>
      <c r="CK32" s="1111"/>
      <c r="CL32" s="1111"/>
      <c r="CM32" s="1111"/>
      <c r="CN32" s="1111"/>
      <c r="CO32" s="1111"/>
      <c r="CP32" s="1111"/>
      <c r="CQ32" s="1111"/>
      <c r="CR32" s="1111"/>
      <c r="CS32" s="1111"/>
      <c r="CT32" s="1111"/>
      <c r="CU32" s="1111"/>
      <c r="CV32" s="1111"/>
      <c r="CW32" s="1111"/>
      <c r="CX32" s="1111"/>
      <c r="DN32" s="1102"/>
      <c r="DO32" s="1102"/>
      <c r="DP32" s="1102"/>
      <c r="DQ32" s="1091"/>
      <c r="DR32" s="1091"/>
      <c r="DS32" s="1091"/>
      <c r="DT32" s="1091"/>
      <c r="DU32" s="1091"/>
      <c r="DV32" s="1091"/>
      <c r="DW32" s="1091"/>
      <c r="DX32" s="1091"/>
      <c r="DY32" s="1091"/>
      <c r="DZ32" s="1091"/>
      <c r="EA32" s="1091"/>
      <c r="EB32" s="1091"/>
      <c r="EC32" s="1091"/>
      <c r="ED32" s="371"/>
      <c r="EE32" s="371"/>
      <c r="EF32" s="371"/>
      <c r="EG32" s="371"/>
      <c r="EH32" s="371"/>
      <c r="EI32" s="371"/>
      <c r="EJ32" s="371"/>
      <c r="EK32" s="371"/>
      <c r="EL32" s="371"/>
      <c r="EM32" s="1090"/>
      <c r="EN32" s="1091"/>
      <c r="EO32" s="1091"/>
      <c r="EP32" s="1091"/>
      <c r="EQ32" s="1091"/>
      <c r="ER32" s="1091"/>
      <c r="ES32" s="1091"/>
      <c r="ET32" s="1091"/>
      <c r="EU32" s="1091"/>
      <c r="EV32" s="1091"/>
      <c r="EW32" s="1091"/>
      <c r="EX32" s="1091"/>
      <c r="EY32" s="1091"/>
      <c r="EZ32" s="1091"/>
      <c r="FA32" s="1091"/>
      <c r="FB32" s="1091"/>
      <c r="FC32" s="1091"/>
      <c r="FD32" s="1091"/>
      <c r="FE32" s="1091"/>
      <c r="FF32" s="1091"/>
      <c r="FG32" s="1091"/>
      <c r="FH32" s="1091"/>
      <c r="FI32" s="1091"/>
      <c r="FJ32" s="1092"/>
    </row>
    <row r="33" spans="1:166" ht="3.75" customHeight="1" x14ac:dyDescent="0.25">
      <c r="A33" s="1110"/>
      <c r="B33" s="1110"/>
      <c r="C33" s="1110"/>
      <c r="D33" s="1110"/>
      <c r="E33" s="1110"/>
      <c r="F33" s="1110"/>
      <c r="G33" s="1110"/>
      <c r="H33" s="1110"/>
      <c r="I33" s="1110"/>
      <c r="J33" s="1110"/>
      <c r="K33" s="1110"/>
      <c r="L33" s="1110"/>
      <c r="M33" s="1110"/>
      <c r="N33" s="1110"/>
      <c r="O33" s="1110"/>
      <c r="P33" s="1110"/>
      <c r="Q33" s="1110"/>
      <c r="R33" s="1110"/>
      <c r="S33" s="1110"/>
      <c r="T33" s="1110"/>
      <c r="U33" s="1110"/>
      <c r="V33" s="1110"/>
      <c r="W33" s="1110"/>
      <c r="X33" s="1110"/>
      <c r="Y33" s="1110"/>
      <c r="Z33" s="1110"/>
      <c r="AA33" s="1110"/>
      <c r="AB33" s="1110"/>
      <c r="AC33" s="1110"/>
      <c r="AD33" s="1110"/>
      <c r="AE33" s="1110"/>
      <c r="AF33" s="1110"/>
      <c r="AH33" s="1115"/>
      <c r="AI33" s="1116"/>
      <c r="AJ33" s="1116"/>
      <c r="AK33" s="1116"/>
      <c r="AL33" s="1116"/>
      <c r="AM33" s="1116"/>
      <c r="AN33" s="1116"/>
      <c r="AO33" s="1116"/>
      <c r="AP33" s="1116"/>
      <c r="AQ33" s="1116"/>
      <c r="AR33" s="1116"/>
      <c r="AS33" s="1116"/>
      <c r="AT33" s="1116"/>
      <c r="AU33" s="1116"/>
      <c r="AV33" s="1116"/>
      <c r="AW33" s="1116"/>
      <c r="AX33" s="1116"/>
      <c r="AY33" s="1117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110"/>
      <c r="BY33" s="1110"/>
      <c r="BZ33" s="370"/>
      <c r="CA33" s="1111"/>
      <c r="CB33" s="1111"/>
      <c r="CC33" s="1111"/>
      <c r="CD33" s="1111"/>
      <c r="CE33" s="1111"/>
      <c r="CF33" s="1111"/>
      <c r="CG33" s="1111"/>
      <c r="CH33" s="1111"/>
      <c r="CI33" s="1111"/>
      <c r="CJ33" s="1111"/>
      <c r="CK33" s="1111"/>
      <c r="CL33" s="1111"/>
      <c r="CM33" s="1111"/>
      <c r="CN33" s="1111"/>
      <c r="CO33" s="1111"/>
      <c r="CP33" s="1111"/>
      <c r="CQ33" s="1111"/>
      <c r="CR33" s="1111"/>
      <c r="CS33" s="1111"/>
      <c r="CT33" s="1111"/>
      <c r="CU33" s="1111"/>
      <c r="CV33" s="1111"/>
      <c r="CW33" s="1111"/>
      <c r="CX33" s="1111"/>
      <c r="DN33" s="1102"/>
      <c r="DO33" s="1102"/>
      <c r="DP33" s="1102"/>
      <c r="DQ33" s="1091"/>
      <c r="DR33" s="1091"/>
      <c r="DS33" s="1091"/>
      <c r="DT33" s="1091"/>
      <c r="DU33" s="1091"/>
      <c r="DV33" s="1091"/>
      <c r="DW33" s="1091"/>
      <c r="DX33" s="1091"/>
      <c r="DY33" s="1091"/>
      <c r="DZ33" s="1091"/>
      <c r="EA33" s="1091"/>
      <c r="EB33" s="1091"/>
      <c r="EC33" s="1091"/>
      <c r="ED33" s="371"/>
      <c r="EE33" s="371"/>
      <c r="EF33" s="371"/>
      <c r="EG33" s="371"/>
      <c r="EH33" s="371"/>
      <c r="EI33" s="371"/>
      <c r="EJ33" s="371"/>
      <c r="EK33" s="371"/>
      <c r="EL33" s="371"/>
      <c r="EM33" s="1090"/>
      <c r="EN33" s="1091"/>
      <c r="EO33" s="1091"/>
      <c r="EP33" s="1091"/>
      <c r="EQ33" s="1091"/>
      <c r="ER33" s="1091"/>
      <c r="ES33" s="1091"/>
      <c r="ET33" s="1091"/>
      <c r="EU33" s="1091"/>
      <c r="EV33" s="1091"/>
      <c r="EW33" s="1091"/>
      <c r="EX33" s="1091"/>
      <c r="EY33" s="1091"/>
      <c r="EZ33" s="1091"/>
      <c r="FA33" s="1091"/>
      <c r="FB33" s="1091"/>
      <c r="FC33" s="1091"/>
      <c r="FD33" s="1091"/>
      <c r="FE33" s="1091"/>
      <c r="FF33" s="1091"/>
      <c r="FG33" s="1091"/>
      <c r="FH33" s="1091"/>
      <c r="FI33" s="1091"/>
      <c r="FJ33" s="1092"/>
    </row>
    <row r="34" spans="1:166" ht="3.75" customHeight="1" x14ac:dyDescent="0.25">
      <c r="A34" s="1110"/>
      <c r="B34" s="1110"/>
      <c r="C34" s="1110"/>
      <c r="D34" s="1110"/>
      <c r="E34" s="1110"/>
      <c r="F34" s="1110"/>
      <c r="G34" s="1110"/>
      <c r="H34" s="1110"/>
      <c r="I34" s="1110"/>
      <c r="J34" s="1110"/>
      <c r="K34" s="1110"/>
      <c r="L34" s="1110"/>
      <c r="M34" s="1110"/>
      <c r="N34" s="1110"/>
      <c r="O34" s="1110"/>
      <c r="P34" s="1110"/>
      <c r="Q34" s="1110"/>
      <c r="R34" s="1110"/>
      <c r="S34" s="1110"/>
      <c r="T34" s="1110"/>
      <c r="U34" s="1110"/>
      <c r="V34" s="1110"/>
      <c r="W34" s="1110"/>
      <c r="X34" s="1110"/>
      <c r="Y34" s="1110"/>
      <c r="Z34" s="1110"/>
      <c r="AA34" s="1110"/>
      <c r="AB34" s="1110"/>
      <c r="AC34" s="1110"/>
      <c r="AD34" s="1110"/>
      <c r="AE34" s="1110"/>
      <c r="AF34" s="1110"/>
      <c r="AH34" s="1115"/>
      <c r="AI34" s="1116"/>
      <c r="AJ34" s="1116"/>
      <c r="AK34" s="1116"/>
      <c r="AL34" s="1116"/>
      <c r="AM34" s="1116"/>
      <c r="AN34" s="1116"/>
      <c r="AO34" s="1116"/>
      <c r="AP34" s="1116"/>
      <c r="AQ34" s="1116"/>
      <c r="AR34" s="1116"/>
      <c r="AS34" s="1116"/>
      <c r="AT34" s="1116"/>
      <c r="AU34" s="1116"/>
      <c r="AV34" s="1116"/>
      <c r="AW34" s="1116"/>
      <c r="AX34" s="1116"/>
      <c r="AY34" s="1117"/>
      <c r="BI34" s="1110"/>
      <c r="BJ34" s="1110"/>
      <c r="BK34" s="1110"/>
      <c r="BL34" s="1110"/>
      <c r="BM34" s="1110"/>
      <c r="BN34" s="1110"/>
      <c r="BO34" s="1110"/>
      <c r="BP34" s="1110"/>
      <c r="BQ34" s="1110"/>
      <c r="BR34" s="1110"/>
      <c r="BS34" s="1110"/>
      <c r="BT34" s="1110"/>
      <c r="BU34" s="1110"/>
      <c r="BV34" s="1110"/>
      <c r="BW34" s="1110"/>
      <c r="BX34" s="1110"/>
      <c r="BY34" s="1110"/>
      <c r="BZ34" s="370"/>
      <c r="CA34" s="1111"/>
      <c r="CB34" s="1111"/>
      <c r="CC34" s="1111"/>
      <c r="CD34" s="1111"/>
      <c r="CE34" s="1111"/>
      <c r="CF34" s="1111"/>
      <c r="CG34" s="1111"/>
      <c r="CH34" s="1111"/>
      <c r="CI34" s="1111"/>
      <c r="CJ34" s="1111"/>
      <c r="CK34" s="1111"/>
      <c r="CL34" s="1111"/>
      <c r="CM34" s="1111"/>
      <c r="CN34" s="1111"/>
      <c r="CO34" s="1111"/>
      <c r="CP34" s="1111"/>
      <c r="CQ34" s="1111"/>
      <c r="CR34" s="1111"/>
      <c r="CS34" s="1111"/>
      <c r="CT34" s="1111"/>
      <c r="CU34" s="1111"/>
      <c r="CV34" s="1111"/>
      <c r="CW34" s="1111"/>
      <c r="CX34" s="1111"/>
      <c r="ED34" s="371"/>
      <c r="EE34" s="371"/>
      <c r="EF34" s="371"/>
      <c r="EG34" s="371"/>
      <c r="EH34" s="371"/>
      <c r="EI34" s="371"/>
      <c r="EJ34" s="371"/>
      <c r="EK34" s="371"/>
      <c r="EL34" s="371"/>
      <c r="EM34" s="1090"/>
      <c r="EN34" s="1091"/>
      <c r="EO34" s="1091"/>
      <c r="EP34" s="1091"/>
      <c r="EQ34" s="1091"/>
      <c r="ER34" s="1091"/>
      <c r="ES34" s="1091"/>
      <c r="ET34" s="1091"/>
      <c r="EU34" s="1091"/>
      <c r="EV34" s="1091"/>
      <c r="EW34" s="1091"/>
      <c r="EX34" s="1091"/>
      <c r="EY34" s="1091"/>
      <c r="EZ34" s="1091"/>
      <c r="FA34" s="1091"/>
      <c r="FB34" s="1091"/>
      <c r="FC34" s="1091"/>
      <c r="FD34" s="1091"/>
      <c r="FE34" s="1091"/>
      <c r="FF34" s="1091"/>
      <c r="FG34" s="1091"/>
      <c r="FH34" s="1091"/>
      <c r="FI34" s="1091"/>
      <c r="FJ34" s="1092"/>
    </row>
    <row r="35" spans="1:166" ht="3.75" customHeight="1" x14ac:dyDescent="0.25">
      <c r="A35" s="1110"/>
      <c r="B35" s="1110"/>
      <c r="C35" s="1110"/>
      <c r="D35" s="1110"/>
      <c r="E35" s="1110"/>
      <c r="F35" s="1110"/>
      <c r="G35" s="1110"/>
      <c r="H35" s="1110"/>
      <c r="I35" s="1110"/>
      <c r="J35" s="1110"/>
      <c r="K35" s="1110"/>
      <c r="L35" s="1110"/>
      <c r="M35" s="1110"/>
      <c r="N35" s="1110"/>
      <c r="O35" s="1110"/>
      <c r="P35" s="1110"/>
      <c r="Q35" s="1110"/>
      <c r="R35" s="1110"/>
      <c r="S35" s="1110"/>
      <c r="T35" s="1110"/>
      <c r="U35" s="1110"/>
      <c r="V35" s="1110"/>
      <c r="W35" s="1110"/>
      <c r="X35" s="1110"/>
      <c r="Y35" s="1110"/>
      <c r="Z35" s="1110"/>
      <c r="AA35" s="1110"/>
      <c r="AB35" s="1110"/>
      <c r="AC35" s="1110"/>
      <c r="AD35" s="1110"/>
      <c r="AE35" s="1110"/>
      <c r="AF35" s="1110"/>
      <c r="AH35" s="1115"/>
      <c r="AI35" s="1116"/>
      <c r="AJ35" s="1116"/>
      <c r="AK35" s="1116"/>
      <c r="AL35" s="1116"/>
      <c r="AM35" s="1116"/>
      <c r="AN35" s="1116"/>
      <c r="AO35" s="1116"/>
      <c r="AP35" s="1116"/>
      <c r="AQ35" s="1116"/>
      <c r="AR35" s="1116"/>
      <c r="AS35" s="1116"/>
      <c r="AT35" s="1116"/>
      <c r="AU35" s="1116"/>
      <c r="AV35" s="1116"/>
      <c r="AW35" s="1116"/>
      <c r="AX35" s="1116"/>
      <c r="AY35" s="1117"/>
      <c r="BI35" s="1110"/>
      <c r="BJ35" s="1110"/>
      <c r="BK35" s="1110"/>
      <c r="BL35" s="1110"/>
      <c r="BM35" s="1110"/>
      <c r="BN35" s="1110"/>
      <c r="BO35" s="1110"/>
      <c r="BP35" s="1110"/>
      <c r="BQ35" s="1110"/>
      <c r="BR35" s="1110"/>
      <c r="BS35" s="1110"/>
      <c r="BT35" s="1110"/>
      <c r="BU35" s="1110"/>
      <c r="BV35" s="1110"/>
      <c r="BW35" s="1110"/>
      <c r="BX35" s="1110"/>
      <c r="BY35" s="1110"/>
      <c r="BZ35" s="370"/>
      <c r="CA35" s="1111"/>
      <c r="CB35" s="1111"/>
      <c r="CC35" s="1111"/>
      <c r="CD35" s="1111"/>
      <c r="CE35" s="1111"/>
      <c r="CF35" s="1111"/>
      <c r="CG35" s="1111"/>
      <c r="CH35" s="1111"/>
      <c r="CI35" s="1111"/>
      <c r="CJ35" s="1111"/>
      <c r="CK35" s="1111"/>
      <c r="CL35" s="1111"/>
      <c r="CM35" s="1111"/>
      <c r="CN35" s="1111"/>
      <c r="CO35" s="1111"/>
      <c r="CP35" s="1111"/>
      <c r="CQ35" s="1111"/>
      <c r="CR35" s="1111"/>
      <c r="CS35" s="1111"/>
      <c r="CT35" s="1111"/>
      <c r="CU35" s="1111"/>
      <c r="CV35" s="1111"/>
      <c r="CW35" s="1111"/>
      <c r="CX35" s="1111"/>
      <c r="DN35" s="1097" t="s">
        <v>655</v>
      </c>
      <c r="DO35" s="1097"/>
      <c r="DP35" s="1097"/>
      <c r="DQ35" s="1091" t="s">
        <v>635</v>
      </c>
      <c r="DR35" s="1091"/>
      <c r="DS35" s="1091"/>
      <c r="DT35" s="1091"/>
      <c r="DU35" s="1091"/>
      <c r="DV35" s="1091"/>
      <c r="DW35" s="1091"/>
      <c r="DX35" s="1091"/>
      <c r="DY35" s="1091"/>
      <c r="DZ35" s="1091"/>
      <c r="EA35" s="1091"/>
      <c r="EB35" s="1091"/>
      <c r="EC35" s="1091"/>
      <c r="ED35" s="371"/>
      <c r="EE35" s="371"/>
      <c r="EF35" s="371"/>
      <c r="EG35" s="371"/>
      <c r="EH35" s="371"/>
      <c r="EI35" s="371"/>
      <c r="EJ35" s="371"/>
      <c r="EK35" s="371"/>
      <c r="EL35" s="371"/>
      <c r="EM35" s="1093"/>
      <c r="EN35" s="1094"/>
      <c r="EO35" s="1094"/>
      <c r="EP35" s="1094"/>
      <c r="EQ35" s="1094"/>
      <c r="ER35" s="1094"/>
      <c r="ES35" s="1094"/>
      <c r="ET35" s="1094"/>
      <c r="EU35" s="1094"/>
      <c r="EV35" s="1094"/>
      <c r="EW35" s="1094"/>
      <c r="EX35" s="1094"/>
      <c r="EY35" s="1094"/>
      <c r="EZ35" s="1094"/>
      <c r="FA35" s="1094"/>
      <c r="FB35" s="1094"/>
      <c r="FC35" s="1094"/>
      <c r="FD35" s="1094"/>
      <c r="FE35" s="1094"/>
      <c r="FF35" s="1094"/>
      <c r="FG35" s="1094"/>
      <c r="FH35" s="1094"/>
      <c r="FI35" s="1094"/>
      <c r="FJ35" s="1095"/>
    </row>
    <row r="36" spans="1:166" ht="3.75" customHeight="1" x14ac:dyDescent="0.25">
      <c r="A36" s="1110"/>
      <c r="B36" s="1110"/>
      <c r="C36" s="1110"/>
      <c r="D36" s="1110"/>
      <c r="E36" s="1110"/>
      <c r="F36" s="1110"/>
      <c r="G36" s="1110"/>
      <c r="H36" s="1110"/>
      <c r="I36" s="1110"/>
      <c r="J36" s="1110"/>
      <c r="K36" s="1110"/>
      <c r="L36" s="1110"/>
      <c r="M36" s="1110"/>
      <c r="N36" s="1110"/>
      <c r="O36" s="1110"/>
      <c r="P36" s="1110"/>
      <c r="Q36" s="1110"/>
      <c r="R36" s="1110"/>
      <c r="S36" s="1110"/>
      <c r="T36" s="1110"/>
      <c r="U36" s="1110"/>
      <c r="V36" s="1110"/>
      <c r="W36" s="1110"/>
      <c r="X36" s="1110"/>
      <c r="Y36" s="1110"/>
      <c r="Z36" s="1110"/>
      <c r="AA36" s="1110"/>
      <c r="AB36" s="1110"/>
      <c r="AC36" s="1110"/>
      <c r="AD36" s="1110"/>
      <c r="AE36" s="1110"/>
      <c r="AF36" s="1110"/>
      <c r="AH36" s="1115"/>
      <c r="AI36" s="1116"/>
      <c r="AJ36" s="1116"/>
      <c r="AK36" s="1116"/>
      <c r="AL36" s="1116"/>
      <c r="AM36" s="1116"/>
      <c r="AN36" s="1116"/>
      <c r="AO36" s="1116"/>
      <c r="AP36" s="1116"/>
      <c r="AQ36" s="1116"/>
      <c r="AR36" s="1116"/>
      <c r="AS36" s="1116"/>
      <c r="AT36" s="1116"/>
      <c r="AU36" s="1116"/>
      <c r="AV36" s="1116"/>
      <c r="AW36" s="1116"/>
      <c r="AX36" s="1116"/>
      <c r="AY36" s="1117"/>
      <c r="BI36" s="1110"/>
      <c r="BJ36" s="1110"/>
      <c r="BK36" s="1110"/>
      <c r="BL36" s="1110"/>
      <c r="BM36" s="1110"/>
      <c r="BN36" s="1110"/>
      <c r="BO36" s="1110"/>
      <c r="BP36" s="1110"/>
      <c r="BQ36" s="1110"/>
      <c r="BR36" s="1110"/>
      <c r="BS36" s="1110"/>
      <c r="BT36" s="1110"/>
      <c r="BU36" s="1110"/>
      <c r="BV36" s="1110"/>
      <c r="BW36" s="1110"/>
      <c r="BX36" s="1110"/>
      <c r="BY36" s="1110"/>
      <c r="BZ36" s="370"/>
      <c r="CA36" s="1111"/>
      <c r="CB36" s="1111"/>
      <c r="CC36" s="1111"/>
      <c r="CD36" s="1111"/>
      <c r="CE36" s="1111"/>
      <c r="CF36" s="1111"/>
      <c r="CG36" s="1111"/>
      <c r="CH36" s="1111"/>
      <c r="CI36" s="1111"/>
      <c r="CJ36" s="1111"/>
      <c r="CK36" s="1111"/>
      <c r="CL36" s="1111"/>
      <c r="CM36" s="1111"/>
      <c r="CN36" s="1111"/>
      <c r="CO36" s="1111"/>
      <c r="CP36" s="1111"/>
      <c r="CQ36" s="1111"/>
      <c r="CR36" s="1111"/>
      <c r="CS36" s="1111"/>
      <c r="CT36" s="1111"/>
      <c r="CU36" s="1111"/>
      <c r="CV36" s="1111"/>
      <c r="CW36" s="1111"/>
      <c r="CX36" s="1111"/>
      <c r="DN36" s="1097"/>
      <c r="DO36" s="1097"/>
      <c r="DP36" s="1097"/>
      <c r="DQ36" s="1091"/>
      <c r="DR36" s="1091"/>
      <c r="DS36" s="1091"/>
      <c r="DT36" s="1091"/>
      <c r="DU36" s="1091"/>
      <c r="DV36" s="1091"/>
      <c r="DW36" s="1091"/>
      <c r="DX36" s="1091"/>
      <c r="DY36" s="1091"/>
      <c r="DZ36" s="1091"/>
      <c r="EA36" s="1091"/>
      <c r="EB36" s="1091"/>
      <c r="EC36" s="1091"/>
      <c r="ED36" s="371"/>
      <c r="EE36" s="371"/>
      <c r="EF36" s="371"/>
      <c r="EG36" s="371"/>
      <c r="EH36" s="371"/>
      <c r="EI36" s="371"/>
      <c r="EJ36" s="371"/>
      <c r="EK36" s="371"/>
      <c r="EL36" s="371"/>
    </row>
    <row r="37" spans="1:166" ht="3.75" customHeight="1" x14ac:dyDescent="0.25">
      <c r="A37" s="1110"/>
      <c r="B37" s="1110"/>
      <c r="C37" s="1110"/>
      <c r="D37" s="1110"/>
      <c r="E37" s="1110"/>
      <c r="F37" s="1110"/>
      <c r="G37" s="1110"/>
      <c r="H37" s="1110"/>
      <c r="I37" s="1110"/>
      <c r="J37" s="1110"/>
      <c r="K37" s="1110"/>
      <c r="L37" s="1110"/>
      <c r="M37" s="1110"/>
      <c r="N37" s="1110"/>
      <c r="O37" s="1110"/>
      <c r="P37" s="1110"/>
      <c r="Q37" s="1110"/>
      <c r="R37" s="1110"/>
      <c r="S37" s="1110"/>
      <c r="T37" s="1110"/>
      <c r="U37" s="1110"/>
      <c r="V37" s="1110"/>
      <c r="W37" s="1110"/>
      <c r="X37" s="1110"/>
      <c r="Y37" s="1110"/>
      <c r="Z37" s="1110"/>
      <c r="AA37" s="1110"/>
      <c r="AB37" s="1110"/>
      <c r="AC37" s="1110"/>
      <c r="AD37" s="1110"/>
      <c r="AE37" s="1110"/>
      <c r="AF37" s="1110"/>
      <c r="AH37" s="1115"/>
      <c r="AI37" s="1116"/>
      <c r="AJ37" s="1116"/>
      <c r="AK37" s="1116"/>
      <c r="AL37" s="1116"/>
      <c r="AM37" s="1116"/>
      <c r="AN37" s="1116"/>
      <c r="AO37" s="1116"/>
      <c r="AP37" s="1116"/>
      <c r="AQ37" s="1116"/>
      <c r="AR37" s="1116"/>
      <c r="AS37" s="1116"/>
      <c r="AT37" s="1116"/>
      <c r="AU37" s="1116"/>
      <c r="AV37" s="1116"/>
      <c r="AW37" s="1116"/>
      <c r="AX37" s="1116"/>
      <c r="AY37" s="1117"/>
      <c r="BI37" s="1110"/>
      <c r="BJ37" s="1110"/>
      <c r="BK37" s="1110"/>
      <c r="BL37" s="1110"/>
      <c r="BM37" s="1110"/>
      <c r="BN37" s="1110"/>
      <c r="BO37" s="1110"/>
      <c r="BP37" s="1110"/>
      <c r="BQ37" s="1110"/>
      <c r="BR37" s="1110"/>
      <c r="BS37" s="1110"/>
      <c r="BT37" s="1110"/>
      <c r="BU37" s="1110"/>
      <c r="BV37" s="1110"/>
      <c r="BW37" s="1110"/>
      <c r="BX37" s="1110"/>
      <c r="BY37" s="1110"/>
      <c r="BZ37" s="370"/>
      <c r="CA37" s="1111"/>
      <c r="CB37" s="1111"/>
      <c r="CC37" s="1111"/>
      <c r="CD37" s="1111"/>
      <c r="CE37" s="1111"/>
      <c r="CF37" s="1111"/>
      <c r="CG37" s="1111"/>
      <c r="CH37" s="1111"/>
      <c r="CI37" s="1111"/>
      <c r="CJ37" s="1111"/>
      <c r="CK37" s="1111"/>
      <c r="CL37" s="1111"/>
      <c r="CM37" s="1111"/>
      <c r="CN37" s="1111"/>
      <c r="CO37" s="1111"/>
      <c r="CP37" s="1111"/>
      <c r="CQ37" s="1111"/>
      <c r="CR37" s="1111"/>
      <c r="CS37" s="1111"/>
      <c r="CT37" s="1111"/>
      <c r="CU37" s="1111"/>
      <c r="CV37" s="1111"/>
      <c r="CW37" s="1111"/>
      <c r="CX37" s="1111"/>
      <c r="DN37" s="1097"/>
      <c r="DO37" s="1097"/>
      <c r="DP37" s="1097"/>
      <c r="DQ37" s="1091"/>
      <c r="DR37" s="1091"/>
      <c r="DS37" s="1091"/>
      <c r="DT37" s="1091"/>
      <c r="DU37" s="1091"/>
      <c r="DV37" s="1091"/>
      <c r="DW37" s="1091"/>
      <c r="DX37" s="1091"/>
      <c r="DY37" s="1091"/>
      <c r="DZ37" s="1091"/>
      <c r="EA37" s="1091"/>
      <c r="EB37" s="1091"/>
      <c r="EC37" s="1091"/>
      <c r="EM37" s="1086" t="s">
        <v>659</v>
      </c>
      <c r="EN37" s="1086"/>
      <c r="EO37" s="1086"/>
      <c r="EP37" s="1086"/>
      <c r="EQ37" s="1086"/>
      <c r="ER37" s="1086"/>
      <c r="ES37" s="1086"/>
      <c r="ET37" s="1086"/>
      <c r="EU37" s="1086"/>
      <c r="EV37" s="1086"/>
      <c r="EW37" s="1086"/>
      <c r="EX37" s="1086"/>
      <c r="EY37" s="1086"/>
      <c r="EZ37" s="1086"/>
      <c r="FA37" s="1086"/>
      <c r="FB37" s="1086"/>
      <c r="FC37" s="1086"/>
      <c r="FD37" s="1086"/>
      <c r="FE37" s="1086"/>
      <c r="FF37" s="1086"/>
      <c r="FG37" s="1086"/>
      <c r="FH37" s="1086"/>
      <c r="FI37" s="1086"/>
      <c r="FJ37" s="1086"/>
    </row>
    <row r="38" spans="1:166" ht="3.75" customHeight="1" x14ac:dyDescent="0.4">
      <c r="A38" s="369"/>
      <c r="B38" s="369"/>
      <c r="C38" s="369"/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9"/>
      <c r="AE38" s="369"/>
      <c r="AF38" s="369"/>
      <c r="AH38" s="1118"/>
      <c r="AI38" s="1119"/>
      <c r="AJ38" s="1119"/>
      <c r="AK38" s="1119"/>
      <c r="AL38" s="1119"/>
      <c r="AM38" s="1119"/>
      <c r="AN38" s="1119"/>
      <c r="AO38" s="1119"/>
      <c r="AP38" s="1119"/>
      <c r="AQ38" s="1119"/>
      <c r="AR38" s="1119"/>
      <c r="AS38" s="1119"/>
      <c r="AT38" s="1119"/>
      <c r="AU38" s="1119"/>
      <c r="AV38" s="1119"/>
      <c r="AW38" s="1119"/>
      <c r="AX38" s="1119"/>
      <c r="AY38" s="1120"/>
      <c r="CA38" s="1111"/>
      <c r="CB38" s="1111"/>
      <c r="CC38" s="1111"/>
      <c r="CD38" s="1111"/>
      <c r="CE38" s="1111"/>
      <c r="CF38" s="1111"/>
      <c r="CG38" s="1111"/>
      <c r="CH38" s="1111"/>
      <c r="CI38" s="1111"/>
      <c r="CJ38" s="1111"/>
      <c r="CK38" s="1111"/>
      <c r="CL38" s="1111"/>
      <c r="CM38" s="1111"/>
      <c r="CN38" s="1111"/>
      <c r="CO38" s="1111"/>
      <c r="CP38" s="1111"/>
      <c r="CQ38" s="1111"/>
      <c r="CR38" s="1111"/>
      <c r="CS38" s="1111"/>
      <c r="CT38" s="1111"/>
      <c r="CU38" s="1111"/>
      <c r="CV38" s="1111"/>
      <c r="CW38" s="1111"/>
      <c r="CX38" s="1111"/>
      <c r="EM38" s="1086"/>
      <c r="EN38" s="1086"/>
      <c r="EO38" s="1086"/>
      <c r="EP38" s="1086"/>
      <c r="EQ38" s="1086"/>
      <c r="ER38" s="1086"/>
      <c r="ES38" s="1086"/>
      <c r="ET38" s="1086"/>
      <c r="EU38" s="1086"/>
      <c r="EV38" s="1086"/>
      <c r="EW38" s="1086"/>
      <c r="EX38" s="1086"/>
      <c r="EY38" s="1086"/>
      <c r="EZ38" s="1086"/>
      <c r="FA38" s="1086"/>
      <c r="FB38" s="1086"/>
      <c r="FC38" s="1086"/>
      <c r="FD38" s="1086"/>
      <c r="FE38" s="1086"/>
      <c r="FF38" s="1086"/>
      <c r="FG38" s="1086"/>
      <c r="FH38" s="1086"/>
      <c r="FI38" s="1086"/>
      <c r="FJ38" s="1086"/>
    </row>
    <row r="39" spans="1:166" ht="3.75" customHeight="1" thickBot="1" x14ac:dyDescent="0.3">
      <c r="A39" s="355"/>
      <c r="B39" s="355"/>
      <c r="C39" s="355"/>
      <c r="D39" s="355"/>
      <c r="E39" s="355"/>
      <c r="F39" s="355"/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5"/>
      <c r="V39" s="355"/>
      <c r="W39" s="355"/>
      <c r="X39" s="355"/>
      <c r="Y39" s="355"/>
      <c r="Z39" s="355"/>
      <c r="AA39" s="355"/>
      <c r="AB39" s="355"/>
      <c r="AC39" s="355"/>
      <c r="AD39" s="355"/>
      <c r="AE39" s="355"/>
      <c r="AF39" s="355"/>
      <c r="AG39" s="355"/>
      <c r="AH39" s="355"/>
      <c r="AI39" s="355"/>
      <c r="AJ39" s="355"/>
      <c r="AK39" s="355"/>
      <c r="AL39" s="355"/>
      <c r="AM39" s="355"/>
      <c r="AN39" s="355"/>
      <c r="AO39" s="355"/>
      <c r="AP39" s="355"/>
      <c r="AQ39" s="355"/>
      <c r="AR39" s="355"/>
      <c r="AS39" s="355"/>
      <c r="AT39" s="355"/>
      <c r="AU39" s="355"/>
      <c r="AV39" s="355"/>
      <c r="AW39" s="355"/>
      <c r="AX39" s="355"/>
      <c r="AY39" s="355"/>
      <c r="AZ39" s="355"/>
      <c r="BA39" s="355"/>
      <c r="BB39" s="355"/>
      <c r="BC39" s="355"/>
      <c r="BD39" s="355"/>
      <c r="BE39" s="355"/>
      <c r="BF39" s="355"/>
      <c r="BG39" s="355"/>
      <c r="BH39" s="355"/>
      <c r="BI39" s="355"/>
      <c r="BJ39" s="355"/>
      <c r="BK39" s="355"/>
      <c r="BL39" s="355"/>
      <c r="BM39" s="355"/>
      <c r="BN39" s="355"/>
      <c r="BO39" s="355"/>
      <c r="BP39" s="355"/>
      <c r="BQ39" s="355"/>
      <c r="BR39" s="355"/>
      <c r="BS39" s="355"/>
      <c r="BT39" s="355"/>
      <c r="BU39" s="355"/>
      <c r="BV39" s="355"/>
      <c r="BW39" s="355"/>
      <c r="BX39" s="355"/>
      <c r="BY39" s="355"/>
      <c r="BZ39" s="355"/>
      <c r="CA39" s="355"/>
      <c r="CB39" s="355"/>
      <c r="CC39" s="355"/>
      <c r="CD39" s="355"/>
      <c r="CE39" s="355"/>
      <c r="CF39" s="355"/>
      <c r="CG39" s="355"/>
      <c r="CH39" s="355"/>
      <c r="CI39" s="355"/>
      <c r="CJ39" s="355"/>
      <c r="CK39" s="355"/>
      <c r="CL39" s="355"/>
      <c r="CM39" s="355"/>
      <c r="CN39" s="355"/>
      <c r="CO39" s="355"/>
      <c r="CP39" s="355"/>
      <c r="CQ39" s="355"/>
      <c r="CR39" s="355"/>
      <c r="CS39" s="355"/>
      <c r="CT39" s="355"/>
      <c r="CU39" s="355"/>
      <c r="CV39" s="355"/>
      <c r="CW39" s="355"/>
      <c r="CX39" s="355"/>
      <c r="CY39" s="355"/>
      <c r="CZ39" s="355"/>
      <c r="DA39" s="355"/>
      <c r="DB39" s="355"/>
      <c r="DC39" s="355"/>
      <c r="DD39" s="355"/>
      <c r="DE39" s="355"/>
      <c r="DF39" s="355"/>
      <c r="DG39" s="355"/>
      <c r="DH39" s="355"/>
      <c r="DI39" s="355"/>
      <c r="DJ39" s="355"/>
      <c r="DK39" s="355"/>
      <c r="DL39" s="355"/>
      <c r="DM39" s="355"/>
      <c r="DN39" s="355"/>
      <c r="DO39" s="355"/>
      <c r="DP39" s="355"/>
      <c r="DQ39" s="355"/>
      <c r="DR39" s="355"/>
      <c r="DS39" s="355"/>
      <c r="DT39" s="355"/>
      <c r="DU39" s="355"/>
      <c r="DV39" s="355"/>
      <c r="DW39" s="355"/>
      <c r="DX39" s="355"/>
      <c r="DY39" s="355"/>
      <c r="DZ39" s="355"/>
      <c r="EA39" s="355"/>
      <c r="EB39" s="355"/>
      <c r="EC39" s="355"/>
      <c r="ED39" s="355"/>
      <c r="EE39" s="355"/>
      <c r="EF39" s="355"/>
      <c r="EG39" s="355"/>
      <c r="EH39" s="355"/>
      <c r="EI39" s="355"/>
      <c r="EJ39" s="355"/>
      <c r="EK39" s="355"/>
      <c r="EL39" s="355"/>
      <c r="EM39" s="1086"/>
      <c r="EN39" s="1086"/>
      <c r="EO39" s="1086"/>
      <c r="EP39" s="1086"/>
      <c r="EQ39" s="1086"/>
      <c r="ER39" s="1086"/>
      <c r="ES39" s="1086"/>
      <c r="ET39" s="1086"/>
      <c r="EU39" s="1086"/>
      <c r="EV39" s="1086"/>
      <c r="EW39" s="1086"/>
      <c r="EX39" s="1086"/>
      <c r="EY39" s="1086"/>
      <c r="EZ39" s="1086"/>
      <c r="FA39" s="1086"/>
      <c r="FB39" s="1086"/>
      <c r="FC39" s="1086"/>
      <c r="FD39" s="1086"/>
      <c r="FE39" s="1086"/>
      <c r="FF39" s="1086"/>
      <c r="FG39" s="1086"/>
      <c r="FH39" s="1086"/>
      <c r="FI39" s="1086"/>
      <c r="FJ39" s="1086"/>
    </row>
    <row r="40" spans="1:166" ht="3.75" customHeight="1" x14ac:dyDescent="0.25">
      <c r="EM40" s="1086"/>
      <c r="EN40" s="1086"/>
      <c r="EO40" s="1086"/>
      <c r="EP40" s="1086"/>
      <c r="EQ40" s="1086"/>
      <c r="ER40" s="1086"/>
      <c r="ES40" s="1086"/>
      <c r="ET40" s="1086"/>
      <c r="EU40" s="1086"/>
      <c r="EV40" s="1086"/>
      <c r="EW40" s="1086"/>
      <c r="EX40" s="1086"/>
      <c r="EY40" s="1086"/>
      <c r="EZ40" s="1086"/>
      <c r="FA40" s="1086"/>
      <c r="FB40" s="1086"/>
      <c r="FC40" s="1086"/>
      <c r="FD40" s="1086"/>
      <c r="FE40" s="1086"/>
      <c r="FF40" s="1086"/>
      <c r="FG40" s="1086"/>
      <c r="FH40" s="1086"/>
      <c r="FI40" s="1086"/>
      <c r="FJ40" s="1086"/>
    </row>
    <row r="41" spans="1:166" ht="3.75" customHeight="1" x14ac:dyDescent="0.25">
      <c r="A41" s="1103" t="s">
        <v>634</v>
      </c>
      <c r="B41" s="1103"/>
      <c r="C41" s="1103"/>
      <c r="D41" s="1103"/>
      <c r="E41" s="1103"/>
      <c r="F41" s="1103"/>
      <c r="G41" s="1103"/>
      <c r="H41" s="1103"/>
      <c r="I41" s="1103"/>
      <c r="J41" s="1103"/>
      <c r="K41" s="1103"/>
      <c r="L41" s="1103"/>
      <c r="M41" s="1103"/>
      <c r="N41" s="1103"/>
      <c r="O41" s="1103"/>
      <c r="P41" s="1103"/>
      <c r="Q41" s="1103"/>
      <c r="R41" s="1103"/>
      <c r="S41" s="1103"/>
      <c r="T41" s="1103"/>
      <c r="U41" s="1103"/>
      <c r="V41" s="1103"/>
      <c r="W41" s="1103"/>
      <c r="Y41" s="1097"/>
      <c r="Z41" s="1097"/>
      <c r="AA41" s="1097"/>
      <c r="AB41" s="1109" t="s">
        <v>17</v>
      </c>
      <c r="AC41" s="1103"/>
      <c r="AD41" s="1103"/>
      <c r="AE41" s="1103"/>
      <c r="AF41" s="1103"/>
      <c r="AG41" s="1103"/>
      <c r="AH41" s="1103"/>
      <c r="AI41" s="356"/>
      <c r="AJ41" s="356"/>
      <c r="AK41" s="356"/>
      <c r="AV41" s="1097"/>
      <c r="AW41" s="1097"/>
      <c r="AX41" s="1097"/>
      <c r="AY41" s="1109" t="s">
        <v>633</v>
      </c>
      <c r="AZ41" s="1103"/>
      <c r="BA41" s="1103"/>
      <c r="BB41" s="1103"/>
      <c r="BC41" s="1103"/>
      <c r="BD41" s="1103"/>
      <c r="BE41" s="1103"/>
      <c r="BF41" s="1103"/>
      <c r="BG41" s="1103"/>
      <c r="BH41" s="1103"/>
      <c r="BI41" s="1103"/>
      <c r="BJ41" s="1103"/>
      <c r="BK41" s="1103"/>
      <c r="BL41" s="1103"/>
      <c r="BM41" s="1103"/>
      <c r="BN41" s="1103"/>
      <c r="CF41" s="1097"/>
      <c r="CG41" s="1097"/>
      <c r="CH41" s="1097"/>
      <c r="CI41" s="1109" t="s">
        <v>632</v>
      </c>
      <c r="CJ41" s="1103"/>
      <c r="CK41" s="1103"/>
      <c r="CL41" s="1103"/>
      <c r="CM41" s="1103"/>
      <c r="CN41" s="1103"/>
      <c r="CO41" s="1103"/>
      <c r="CP41" s="1103"/>
      <c r="CQ41" s="1103"/>
      <c r="CR41" s="1103"/>
      <c r="CS41" s="1103"/>
      <c r="DE41" s="1097"/>
      <c r="DF41" s="1097"/>
      <c r="DG41" s="1097"/>
      <c r="DH41" s="1109" t="s">
        <v>631</v>
      </c>
      <c r="DI41" s="1103"/>
      <c r="DJ41" s="1103"/>
      <c r="DK41" s="1103"/>
      <c r="DL41" s="1103"/>
      <c r="DM41" s="1103"/>
      <c r="DN41" s="1103"/>
      <c r="DO41" s="1103"/>
      <c r="DP41" s="1103"/>
      <c r="DQ41" s="1103"/>
      <c r="DR41" s="1103"/>
      <c r="DS41" s="1103"/>
      <c r="DT41" s="1103"/>
      <c r="DU41" s="1103"/>
      <c r="DV41" s="1103"/>
      <c r="DW41" s="1103"/>
      <c r="DX41" s="1103"/>
      <c r="DY41" s="1103"/>
      <c r="EM41" s="1087"/>
      <c r="EN41" s="1088"/>
      <c r="EO41" s="1088"/>
      <c r="EP41" s="1088"/>
      <c r="EQ41" s="1088"/>
      <c r="ER41" s="1088"/>
      <c r="ES41" s="1088"/>
      <c r="ET41" s="1088"/>
      <c r="EU41" s="1088"/>
      <c r="EV41" s="1088"/>
      <c r="EW41" s="1088"/>
      <c r="EX41" s="1088"/>
      <c r="EY41" s="1088"/>
      <c r="EZ41" s="1088"/>
      <c r="FA41" s="1088"/>
      <c r="FB41" s="1088"/>
      <c r="FC41" s="1088"/>
      <c r="FD41" s="1088"/>
      <c r="FE41" s="1088"/>
      <c r="FF41" s="1088"/>
      <c r="FG41" s="1088"/>
      <c r="FH41" s="1088"/>
      <c r="FI41" s="1088"/>
      <c r="FJ41" s="1089"/>
    </row>
    <row r="42" spans="1:166" ht="3.75" customHeight="1" x14ac:dyDescent="0.25">
      <c r="A42" s="1103"/>
      <c r="B42" s="1103"/>
      <c r="C42" s="1103"/>
      <c r="D42" s="1103"/>
      <c r="E42" s="1103"/>
      <c r="F42" s="1103"/>
      <c r="G42" s="1103"/>
      <c r="H42" s="1103"/>
      <c r="I42" s="1103"/>
      <c r="J42" s="1103"/>
      <c r="K42" s="1103"/>
      <c r="L42" s="1103"/>
      <c r="M42" s="1103"/>
      <c r="N42" s="1103"/>
      <c r="O42" s="1103"/>
      <c r="P42" s="1103"/>
      <c r="Q42" s="1103"/>
      <c r="R42" s="1103"/>
      <c r="S42" s="1103"/>
      <c r="T42" s="1103"/>
      <c r="U42" s="1103"/>
      <c r="V42" s="1103"/>
      <c r="W42" s="1103"/>
      <c r="Y42" s="1097"/>
      <c r="Z42" s="1097"/>
      <c r="AA42" s="1097"/>
      <c r="AB42" s="1109"/>
      <c r="AC42" s="1103"/>
      <c r="AD42" s="1103"/>
      <c r="AE42" s="1103"/>
      <c r="AF42" s="1103"/>
      <c r="AG42" s="1103"/>
      <c r="AH42" s="1103"/>
      <c r="AI42" s="356"/>
      <c r="AJ42" s="356"/>
      <c r="AK42" s="356"/>
      <c r="AV42" s="1097"/>
      <c r="AW42" s="1097"/>
      <c r="AX42" s="1097"/>
      <c r="AY42" s="1109"/>
      <c r="AZ42" s="1103"/>
      <c r="BA42" s="1103"/>
      <c r="BB42" s="1103"/>
      <c r="BC42" s="1103"/>
      <c r="BD42" s="1103"/>
      <c r="BE42" s="1103"/>
      <c r="BF42" s="1103"/>
      <c r="BG42" s="1103"/>
      <c r="BH42" s="1103"/>
      <c r="BI42" s="1103"/>
      <c r="BJ42" s="1103"/>
      <c r="BK42" s="1103"/>
      <c r="BL42" s="1103"/>
      <c r="BM42" s="1103"/>
      <c r="BN42" s="1103"/>
      <c r="CF42" s="1097"/>
      <c r="CG42" s="1097"/>
      <c r="CH42" s="1097"/>
      <c r="CI42" s="1109"/>
      <c r="CJ42" s="1103"/>
      <c r="CK42" s="1103"/>
      <c r="CL42" s="1103"/>
      <c r="CM42" s="1103"/>
      <c r="CN42" s="1103"/>
      <c r="CO42" s="1103"/>
      <c r="CP42" s="1103"/>
      <c r="CQ42" s="1103"/>
      <c r="CR42" s="1103"/>
      <c r="CS42" s="1103"/>
      <c r="DE42" s="1097"/>
      <c r="DF42" s="1097"/>
      <c r="DG42" s="1097"/>
      <c r="DH42" s="1109"/>
      <c r="DI42" s="1103"/>
      <c r="DJ42" s="1103"/>
      <c r="DK42" s="1103"/>
      <c r="DL42" s="1103"/>
      <c r="DM42" s="1103"/>
      <c r="DN42" s="1103"/>
      <c r="DO42" s="1103"/>
      <c r="DP42" s="1103"/>
      <c r="DQ42" s="1103"/>
      <c r="DR42" s="1103"/>
      <c r="DS42" s="1103"/>
      <c r="DT42" s="1103"/>
      <c r="DU42" s="1103"/>
      <c r="DV42" s="1103"/>
      <c r="DW42" s="1103"/>
      <c r="DX42" s="1103"/>
      <c r="DY42" s="1103"/>
      <c r="EM42" s="1090"/>
      <c r="EN42" s="1091"/>
      <c r="EO42" s="1091"/>
      <c r="EP42" s="1091"/>
      <c r="EQ42" s="1091"/>
      <c r="ER42" s="1091"/>
      <c r="ES42" s="1091"/>
      <c r="ET42" s="1091"/>
      <c r="EU42" s="1091"/>
      <c r="EV42" s="1091"/>
      <c r="EW42" s="1091"/>
      <c r="EX42" s="1091"/>
      <c r="EY42" s="1091"/>
      <c r="EZ42" s="1091"/>
      <c r="FA42" s="1091"/>
      <c r="FB42" s="1091"/>
      <c r="FC42" s="1091"/>
      <c r="FD42" s="1091"/>
      <c r="FE42" s="1091"/>
      <c r="FF42" s="1091"/>
      <c r="FG42" s="1091"/>
      <c r="FH42" s="1091"/>
      <c r="FI42" s="1091"/>
      <c r="FJ42" s="1092"/>
    </row>
    <row r="43" spans="1:166" ht="3.75" customHeight="1" x14ac:dyDescent="0.25">
      <c r="A43" s="1103"/>
      <c r="B43" s="1103"/>
      <c r="C43" s="1103"/>
      <c r="D43" s="1103"/>
      <c r="E43" s="1103"/>
      <c r="F43" s="1103"/>
      <c r="G43" s="1103"/>
      <c r="H43" s="1103"/>
      <c r="I43" s="1103"/>
      <c r="J43" s="1103"/>
      <c r="K43" s="1103"/>
      <c r="L43" s="1103"/>
      <c r="M43" s="1103"/>
      <c r="N43" s="1103"/>
      <c r="O43" s="1103"/>
      <c r="P43" s="1103"/>
      <c r="Q43" s="1103"/>
      <c r="R43" s="1103"/>
      <c r="S43" s="1103"/>
      <c r="T43" s="1103"/>
      <c r="U43" s="1103"/>
      <c r="V43" s="1103"/>
      <c r="W43" s="1103"/>
      <c r="Y43" s="1097"/>
      <c r="Z43" s="1097"/>
      <c r="AA43" s="1097"/>
      <c r="AB43" s="1109"/>
      <c r="AC43" s="1103"/>
      <c r="AD43" s="1103"/>
      <c r="AE43" s="1103"/>
      <c r="AF43" s="1103"/>
      <c r="AG43" s="1103"/>
      <c r="AH43" s="1103"/>
      <c r="AI43" s="356"/>
      <c r="AJ43" s="356"/>
      <c r="AK43" s="356"/>
      <c r="AV43" s="1097"/>
      <c r="AW43" s="1097"/>
      <c r="AX43" s="1097"/>
      <c r="AY43" s="1109"/>
      <c r="AZ43" s="1103"/>
      <c r="BA43" s="1103"/>
      <c r="BB43" s="1103"/>
      <c r="BC43" s="1103"/>
      <c r="BD43" s="1103"/>
      <c r="BE43" s="1103"/>
      <c r="BF43" s="1103"/>
      <c r="BG43" s="1103"/>
      <c r="BH43" s="1103"/>
      <c r="BI43" s="1103"/>
      <c r="BJ43" s="1103"/>
      <c r="BK43" s="1103"/>
      <c r="BL43" s="1103"/>
      <c r="BM43" s="1103"/>
      <c r="BN43" s="1103"/>
      <c r="CF43" s="1097"/>
      <c r="CG43" s="1097"/>
      <c r="CH43" s="1097"/>
      <c r="CI43" s="1109"/>
      <c r="CJ43" s="1103"/>
      <c r="CK43" s="1103"/>
      <c r="CL43" s="1103"/>
      <c r="CM43" s="1103"/>
      <c r="CN43" s="1103"/>
      <c r="CO43" s="1103"/>
      <c r="CP43" s="1103"/>
      <c r="CQ43" s="1103"/>
      <c r="CR43" s="1103"/>
      <c r="CS43" s="1103"/>
      <c r="DE43" s="1097"/>
      <c r="DF43" s="1097"/>
      <c r="DG43" s="1097"/>
      <c r="DH43" s="1109"/>
      <c r="DI43" s="1103"/>
      <c r="DJ43" s="1103"/>
      <c r="DK43" s="1103"/>
      <c r="DL43" s="1103"/>
      <c r="DM43" s="1103"/>
      <c r="DN43" s="1103"/>
      <c r="DO43" s="1103"/>
      <c r="DP43" s="1103"/>
      <c r="DQ43" s="1103"/>
      <c r="DR43" s="1103"/>
      <c r="DS43" s="1103"/>
      <c r="DT43" s="1103"/>
      <c r="DU43" s="1103"/>
      <c r="DV43" s="1103"/>
      <c r="DW43" s="1103"/>
      <c r="DX43" s="1103"/>
      <c r="DY43" s="1103"/>
      <c r="EM43" s="1090"/>
      <c r="EN43" s="1091"/>
      <c r="EO43" s="1091"/>
      <c r="EP43" s="1091"/>
      <c r="EQ43" s="1091"/>
      <c r="ER43" s="1091"/>
      <c r="ES43" s="1091"/>
      <c r="ET43" s="1091"/>
      <c r="EU43" s="1091"/>
      <c r="EV43" s="1091"/>
      <c r="EW43" s="1091"/>
      <c r="EX43" s="1091"/>
      <c r="EY43" s="1091"/>
      <c r="EZ43" s="1091"/>
      <c r="FA43" s="1091"/>
      <c r="FB43" s="1091"/>
      <c r="FC43" s="1091"/>
      <c r="FD43" s="1091"/>
      <c r="FE43" s="1091"/>
      <c r="FF43" s="1091"/>
      <c r="FG43" s="1091"/>
      <c r="FH43" s="1091"/>
      <c r="FI43" s="1091"/>
      <c r="FJ43" s="1092"/>
    </row>
    <row r="44" spans="1:166" ht="3.75" customHeight="1" thickBot="1" x14ac:dyDescent="0.3">
      <c r="A44" s="355"/>
      <c r="B44" s="355"/>
      <c r="C44" s="355"/>
      <c r="D44" s="355"/>
      <c r="E44" s="355"/>
      <c r="F44" s="355"/>
      <c r="G44" s="355"/>
      <c r="H44" s="355"/>
      <c r="I44" s="355"/>
      <c r="J44" s="355"/>
      <c r="K44" s="355"/>
      <c r="L44" s="355"/>
      <c r="M44" s="355"/>
      <c r="N44" s="355"/>
      <c r="O44" s="355"/>
      <c r="P44" s="355"/>
      <c r="Q44" s="355"/>
      <c r="R44" s="355"/>
      <c r="S44" s="355"/>
      <c r="T44" s="355"/>
      <c r="U44" s="355"/>
      <c r="V44" s="355"/>
      <c r="W44" s="355"/>
      <c r="X44" s="355"/>
      <c r="Y44" s="355"/>
      <c r="Z44" s="355"/>
      <c r="AA44" s="355"/>
      <c r="AB44" s="355"/>
      <c r="AC44" s="355"/>
      <c r="AD44" s="355"/>
      <c r="AE44" s="355"/>
      <c r="AF44" s="355"/>
      <c r="AG44" s="355"/>
      <c r="AH44" s="355"/>
      <c r="AI44" s="355"/>
      <c r="AJ44" s="355"/>
      <c r="AK44" s="355"/>
      <c r="AL44" s="355"/>
      <c r="AM44" s="355"/>
      <c r="AN44" s="355"/>
      <c r="AO44" s="355"/>
      <c r="AP44" s="355"/>
      <c r="AQ44" s="355"/>
      <c r="AR44" s="355"/>
      <c r="AS44" s="355"/>
      <c r="AT44" s="355"/>
      <c r="AU44" s="355"/>
      <c r="AV44" s="355"/>
      <c r="AW44" s="355"/>
      <c r="AX44" s="355"/>
      <c r="AY44" s="355"/>
      <c r="AZ44" s="355"/>
      <c r="BA44" s="355"/>
      <c r="BB44" s="355"/>
      <c r="BC44" s="355"/>
      <c r="BD44" s="355"/>
      <c r="BE44" s="355"/>
      <c r="BF44" s="355"/>
      <c r="BG44" s="355"/>
      <c r="BH44" s="355"/>
      <c r="BI44" s="355"/>
      <c r="BJ44" s="355"/>
      <c r="BK44" s="355"/>
      <c r="BL44" s="355"/>
      <c r="BM44" s="355"/>
      <c r="BN44" s="355"/>
      <c r="BO44" s="355"/>
      <c r="BP44" s="355"/>
      <c r="BQ44" s="355"/>
      <c r="BR44" s="355"/>
      <c r="BS44" s="355"/>
      <c r="BT44" s="355"/>
      <c r="BU44" s="355"/>
      <c r="BV44" s="355"/>
      <c r="BW44" s="355"/>
      <c r="BX44" s="355"/>
      <c r="BY44" s="355"/>
      <c r="BZ44" s="355"/>
      <c r="CA44" s="355"/>
      <c r="CB44" s="355"/>
      <c r="CC44" s="355"/>
      <c r="CD44" s="355"/>
      <c r="CE44" s="355"/>
      <c r="CF44" s="355"/>
      <c r="CG44" s="355"/>
      <c r="CH44" s="355"/>
      <c r="CI44" s="355"/>
      <c r="CJ44" s="355"/>
      <c r="CK44" s="355"/>
      <c r="CL44" s="355"/>
      <c r="CM44" s="355"/>
      <c r="CN44" s="355"/>
      <c r="CO44" s="355"/>
      <c r="CP44" s="355"/>
      <c r="CQ44" s="355"/>
      <c r="CR44" s="355"/>
      <c r="CS44" s="355"/>
      <c r="CT44" s="355"/>
      <c r="CU44" s="355"/>
      <c r="CV44" s="355"/>
      <c r="CW44" s="355"/>
      <c r="CX44" s="355"/>
      <c r="CY44" s="355"/>
      <c r="CZ44" s="355"/>
      <c r="DA44" s="355"/>
      <c r="DB44" s="355"/>
      <c r="DC44" s="355"/>
      <c r="DD44" s="355"/>
      <c r="DE44" s="355"/>
      <c r="DF44" s="355"/>
      <c r="DG44" s="355"/>
      <c r="DH44" s="355"/>
      <c r="DI44" s="355"/>
      <c r="DJ44" s="355"/>
      <c r="DK44" s="355"/>
      <c r="DL44" s="355"/>
      <c r="DM44" s="355"/>
      <c r="DN44" s="355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  <c r="ED44" s="355"/>
      <c r="EE44" s="355"/>
      <c r="EF44" s="355"/>
      <c r="EG44" s="355"/>
      <c r="EH44" s="355"/>
      <c r="EI44" s="355"/>
      <c r="EJ44" s="355"/>
      <c r="EK44" s="355"/>
      <c r="EL44" s="355"/>
      <c r="EM44" s="1090"/>
      <c r="EN44" s="1091"/>
      <c r="EO44" s="1091"/>
      <c r="EP44" s="1091"/>
      <c r="EQ44" s="1091"/>
      <c r="ER44" s="1091"/>
      <c r="ES44" s="1091"/>
      <c r="ET44" s="1091"/>
      <c r="EU44" s="1091"/>
      <c r="EV44" s="1091"/>
      <c r="EW44" s="1091"/>
      <c r="EX44" s="1091"/>
      <c r="EY44" s="1091"/>
      <c r="EZ44" s="1091"/>
      <c r="FA44" s="1091"/>
      <c r="FB44" s="1091"/>
      <c r="FC44" s="1091"/>
      <c r="FD44" s="1091"/>
      <c r="FE44" s="1091"/>
      <c r="FF44" s="1091"/>
      <c r="FG44" s="1091"/>
      <c r="FH44" s="1091"/>
      <c r="FI44" s="1091"/>
      <c r="FJ44" s="1092"/>
    </row>
    <row r="45" spans="1:166" ht="3.75" customHeight="1" x14ac:dyDescent="0.25">
      <c r="EM45" s="1093"/>
      <c r="EN45" s="1094"/>
      <c r="EO45" s="1094"/>
      <c r="EP45" s="1094"/>
      <c r="EQ45" s="1094"/>
      <c r="ER45" s="1094"/>
      <c r="ES45" s="1094"/>
      <c r="ET45" s="1094"/>
      <c r="EU45" s="1094"/>
      <c r="EV45" s="1094"/>
      <c r="EW45" s="1094"/>
      <c r="EX45" s="1094"/>
      <c r="EY45" s="1094"/>
      <c r="EZ45" s="1094"/>
      <c r="FA45" s="1094"/>
      <c r="FB45" s="1094"/>
      <c r="FC45" s="1094"/>
      <c r="FD45" s="1094"/>
      <c r="FE45" s="1094"/>
      <c r="FF45" s="1094"/>
      <c r="FG45" s="1094"/>
      <c r="FH45" s="1094"/>
      <c r="FI45" s="1094"/>
      <c r="FJ45" s="1095"/>
    </row>
    <row r="46" spans="1:166" ht="3.75" customHeight="1" x14ac:dyDescent="0.25">
      <c r="A46" s="1103" t="s">
        <v>630</v>
      </c>
      <c r="B46" s="1103"/>
      <c r="C46" s="1103"/>
      <c r="D46" s="1103"/>
      <c r="E46" s="1103"/>
      <c r="F46" s="1103"/>
      <c r="G46" s="1103"/>
      <c r="H46" s="1103"/>
      <c r="I46" s="1103"/>
      <c r="J46" s="1103"/>
      <c r="K46" s="1103"/>
      <c r="L46" s="1103"/>
      <c r="M46" s="1103"/>
      <c r="N46" s="1103"/>
      <c r="O46" s="1103"/>
      <c r="P46" s="1103"/>
      <c r="Q46" s="1103"/>
      <c r="R46" s="1103"/>
      <c r="S46" s="1103"/>
      <c r="T46" s="1103"/>
      <c r="U46" s="1103"/>
      <c r="V46" s="1103"/>
      <c r="W46" s="1103"/>
      <c r="Y46" s="1097"/>
      <c r="Z46" s="1097"/>
      <c r="AA46" s="1097"/>
      <c r="AB46" s="1109" t="s">
        <v>629</v>
      </c>
      <c r="AC46" s="1103"/>
      <c r="AD46" s="1103"/>
      <c r="AE46" s="1103"/>
      <c r="AF46" s="1103"/>
      <c r="AG46" s="1103"/>
      <c r="AH46" s="1103"/>
      <c r="AI46" s="1103"/>
      <c r="AJ46" s="1103"/>
      <c r="AK46" s="1103"/>
      <c r="AL46" s="1103"/>
      <c r="AM46" s="1103"/>
      <c r="AN46" s="1103"/>
      <c r="AO46" s="1103"/>
      <c r="AP46" s="1103"/>
      <c r="AQ46" s="1103"/>
      <c r="AR46" s="1103"/>
      <c r="AS46" s="1103"/>
      <c r="AT46" s="1103"/>
      <c r="AU46" s="1103"/>
      <c r="AV46" s="1103"/>
      <c r="AW46" s="1103"/>
      <c r="AX46" s="1103"/>
      <c r="AY46" s="1103"/>
      <c r="AZ46" s="358"/>
      <c r="BE46" s="1097"/>
      <c r="BF46" s="1097"/>
      <c r="BG46" s="1097"/>
      <c r="BH46" s="1109" t="s">
        <v>628</v>
      </c>
      <c r="BI46" s="1103"/>
      <c r="BJ46" s="1103"/>
      <c r="BK46" s="1103"/>
      <c r="BL46" s="1103"/>
      <c r="BM46" s="1103"/>
      <c r="BN46" s="1103"/>
      <c r="BO46" s="1103"/>
      <c r="BP46" s="1103"/>
      <c r="BQ46" s="1103"/>
      <c r="BR46" s="1103"/>
      <c r="BS46" s="1103"/>
      <c r="BT46" s="1103"/>
      <c r="BU46" s="1103"/>
      <c r="BV46" s="1103"/>
      <c r="BW46" s="1103"/>
      <c r="BX46" s="1103"/>
      <c r="BY46" s="1103"/>
      <c r="BZ46" s="1103"/>
      <c r="CA46" s="1103"/>
      <c r="CB46" s="1103"/>
      <c r="CC46" s="1103"/>
      <c r="CD46" s="1103"/>
      <c r="CE46" s="1103"/>
      <c r="CF46" s="1103"/>
      <c r="CG46" s="1103"/>
      <c r="CH46" s="1103"/>
      <c r="CI46" s="1103"/>
      <c r="CJ46" s="1103"/>
      <c r="CK46" s="1103"/>
      <c r="CL46" s="1103"/>
      <c r="CM46" s="1103"/>
      <c r="CN46" s="1103"/>
      <c r="CO46" s="1103"/>
      <c r="CP46" s="1103"/>
      <c r="CQ46" s="1103"/>
      <c r="CR46" s="1103"/>
      <c r="CS46" s="1103"/>
      <c r="CT46" s="1103"/>
    </row>
    <row r="47" spans="1:166" ht="3.75" customHeight="1" x14ac:dyDescent="0.25">
      <c r="A47" s="1103"/>
      <c r="B47" s="1103"/>
      <c r="C47" s="1103"/>
      <c r="D47" s="1103"/>
      <c r="E47" s="1103"/>
      <c r="F47" s="1103"/>
      <c r="G47" s="1103"/>
      <c r="H47" s="1103"/>
      <c r="I47" s="1103"/>
      <c r="J47" s="1103"/>
      <c r="K47" s="1103"/>
      <c r="L47" s="1103"/>
      <c r="M47" s="1103"/>
      <c r="N47" s="1103"/>
      <c r="O47" s="1103"/>
      <c r="P47" s="1103"/>
      <c r="Q47" s="1103"/>
      <c r="R47" s="1103"/>
      <c r="S47" s="1103"/>
      <c r="T47" s="1103"/>
      <c r="U47" s="1103"/>
      <c r="V47" s="1103"/>
      <c r="W47" s="1103"/>
      <c r="Y47" s="1097"/>
      <c r="Z47" s="1097"/>
      <c r="AA47" s="1097"/>
      <c r="AB47" s="1109"/>
      <c r="AC47" s="1103"/>
      <c r="AD47" s="1103"/>
      <c r="AE47" s="1103"/>
      <c r="AF47" s="1103"/>
      <c r="AG47" s="1103"/>
      <c r="AH47" s="1103"/>
      <c r="AI47" s="1103"/>
      <c r="AJ47" s="1103"/>
      <c r="AK47" s="1103"/>
      <c r="AL47" s="1103"/>
      <c r="AM47" s="1103"/>
      <c r="AN47" s="1103"/>
      <c r="AO47" s="1103"/>
      <c r="AP47" s="1103"/>
      <c r="AQ47" s="1103"/>
      <c r="AR47" s="1103"/>
      <c r="AS47" s="1103"/>
      <c r="AT47" s="1103"/>
      <c r="AU47" s="1103"/>
      <c r="AV47" s="1103"/>
      <c r="AW47" s="1103"/>
      <c r="AX47" s="1103"/>
      <c r="AY47" s="1103"/>
      <c r="AZ47" s="358"/>
      <c r="BE47" s="1097"/>
      <c r="BF47" s="1097"/>
      <c r="BG47" s="1097"/>
      <c r="BH47" s="1109"/>
      <c r="BI47" s="1103"/>
      <c r="BJ47" s="1103"/>
      <c r="BK47" s="1103"/>
      <c r="BL47" s="1103"/>
      <c r="BM47" s="1103"/>
      <c r="BN47" s="1103"/>
      <c r="BO47" s="1103"/>
      <c r="BP47" s="1103"/>
      <c r="BQ47" s="1103"/>
      <c r="BR47" s="1103"/>
      <c r="BS47" s="1103"/>
      <c r="BT47" s="1103"/>
      <c r="BU47" s="1103"/>
      <c r="BV47" s="1103"/>
      <c r="BW47" s="1103"/>
      <c r="BX47" s="1103"/>
      <c r="BY47" s="1103"/>
      <c r="BZ47" s="1103"/>
      <c r="CA47" s="1103"/>
      <c r="CB47" s="1103"/>
      <c r="CC47" s="1103"/>
      <c r="CD47" s="1103"/>
      <c r="CE47" s="1103"/>
      <c r="CF47" s="1103"/>
      <c r="CG47" s="1103"/>
      <c r="CH47" s="1103"/>
      <c r="CI47" s="1103"/>
      <c r="CJ47" s="1103"/>
      <c r="CK47" s="1103"/>
      <c r="CL47" s="1103"/>
      <c r="CM47" s="1103"/>
      <c r="CN47" s="1103"/>
      <c r="CO47" s="1103"/>
      <c r="CP47" s="1103"/>
      <c r="CQ47" s="1103"/>
      <c r="CR47" s="1103"/>
      <c r="CS47" s="1103"/>
      <c r="CT47" s="1103"/>
    </row>
    <row r="48" spans="1:166" ht="3.75" customHeight="1" x14ac:dyDescent="0.25">
      <c r="A48" s="1103"/>
      <c r="B48" s="1103"/>
      <c r="C48" s="1103"/>
      <c r="D48" s="1103"/>
      <c r="E48" s="1103"/>
      <c r="F48" s="1103"/>
      <c r="G48" s="1103"/>
      <c r="H48" s="1103"/>
      <c r="I48" s="1103"/>
      <c r="J48" s="1103"/>
      <c r="K48" s="1103"/>
      <c r="L48" s="1103"/>
      <c r="M48" s="1103"/>
      <c r="N48" s="1103"/>
      <c r="O48" s="1103"/>
      <c r="P48" s="1103"/>
      <c r="Q48" s="1103"/>
      <c r="R48" s="1103"/>
      <c r="S48" s="1103"/>
      <c r="T48" s="1103"/>
      <c r="U48" s="1103"/>
      <c r="V48" s="1103"/>
      <c r="W48" s="1103"/>
      <c r="Y48" s="1097"/>
      <c r="Z48" s="1097"/>
      <c r="AA48" s="1097"/>
      <c r="AB48" s="1109"/>
      <c r="AC48" s="1103"/>
      <c r="AD48" s="1103"/>
      <c r="AE48" s="1103"/>
      <c r="AF48" s="1103"/>
      <c r="AG48" s="1103"/>
      <c r="AH48" s="1103"/>
      <c r="AI48" s="1103"/>
      <c r="AJ48" s="1103"/>
      <c r="AK48" s="1103"/>
      <c r="AL48" s="1103"/>
      <c r="AM48" s="1103"/>
      <c r="AN48" s="1103"/>
      <c r="AO48" s="1103"/>
      <c r="AP48" s="1103"/>
      <c r="AQ48" s="1103"/>
      <c r="AR48" s="1103"/>
      <c r="AS48" s="1103"/>
      <c r="AT48" s="1103"/>
      <c r="AU48" s="1103"/>
      <c r="AV48" s="1103"/>
      <c r="AW48" s="1103"/>
      <c r="AX48" s="1103"/>
      <c r="AY48" s="1103"/>
      <c r="AZ48" s="358"/>
      <c r="BE48" s="1097"/>
      <c r="BF48" s="1097"/>
      <c r="BG48" s="1097"/>
      <c r="BH48" s="1109"/>
      <c r="BI48" s="1103"/>
      <c r="BJ48" s="1103"/>
      <c r="BK48" s="1103"/>
      <c r="BL48" s="1103"/>
      <c r="BM48" s="1103"/>
      <c r="BN48" s="1103"/>
      <c r="BO48" s="1103"/>
      <c r="BP48" s="1103"/>
      <c r="BQ48" s="1103"/>
      <c r="BR48" s="1103"/>
      <c r="BS48" s="1103"/>
      <c r="BT48" s="1103"/>
      <c r="BU48" s="1103"/>
      <c r="BV48" s="1103"/>
      <c r="BW48" s="1103"/>
      <c r="BX48" s="1103"/>
      <c r="BY48" s="1103"/>
      <c r="BZ48" s="1103"/>
      <c r="CA48" s="1103"/>
      <c r="CB48" s="1103"/>
      <c r="CC48" s="1103"/>
      <c r="CD48" s="1103"/>
      <c r="CE48" s="1103"/>
      <c r="CF48" s="1103"/>
      <c r="CG48" s="1103"/>
      <c r="CH48" s="1103"/>
      <c r="CI48" s="1103"/>
      <c r="CJ48" s="1103"/>
      <c r="CK48" s="1103"/>
      <c r="CL48" s="1103"/>
      <c r="CM48" s="1103"/>
      <c r="CN48" s="1103"/>
      <c r="CO48" s="1103"/>
      <c r="CP48" s="1103"/>
      <c r="CQ48" s="1103"/>
      <c r="CR48" s="1103"/>
      <c r="CS48" s="1103"/>
      <c r="CT48" s="1103"/>
    </row>
    <row r="49" spans="1:142" ht="3.75" customHeight="1" thickBot="1" x14ac:dyDescent="0.3">
      <c r="A49" s="355"/>
      <c r="B49" s="355"/>
      <c r="C49" s="355"/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55"/>
      <c r="W49" s="355"/>
      <c r="X49" s="355"/>
      <c r="Y49" s="355"/>
      <c r="Z49" s="355"/>
      <c r="AA49" s="355"/>
      <c r="AB49" s="355"/>
      <c r="AC49" s="355"/>
      <c r="AD49" s="355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5"/>
      <c r="AT49" s="355"/>
      <c r="AU49" s="355"/>
      <c r="AV49" s="355"/>
      <c r="AW49" s="355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55"/>
      <c r="BI49" s="355"/>
      <c r="BJ49" s="355"/>
      <c r="BK49" s="355"/>
      <c r="BL49" s="355"/>
      <c r="BM49" s="355"/>
      <c r="BN49" s="355"/>
      <c r="BO49" s="355"/>
      <c r="BP49" s="355"/>
      <c r="BQ49" s="355"/>
      <c r="BR49" s="355"/>
      <c r="BS49" s="355"/>
      <c r="BT49" s="355"/>
      <c r="BU49" s="355"/>
      <c r="BV49" s="355"/>
      <c r="BW49" s="355"/>
      <c r="BX49" s="355"/>
      <c r="BY49" s="355"/>
      <c r="BZ49" s="355"/>
      <c r="CA49" s="355"/>
      <c r="CB49" s="355"/>
      <c r="CC49" s="355"/>
      <c r="CD49" s="355"/>
      <c r="CE49" s="355"/>
      <c r="CF49" s="355"/>
      <c r="CG49" s="355"/>
      <c r="CH49" s="355"/>
      <c r="CI49" s="355"/>
      <c r="CJ49" s="355"/>
      <c r="CK49" s="355"/>
      <c r="CL49" s="355"/>
      <c r="CM49" s="355"/>
      <c r="CN49" s="355"/>
      <c r="CO49" s="355"/>
      <c r="CP49" s="355"/>
      <c r="CQ49" s="355"/>
      <c r="CR49" s="355"/>
      <c r="CS49" s="355"/>
      <c r="CT49" s="355"/>
      <c r="CU49" s="355"/>
      <c r="CV49" s="355"/>
      <c r="CW49" s="355"/>
      <c r="CX49" s="355"/>
      <c r="CY49" s="355"/>
      <c r="CZ49" s="355"/>
      <c r="DA49" s="355"/>
      <c r="DB49" s="355"/>
      <c r="DC49" s="355"/>
      <c r="DD49" s="355"/>
      <c r="DE49" s="355"/>
      <c r="DF49" s="355"/>
      <c r="DG49" s="355"/>
      <c r="DH49" s="355"/>
      <c r="DI49" s="355"/>
      <c r="DJ49" s="355"/>
      <c r="DK49" s="355"/>
      <c r="DL49" s="355"/>
      <c r="DM49" s="355"/>
      <c r="DN49" s="355"/>
      <c r="DO49" s="355"/>
      <c r="DP49" s="355"/>
      <c r="DQ49" s="355"/>
      <c r="DR49" s="355"/>
      <c r="DS49" s="355"/>
      <c r="DT49" s="355"/>
      <c r="DU49" s="355"/>
      <c r="DV49" s="355"/>
      <c r="DW49" s="355"/>
      <c r="DX49" s="355"/>
      <c r="DY49" s="355"/>
      <c r="DZ49" s="355"/>
      <c r="EA49" s="355"/>
      <c r="EB49" s="355"/>
      <c r="EC49" s="355"/>
      <c r="ED49" s="355"/>
      <c r="EE49" s="355"/>
      <c r="EF49" s="355"/>
      <c r="EG49" s="355"/>
      <c r="EH49" s="355"/>
      <c r="EI49" s="355"/>
      <c r="EJ49" s="355"/>
      <c r="EK49" s="355"/>
      <c r="EL49" s="355"/>
    </row>
    <row r="50" spans="1:142" ht="3.75" customHeight="1" x14ac:dyDescent="0.25">
      <c r="BS50" s="368"/>
    </row>
    <row r="51" spans="1:142" ht="3.75" customHeight="1" x14ac:dyDescent="0.25">
      <c r="A51" s="1077" t="s">
        <v>627</v>
      </c>
      <c r="B51" s="1077"/>
      <c r="C51" s="1077"/>
      <c r="D51" s="1077"/>
      <c r="E51" s="1077"/>
      <c r="F51" s="1077"/>
      <c r="G51" s="1077"/>
      <c r="H51" s="1077"/>
      <c r="I51" s="1077"/>
      <c r="J51" s="1077"/>
      <c r="K51" s="1077"/>
      <c r="L51" s="1077"/>
      <c r="M51" s="1077"/>
      <c r="N51" s="1077"/>
      <c r="O51" s="1077"/>
      <c r="P51" s="1077"/>
      <c r="Q51" s="361"/>
      <c r="R51" s="1076" t="s">
        <v>134</v>
      </c>
      <c r="S51" s="1076"/>
      <c r="T51" s="1076"/>
      <c r="U51" s="1076"/>
      <c r="V51" s="1076"/>
      <c r="W51" s="1076"/>
      <c r="Y51" s="1076" t="s">
        <v>141</v>
      </c>
      <c r="Z51" s="1076"/>
      <c r="AA51" s="1076"/>
      <c r="AB51" s="1076"/>
      <c r="AC51" s="1076"/>
      <c r="AD51" s="1076"/>
      <c r="AE51" s="1076"/>
      <c r="AF51" s="1076"/>
      <c r="AG51" s="1076"/>
      <c r="AH51" s="1076"/>
      <c r="AI51" s="1076"/>
      <c r="AJ51" s="1076"/>
      <c r="AK51" s="1076"/>
      <c r="AL51" s="1076"/>
      <c r="AM51" s="1076"/>
      <c r="AN51" s="1076"/>
      <c r="AO51" s="1076"/>
      <c r="AP51" s="1076"/>
      <c r="AR51" s="1076" t="s">
        <v>142</v>
      </c>
      <c r="AS51" s="1076"/>
      <c r="AT51" s="1076"/>
      <c r="AU51" s="1076"/>
      <c r="AV51" s="1076"/>
      <c r="AW51" s="1076"/>
      <c r="AX51" s="1076"/>
      <c r="AY51" s="1076"/>
      <c r="AZ51" s="1076"/>
      <c r="BA51" s="1076"/>
      <c r="BB51" s="1076"/>
      <c r="BC51" s="1076"/>
      <c r="BD51" s="1076"/>
      <c r="BE51" s="1076"/>
      <c r="BF51" s="1076"/>
      <c r="BG51" s="1076"/>
      <c r="BH51" s="1076"/>
      <c r="BI51" s="1076"/>
      <c r="BK51" s="1100" t="s">
        <v>593</v>
      </c>
      <c r="BL51" s="1100"/>
      <c r="BM51" s="1100"/>
      <c r="BN51" s="1100"/>
      <c r="BO51" s="1100"/>
      <c r="BP51" s="1100"/>
      <c r="BQ51" s="1100"/>
      <c r="BR51" s="1100"/>
      <c r="BS51" s="73"/>
      <c r="BU51" s="1077" t="s">
        <v>627</v>
      </c>
      <c r="BV51" s="1077"/>
      <c r="BW51" s="1077"/>
      <c r="BX51" s="1077"/>
      <c r="BY51" s="1077"/>
      <c r="BZ51" s="1077"/>
      <c r="CA51" s="1077"/>
      <c r="CB51" s="1077"/>
      <c r="CC51" s="1077"/>
      <c r="CD51" s="1077"/>
      <c r="CE51" s="1077"/>
      <c r="CF51" s="1077"/>
      <c r="CG51" s="1077"/>
      <c r="CH51" s="1077"/>
      <c r="CI51" s="1077"/>
      <c r="CJ51" s="1077"/>
      <c r="CK51" s="361"/>
      <c r="CL51" s="1076" t="s">
        <v>134</v>
      </c>
      <c r="CM51" s="1076"/>
      <c r="CN51" s="1076"/>
      <c r="CO51" s="1076"/>
      <c r="CP51" s="1076"/>
      <c r="CQ51" s="1076"/>
      <c r="CS51" s="1076" t="s">
        <v>141</v>
      </c>
      <c r="CT51" s="1076"/>
      <c r="CU51" s="1076"/>
      <c r="CV51" s="1076"/>
      <c r="CW51" s="1076"/>
      <c r="CX51" s="1076"/>
      <c r="CY51" s="1076"/>
      <c r="CZ51" s="1076"/>
      <c r="DA51" s="1076"/>
      <c r="DB51" s="1076"/>
      <c r="DC51" s="1076"/>
      <c r="DD51" s="1076"/>
      <c r="DE51" s="1076"/>
      <c r="DF51" s="1076"/>
      <c r="DG51" s="1076"/>
      <c r="DH51" s="1076"/>
      <c r="DI51" s="1076"/>
      <c r="DJ51" s="1076"/>
      <c r="DL51" s="1076" t="s">
        <v>142</v>
      </c>
      <c r="DM51" s="1076"/>
      <c r="DN51" s="1076"/>
      <c r="DO51" s="1076"/>
      <c r="DP51" s="1076"/>
      <c r="DQ51" s="1076"/>
      <c r="DR51" s="1076"/>
      <c r="DS51" s="1076"/>
      <c r="DT51" s="1076"/>
      <c r="DU51" s="1076"/>
      <c r="DV51" s="1076"/>
      <c r="DW51" s="1076"/>
      <c r="DX51" s="1076"/>
      <c r="DY51" s="1076"/>
      <c r="DZ51" s="1076"/>
      <c r="EA51" s="1076"/>
      <c r="EB51" s="1076"/>
      <c r="EC51" s="1076"/>
      <c r="EE51" s="1100" t="s">
        <v>593</v>
      </c>
      <c r="EF51" s="1100"/>
      <c r="EG51" s="1100"/>
      <c r="EH51" s="1100"/>
      <c r="EI51" s="1100"/>
      <c r="EJ51" s="1100"/>
      <c r="EK51" s="1100"/>
      <c r="EL51" s="1100"/>
    </row>
    <row r="52" spans="1:142" ht="3.75" customHeight="1" x14ac:dyDescent="0.25">
      <c r="A52" s="1077"/>
      <c r="B52" s="1077"/>
      <c r="C52" s="1077"/>
      <c r="D52" s="1077"/>
      <c r="E52" s="1077"/>
      <c r="F52" s="1077"/>
      <c r="G52" s="1077"/>
      <c r="H52" s="1077"/>
      <c r="I52" s="1077"/>
      <c r="J52" s="1077"/>
      <c r="K52" s="1077"/>
      <c r="L52" s="1077"/>
      <c r="M52" s="1077"/>
      <c r="N52" s="1077"/>
      <c r="O52" s="1077"/>
      <c r="P52" s="1077"/>
      <c r="Q52" s="361"/>
      <c r="R52" s="1076"/>
      <c r="S52" s="1076"/>
      <c r="T52" s="1076"/>
      <c r="U52" s="1076"/>
      <c r="V52" s="1076"/>
      <c r="W52" s="1076"/>
      <c r="Y52" s="1076"/>
      <c r="Z52" s="1076"/>
      <c r="AA52" s="1076"/>
      <c r="AB52" s="1076"/>
      <c r="AC52" s="1076"/>
      <c r="AD52" s="1076"/>
      <c r="AE52" s="1076"/>
      <c r="AF52" s="1076"/>
      <c r="AG52" s="1076"/>
      <c r="AH52" s="1076"/>
      <c r="AI52" s="1076"/>
      <c r="AJ52" s="1076"/>
      <c r="AK52" s="1076"/>
      <c r="AL52" s="1076"/>
      <c r="AM52" s="1076"/>
      <c r="AN52" s="1076"/>
      <c r="AO52" s="1076"/>
      <c r="AP52" s="1076"/>
      <c r="AR52" s="1076"/>
      <c r="AS52" s="1076"/>
      <c r="AT52" s="1076"/>
      <c r="AU52" s="1076"/>
      <c r="AV52" s="1076"/>
      <c r="AW52" s="1076"/>
      <c r="AX52" s="1076"/>
      <c r="AY52" s="1076"/>
      <c r="AZ52" s="1076"/>
      <c r="BA52" s="1076"/>
      <c r="BB52" s="1076"/>
      <c r="BC52" s="1076"/>
      <c r="BD52" s="1076"/>
      <c r="BE52" s="1076"/>
      <c r="BF52" s="1076"/>
      <c r="BG52" s="1076"/>
      <c r="BH52" s="1076"/>
      <c r="BI52" s="1076"/>
      <c r="BK52" s="1100"/>
      <c r="BL52" s="1100"/>
      <c r="BM52" s="1100"/>
      <c r="BN52" s="1100"/>
      <c r="BO52" s="1100"/>
      <c r="BP52" s="1100"/>
      <c r="BQ52" s="1100"/>
      <c r="BR52" s="1100"/>
      <c r="BS52" s="73"/>
      <c r="BU52" s="1077"/>
      <c r="BV52" s="1077"/>
      <c r="BW52" s="1077"/>
      <c r="BX52" s="1077"/>
      <c r="BY52" s="1077"/>
      <c r="BZ52" s="1077"/>
      <c r="CA52" s="1077"/>
      <c r="CB52" s="1077"/>
      <c r="CC52" s="1077"/>
      <c r="CD52" s="1077"/>
      <c r="CE52" s="1077"/>
      <c r="CF52" s="1077"/>
      <c r="CG52" s="1077"/>
      <c r="CH52" s="1077"/>
      <c r="CI52" s="1077"/>
      <c r="CJ52" s="1077"/>
      <c r="CK52" s="361"/>
      <c r="CL52" s="1076"/>
      <c r="CM52" s="1076"/>
      <c r="CN52" s="1076"/>
      <c r="CO52" s="1076"/>
      <c r="CP52" s="1076"/>
      <c r="CQ52" s="1076"/>
      <c r="CS52" s="1076"/>
      <c r="CT52" s="1076"/>
      <c r="CU52" s="1076"/>
      <c r="CV52" s="1076"/>
      <c r="CW52" s="1076"/>
      <c r="CX52" s="1076"/>
      <c r="CY52" s="1076"/>
      <c r="CZ52" s="1076"/>
      <c r="DA52" s="1076"/>
      <c r="DB52" s="1076"/>
      <c r="DC52" s="1076"/>
      <c r="DD52" s="1076"/>
      <c r="DE52" s="1076"/>
      <c r="DF52" s="1076"/>
      <c r="DG52" s="1076"/>
      <c r="DH52" s="1076"/>
      <c r="DI52" s="1076"/>
      <c r="DJ52" s="1076"/>
      <c r="DL52" s="1076"/>
      <c r="DM52" s="1076"/>
      <c r="DN52" s="1076"/>
      <c r="DO52" s="1076"/>
      <c r="DP52" s="1076"/>
      <c r="DQ52" s="1076"/>
      <c r="DR52" s="1076"/>
      <c r="DS52" s="1076"/>
      <c r="DT52" s="1076"/>
      <c r="DU52" s="1076"/>
      <c r="DV52" s="1076"/>
      <c r="DW52" s="1076"/>
      <c r="DX52" s="1076"/>
      <c r="DY52" s="1076"/>
      <c r="DZ52" s="1076"/>
      <c r="EA52" s="1076"/>
      <c r="EB52" s="1076"/>
      <c r="EC52" s="1076"/>
      <c r="EE52" s="1100"/>
      <c r="EF52" s="1100"/>
      <c r="EG52" s="1100"/>
      <c r="EH52" s="1100"/>
      <c r="EI52" s="1100"/>
      <c r="EJ52" s="1100"/>
      <c r="EK52" s="1100"/>
      <c r="EL52" s="1100"/>
    </row>
    <row r="53" spans="1:142" ht="3.75" customHeight="1" x14ac:dyDescent="0.25">
      <c r="A53" s="1077"/>
      <c r="B53" s="1077"/>
      <c r="C53" s="1077"/>
      <c r="D53" s="1077"/>
      <c r="E53" s="1077"/>
      <c r="F53" s="1077"/>
      <c r="G53" s="1077"/>
      <c r="H53" s="1077"/>
      <c r="I53" s="1077"/>
      <c r="J53" s="1077"/>
      <c r="K53" s="1077"/>
      <c r="L53" s="1077"/>
      <c r="M53" s="1077"/>
      <c r="N53" s="1077"/>
      <c r="O53" s="1077"/>
      <c r="P53" s="1077"/>
      <c r="Q53" s="361"/>
      <c r="R53" s="1076"/>
      <c r="S53" s="1076"/>
      <c r="T53" s="1076"/>
      <c r="U53" s="1076"/>
      <c r="V53" s="1076"/>
      <c r="W53" s="1076"/>
      <c r="Y53" s="1076"/>
      <c r="Z53" s="1076"/>
      <c r="AA53" s="1076"/>
      <c r="AB53" s="1076"/>
      <c r="AC53" s="1076"/>
      <c r="AD53" s="1076"/>
      <c r="AE53" s="1076"/>
      <c r="AF53" s="1076"/>
      <c r="AG53" s="1076"/>
      <c r="AH53" s="1076"/>
      <c r="AI53" s="1076"/>
      <c r="AJ53" s="1076"/>
      <c r="AK53" s="1076"/>
      <c r="AL53" s="1076"/>
      <c r="AM53" s="1076"/>
      <c r="AN53" s="1076"/>
      <c r="AO53" s="1076"/>
      <c r="AP53" s="1076"/>
      <c r="AR53" s="1076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076"/>
      <c r="BD53" s="1076"/>
      <c r="BE53" s="1076"/>
      <c r="BF53" s="1076"/>
      <c r="BG53" s="1076"/>
      <c r="BH53" s="1076"/>
      <c r="BI53" s="1076"/>
      <c r="BK53" s="1100" t="s">
        <v>591</v>
      </c>
      <c r="BL53" s="1100"/>
      <c r="BM53" s="1100"/>
      <c r="BN53" s="1100"/>
      <c r="BO53" s="1100"/>
      <c r="BP53" s="1100"/>
      <c r="BQ53" s="1100"/>
      <c r="BR53" s="1100"/>
      <c r="BS53" s="73"/>
      <c r="BU53" s="1077"/>
      <c r="BV53" s="1077"/>
      <c r="BW53" s="1077"/>
      <c r="BX53" s="1077"/>
      <c r="BY53" s="1077"/>
      <c r="BZ53" s="1077"/>
      <c r="CA53" s="1077"/>
      <c r="CB53" s="1077"/>
      <c r="CC53" s="1077"/>
      <c r="CD53" s="1077"/>
      <c r="CE53" s="1077"/>
      <c r="CF53" s="1077"/>
      <c r="CG53" s="1077"/>
      <c r="CH53" s="1077"/>
      <c r="CI53" s="1077"/>
      <c r="CJ53" s="1077"/>
      <c r="CK53" s="361"/>
      <c r="CL53" s="1076"/>
      <c r="CM53" s="1076"/>
      <c r="CN53" s="1076"/>
      <c r="CO53" s="1076"/>
      <c r="CP53" s="1076"/>
      <c r="CQ53" s="1076"/>
      <c r="CS53" s="1076"/>
      <c r="CT53" s="1076"/>
      <c r="CU53" s="1076"/>
      <c r="CV53" s="1076"/>
      <c r="CW53" s="1076"/>
      <c r="CX53" s="1076"/>
      <c r="CY53" s="1076"/>
      <c r="CZ53" s="1076"/>
      <c r="DA53" s="1076"/>
      <c r="DB53" s="1076"/>
      <c r="DC53" s="1076"/>
      <c r="DD53" s="1076"/>
      <c r="DE53" s="1076"/>
      <c r="DF53" s="1076"/>
      <c r="DG53" s="1076"/>
      <c r="DH53" s="1076"/>
      <c r="DI53" s="1076"/>
      <c r="DJ53" s="1076"/>
      <c r="DL53" s="1076"/>
      <c r="DM53" s="1076"/>
      <c r="DN53" s="1076"/>
      <c r="DO53" s="1076"/>
      <c r="DP53" s="1076"/>
      <c r="DQ53" s="1076"/>
      <c r="DR53" s="1076"/>
      <c r="DS53" s="1076"/>
      <c r="DT53" s="1076"/>
      <c r="DU53" s="1076"/>
      <c r="DV53" s="1076"/>
      <c r="DW53" s="1076"/>
      <c r="DX53" s="1076"/>
      <c r="DY53" s="1076"/>
      <c r="DZ53" s="1076"/>
      <c r="EA53" s="1076"/>
      <c r="EB53" s="1076"/>
      <c r="EC53" s="1076"/>
      <c r="EE53" s="1100" t="s">
        <v>591</v>
      </c>
      <c r="EF53" s="1100"/>
      <c r="EG53" s="1100"/>
      <c r="EH53" s="1100"/>
      <c r="EI53" s="1100"/>
      <c r="EJ53" s="1100"/>
      <c r="EK53" s="1100"/>
      <c r="EL53" s="1100"/>
    </row>
    <row r="54" spans="1:142" ht="3.75" customHeight="1" x14ac:dyDescent="0.25">
      <c r="BK54" s="1100"/>
      <c r="BL54" s="1100"/>
      <c r="BM54" s="1100"/>
      <c r="BN54" s="1100"/>
      <c r="BO54" s="1100"/>
      <c r="BP54" s="1100"/>
      <c r="BQ54" s="1100"/>
      <c r="BR54" s="1100"/>
      <c r="BS54" s="73"/>
      <c r="EE54" s="1100"/>
      <c r="EF54" s="1100"/>
      <c r="EG54" s="1100"/>
      <c r="EH54" s="1100"/>
      <c r="EI54" s="1100"/>
      <c r="EJ54" s="1100"/>
      <c r="EK54" s="1100"/>
      <c r="EL54" s="1100"/>
    </row>
    <row r="55" spans="1:142" ht="3.75" customHeight="1" x14ac:dyDescent="0.25">
      <c r="A55" s="1108" t="str">
        <f>IF(AH31=""," ",AH31)</f>
        <v xml:space="preserve"> </v>
      </c>
      <c r="B55" s="1108"/>
      <c r="C55" s="1108"/>
      <c r="D55" s="1108"/>
      <c r="E55" s="1108"/>
      <c r="F55" s="1108"/>
      <c r="G55" s="1108"/>
      <c r="H55" s="1108"/>
      <c r="I55" s="1108"/>
      <c r="J55" s="1108"/>
      <c r="K55" s="1108"/>
      <c r="L55" s="1108"/>
      <c r="M55" s="1108"/>
      <c r="N55" s="1108"/>
      <c r="O55" s="1108"/>
      <c r="P55" s="1108"/>
      <c r="R55" s="1106"/>
      <c r="S55" s="1106"/>
      <c r="T55" s="1106"/>
      <c r="U55" s="1106"/>
      <c r="V55" s="1106"/>
      <c r="W55" s="1106"/>
      <c r="Y55" s="1105"/>
      <c r="Z55" s="1105"/>
      <c r="AA55" s="1105"/>
      <c r="AB55" s="1105"/>
      <c r="AC55" s="1105"/>
      <c r="AD55" s="1105"/>
      <c r="AE55" s="1105"/>
      <c r="AF55" s="1105"/>
      <c r="AG55" s="1105"/>
      <c r="AH55" s="1105"/>
      <c r="AI55" s="1105"/>
      <c r="AJ55" s="1105"/>
      <c r="AK55" s="1105"/>
      <c r="AL55" s="1105"/>
      <c r="AM55" s="1105"/>
      <c r="AN55" s="1105"/>
      <c r="AO55" s="1105"/>
      <c r="AP55" s="1105"/>
      <c r="AR55" s="1105"/>
      <c r="AS55" s="1105"/>
      <c r="AT55" s="1105"/>
      <c r="AU55" s="1105"/>
      <c r="AV55" s="1105"/>
      <c r="AW55" s="1105"/>
      <c r="AX55" s="1105"/>
      <c r="AY55" s="1105"/>
      <c r="AZ55" s="1105"/>
      <c r="BA55" s="1105"/>
      <c r="BB55" s="1105"/>
      <c r="BC55" s="1105"/>
      <c r="BD55" s="1105"/>
      <c r="BE55" s="1105"/>
      <c r="BF55" s="1105"/>
      <c r="BG55" s="1105"/>
      <c r="BH55" s="1105"/>
      <c r="BI55" s="1105"/>
      <c r="BK55" s="1106" t="s">
        <v>590</v>
      </c>
      <c r="BL55" s="1106"/>
      <c r="BM55" s="1106"/>
      <c r="BN55" s="1106"/>
      <c r="BO55" s="1106" t="s">
        <v>589</v>
      </c>
      <c r="BP55" s="1106"/>
      <c r="BQ55" s="1106"/>
      <c r="BR55" s="1106"/>
      <c r="BS55" s="73"/>
      <c r="BU55" s="1108" t="str">
        <f>A55</f>
        <v xml:space="preserve"> </v>
      </c>
      <c r="BV55" s="1108"/>
      <c r="BW55" s="1108"/>
      <c r="BX55" s="1108"/>
      <c r="BY55" s="1108"/>
      <c r="BZ55" s="1108"/>
      <c r="CA55" s="1108"/>
      <c r="CB55" s="1108"/>
      <c r="CC55" s="1108"/>
      <c r="CD55" s="1108"/>
      <c r="CE55" s="1108"/>
      <c r="CF55" s="1108"/>
      <c r="CG55" s="1108"/>
      <c r="CH55" s="1108"/>
      <c r="CI55" s="1108"/>
      <c r="CJ55" s="1108"/>
      <c r="CL55" s="1106"/>
      <c r="CM55" s="1106"/>
      <c r="CN55" s="1106"/>
      <c r="CO55" s="1106"/>
      <c r="CP55" s="1106"/>
      <c r="CQ55" s="1106"/>
      <c r="CS55" s="1105"/>
      <c r="CT55" s="1105"/>
      <c r="CU55" s="1105"/>
      <c r="CV55" s="1105"/>
      <c r="CW55" s="1105"/>
      <c r="CX55" s="1105"/>
      <c r="CY55" s="1105"/>
      <c r="CZ55" s="1105"/>
      <c r="DA55" s="1105"/>
      <c r="DB55" s="1105"/>
      <c r="DC55" s="1105"/>
      <c r="DD55" s="1105"/>
      <c r="DE55" s="1105"/>
      <c r="DF55" s="1105"/>
      <c r="DG55" s="1105"/>
      <c r="DH55" s="1105"/>
      <c r="DI55" s="1105"/>
      <c r="DJ55" s="1105"/>
      <c r="DL55" s="1105"/>
      <c r="DM55" s="1105"/>
      <c r="DN55" s="1105"/>
      <c r="DO55" s="1105"/>
      <c r="DP55" s="1105"/>
      <c r="DQ55" s="1105"/>
      <c r="DR55" s="1105"/>
      <c r="DS55" s="1105"/>
      <c r="DT55" s="1105"/>
      <c r="DU55" s="1105"/>
      <c r="DV55" s="1105"/>
      <c r="DW55" s="1105"/>
      <c r="DX55" s="1105"/>
      <c r="DY55" s="1105"/>
      <c r="DZ55" s="1105"/>
      <c r="EA55" s="1105"/>
      <c r="EB55" s="1105"/>
      <c r="EC55" s="1105"/>
      <c r="EE55" s="1106" t="s">
        <v>590</v>
      </c>
      <c r="EF55" s="1106"/>
      <c r="EG55" s="1106"/>
      <c r="EH55" s="1106"/>
      <c r="EI55" s="1106" t="s">
        <v>589</v>
      </c>
      <c r="EJ55" s="1106"/>
      <c r="EK55" s="1106"/>
      <c r="EL55" s="1106"/>
    </row>
    <row r="56" spans="1:142" ht="3.75" customHeight="1" x14ac:dyDescent="0.25">
      <c r="A56" s="1108"/>
      <c r="B56" s="1108"/>
      <c r="C56" s="1108"/>
      <c r="D56" s="1108"/>
      <c r="E56" s="1108"/>
      <c r="F56" s="1108"/>
      <c r="G56" s="1108"/>
      <c r="H56" s="1108"/>
      <c r="I56" s="1108"/>
      <c r="J56" s="1108"/>
      <c r="K56" s="1108"/>
      <c r="L56" s="1108"/>
      <c r="M56" s="1108"/>
      <c r="N56" s="1108"/>
      <c r="O56" s="1108"/>
      <c r="P56" s="1108"/>
      <c r="R56" s="1106"/>
      <c r="S56" s="1106"/>
      <c r="T56" s="1106"/>
      <c r="U56" s="1106"/>
      <c r="V56" s="1106"/>
      <c r="W56" s="1106"/>
      <c r="Y56" s="1105"/>
      <c r="Z56" s="1105"/>
      <c r="AA56" s="1105"/>
      <c r="AB56" s="1105"/>
      <c r="AC56" s="1105"/>
      <c r="AD56" s="1105"/>
      <c r="AE56" s="1105"/>
      <c r="AF56" s="1105"/>
      <c r="AG56" s="1105"/>
      <c r="AH56" s="1105"/>
      <c r="AI56" s="1105"/>
      <c r="AJ56" s="1105"/>
      <c r="AK56" s="1105"/>
      <c r="AL56" s="1105"/>
      <c r="AM56" s="1105"/>
      <c r="AN56" s="1105"/>
      <c r="AO56" s="1105"/>
      <c r="AP56" s="1105"/>
      <c r="AR56" s="1105"/>
      <c r="AS56" s="1105"/>
      <c r="AT56" s="1105"/>
      <c r="AU56" s="1105"/>
      <c r="AV56" s="1105"/>
      <c r="AW56" s="1105"/>
      <c r="AX56" s="1105"/>
      <c r="AY56" s="1105"/>
      <c r="AZ56" s="1105"/>
      <c r="BA56" s="1105"/>
      <c r="BB56" s="1105"/>
      <c r="BC56" s="1105"/>
      <c r="BD56" s="1105"/>
      <c r="BE56" s="1105"/>
      <c r="BF56" s="1105"/>
      <c r="BG56" s="1105"/>
      <c r="BH56" s="1105"/>
      <c r="BI56" s="1105"/>
      <c r="BK56" s="1106"/>
      <c r="BL56" s="1106"/>
      <c r="BM56" s="1106"/>
      <c r="BN56" s="1106"/>
      <c r="BO56" s="1106"/>
      <c r="BP56" s="1106"/>
      <c r="BQ56" s="1106"/>
      <c r="BR56" s="1106"/>
      <c r="BS56" s="73"/>
      <c r="BU56" s="1108"/>
      <c r="BV56" s="1108"/>
      <c r="BW56" s="1108"/>
      <c r="BX56" s="1108"/>
      <c r="BY56" s="1108"/>
      <c r="BZ56" s="1108"/>
      <c r="CA56" s="1108"/>
      <c r="CB56" s="1108"/>
      <c r="CC56" s="1108"/>
      <c r="CD56" s="1108"/>
      <c r="CE56" s="1108"/>
      <c r="CF56" s="1108"/>
      <c r="CG56" s="1108"/>
      <c r="CH56" s="1108"/>
      <c r="CI56" s="1108"/>
      <c r="CJ56" s="1108"/>
      <c r="CL56" s="1106"/>
      <c r="CM56" s="1106"/>
      <c r="CN56" s="1106"/>
      <c r="CO56" s="1106"/>
      <c r="CP56" s="1106"/>
      <c r="CQ56" s="1106"/>
      <c r="CS56" s="1105"/>
      <c r="CT56" s="1105"/>
      <c r="CU56" s="1105"/>
      <c r="CV56" s="1105"/>
      <c r="CW56" s="1105"/>
      <c r="CX56" s="1105"/>
      <c r="CY56" s="1105"/>
      <c r="CZ56" s="1105"/>
      <c r="DA56" s="1105"/>
      <c r="DB56" s="1105"/>
      <c r="DC56" s="1105"/>
      <c r="DD56" s="1105"/>
      <c r="DE56" s="1105"/>
      <c r="DF56" s="1105"/>
      <c r="DG56" s="1105"/>
      <c r="DH56" s="1105"/>
      <c r="DI56" s="1105"/>
      <c r="DJ56" s="1105"/>
      <c r="DL56" s="1105"/>
      <c r="DM56" s="1105"/>
      <c r="DN56" s="1105"/>
      <c r="DO56" s="1105"/>
      <c r="DP56" s="1105"/>
      <c r="DQ56" s="1105"/>
      <c r="DR56" s="1105"/>
      <c r="DS56" s="1105"/>
      <c r="DT56" s="1105"/>
      <c r="DU56" s="1105"/>
      <c r="DV56" s="1105"/>
      <c r="DW56" s="1105"/>
      <c r="DX56" s="1105"/>
      <c r="DY56" s="1105"/>
      <c r="DZ56" s="1105"/>
      <c r="EA56" s="1105"/>
      <c r="EB56" s="1105"/>
      <c r="EC56" s="1105"/>
      <c r="EE56" s="1106"/>
      <c r="EF56" s="1106"/>
      <c r="EG56" s="1106"/>
      <c r="EH56" s="1106"/>
      <c r="EI56" s="1106"/>
      <c r="EJ56" s="1106"/>
      <c r="EK56" s="1106"/>
      <c r="EL56" s="1106"/>
    </row>
    <row r="57" spans="1:142" ht="3.75" customHeight="1" x14ac:dyDescent="0.25">
      <c r="A57" s="1108"/>
      <c r="B57" s="1108"/>
      <c r="C57" s="1108"/>
      <c r="D57" s="1108"/>
      <c r="E57" s="1108"/>
      <c r="F57" s="1108"/>
      <c r="G57" s="1108"/>
      <c r="H57" s="1108"/>
      <c r="I57" s="1108"/>
      <c r="J57" s="1108"/>
      <c r="K57" s="1108"/>
      <c r="L57" s="1108"/>
      <c r="M57" s="1108"/>
      <c r="N57" s="1108"/>
      <c r="O57" s="1108"/>
      <c r="P57" s="1108"/>
      <c r="R57" s="1106"/>
      <c r="S57" s="1106"/>
      <c r="T57" s="1106"/>
      <c r="U57" s="1106"/>
      <c r="V57" s="1106"/>
      <c r="W57" s="1106"/>
      <c r="Y57" s="1105"/>
      <c r="Z57" s="1105"/>
      <c r="AA57" s="1105"/>
      <c r="AB57" s="1105"/>
      <c r="AC57" s="1105"/>
      <c r="AD57" s="1105"/>
      <c r="AE57" s="1105"/>
      <c r="AF57" s="1105"/>
      <c r="AG57" s="1105"/>
      <c r="AH57" s="1105"/>
      <c r="AI57" s="1105"/>
      <c r="AJ57" s="1105"/>
      <c r="AK57" s="1105"/>
      <c r="AL57" s="1105"/>
      <c r="AM57" s="1105"/>
      <c r="AN57" s="1105"/>
      <c r="AO57" s="1105"/>
      <c r="AP57" s="1105"/>
      <c r="AR57" s="1105"/>
      <c r="AS57" s="1105"/>
      <c r="AT57" s="1105"/>
      <c r="AU57" s="1105"/>
      <c r="AV57" s="1105"/>
      <c r="AW57" s="1105"/>
      <c r="AX57" s="1105"/>
      <c r="AY57" s="1105"/>
      <c r="AZ57" s="1105"/>
      <c r="BA57" s="1105"/>
      <c r="BB57" s="1105"/>
      <c r="BC57" s="1105"/>
      <c r="BD57" s="1105"/>
      <c r="BE57" s="1105"/>
      <c r="BF57" s="1105"/>
      <c r="BG57" s="1105"/>
      <c r="BH57" s="1105"/>
      <c r="BI57" s="1105"/>
      <c r="BK57" s="1106"/>
      <c r="BL57" s="1106"/>
      <c r="BM57" s="1106"/>
      <c r="BN57" s="1106"/>
      <c r="BO57" s="1106"/>
      <c r="BP57" s="1106"/>
      <c r="BQ57" s="1106"/>
      <c r="BR57" s="1106"/>
      <c r="BS57" s="73"/>
      <c r="BU57" s="1108"/>
      <c r="BV57" s="1108"/>
      <c r="BW57" s="1108"/>
      <c r="BX57" s="1108"/>
      <c r="BY57" s="1108"/>
      <c r="BZ57" s="1108"/>
      <c r="CA57" s="1108"/>
      <c r="CB57" s="1108"/>
      <c r="CC57" s="1108"/>
      <c r="CD57" s="1108"/>
      <c r="CE57" s="1108"/>
      <c r="CF57" s="1108"/>
      <c r="CG57" s="1108"/>
      <c r="CH57" s="1108"/>
      <c r="CI57" s="1108"/>
      <c r="CJ57" s="1108"/>
      <c r="CL57" s="1106"/>
      <c r="CM57" s="1106"/>
      <c r="CN57" s="1106"/>
      <c r="CO57" s="1106"/>
      <c r="CP57" s="1106"/>
      <c r="CQ57" s="1106"/>
      <c r="CS57" s="1105"/>
      <c r="CT57" s="1105"/>
      <c r="CU57" s="1105"/>
      <c r="CV57" s="1105"/>
      <c r="CW57" s="1105"/>
      <c r="CX57" s="1105"/>
      <c r="CY57" s="1105"/>
      <c r="CZ57" s="1105"/>
      <c r="DA57" s="1105"/>
      <c r="DB57" s="1105"/>
      <c r="DC57" s="1105"/>
      <c r="DD57" s="1105"/>
      <c r="DE57" s="1105"/>
      <c r="DF57" s="1105"/>
      <c r="DG57" s="1105"/>
      <c r="DH57" s="1105"/>
      <c r="DI57" s="1105"/>
      <c r="DJ57" s="1105"/>
      <c r="DL57" s="1105"/>
      <c r="DM57" s="1105"/>
      <c r="DN57" s="1105"/>
      <c r="DO57" s="1105"/>
      <c r="DP57" s="1105"/>
      <c r="DQ57" s="1105"/>
      <c r="DR57" s="1105"/>
      <c r="DS57" s="1105"/>
      <c r="DT57" s="1105"/>
      <c r="DU57" s="1105"/>
      <c r="DV57" s="1105"/>
      <c r="DW57" s="1105"/>
      <c r="DX57" s="1105"/>
      <c r="DY57" s="1105"/>
      <c r="DZ57" s="1105"/>
      <c r="EA57" s="1105"/>
      <c r="EB57" s="1105"/>
      <c r="EC57" s="1105"/>
      <c r="EE57" s="1106"/>
      <c r="EF57" s="1106"/>
      <c r="EG57" s="1106"/>
      <c r="EH57" s="1106"/>
      <c r="EI57" s="1106"/>
      <c r="EJ57" s="1106"/>
      <c r="EK57" s="1106"/>
      <c r="EL57" s="1106"/>
    </row>
    <row r="58" spans="1:142" ht="3.75" customHeight="1" x14ac:dyDescent="0.25">
      <c r="A58" s="1108"/>
      <c r="B58" s="1108"/>
      <c r="C58" s="1108"/>
      <c r="D58" s="1108"/>
      <c r="E58" s="1108"/>
      <c r="F58" s="1108"/>
      <c r="G58" s="1108"/>
      <c r="H58" s="1108"/>
      <c r="I58" s="1108"/>
      <c r="J58" s="1108"/>
      <c r="K58" s="1108"/>
      <c r="L58" s="1108"/>
      <c r="M58" s="1108"/>
      <c r="N58" s="1108"/>
      <c r="O58" s="1108"/>
      <c r="P58" s="1108"/>
      <c r="R58" s="1106"/>
      <c r="S58" s="1106"/>
      <c r="T58" s="1106"/>
      <c r="U58" s="1106"/>
      <c r="V58" s="1106"/>
      <c r="W58" s="1106"/>
      <c r="Y58" s="1105"/>
      <c r="Z58" s="1105"/>
      <c r="AA58" s="1105"/>
      <c r="AB58" s="1105"/>
      <c r="AC58" s="1105"/>
      <c r="AD58" s="1105"/>
      <c r="AE58" s="1105"/>
      <c r="AF58" s="1105"/>
      <c r="AG58" s="1105"/>
      <c r="AH58" s="1105"/>
      <c r="AI58" s="1105"/>
      <c r="AJ58" s="1105"/>
      <c r="AK58" s="1105"/>
      <c r="AL58" s="1105"/>
      <c r="AM58" s="1105"/>
      <c r="AN58" s="1105"/>
      <c r="AO58" s="1105"/>
      <c r="AP58" s="1105"/>
      <c r="AR58" s="1105"/>
      <c r="AS58" s="1105"/>
      <c r="AT58" s="1105"/>
      <c r="AU58" s="1105"/>
      <c r="AV58" s="1105"/>
      <c r="AW58" s="1105"/>
      <c r="AX58" s="1105"/>
      <c r="AY58" s="1105"/>
      <c r="AZ58" s="1105"/>
      <c r="BA58" s="1105"/>
      <c r="BB58" s="1105"/>
      <c r="BC58" s="1105"/>
      <c r="BD58" s="1105"/>
      <c r="BE58" s="1105"/>
      <c r="BF58" s="1105"/>
      <c r="BG58" s="1105"/>
      <c r="BH58" s="1105"/>
      <c r="BI58" s="1105"/>
      <c r="BK58" s="1106"/>
      <c r="BL58" s="1106"/>
      <c r="BM58" s="1106"/>
      <c r="BN58" s="1106"/>
      <c r="BO58" s="1106"/>
      <c r="BP58" s="1106"/>
      <c r="BQ58" s="1106"/>
      <c r="BR58" s="1106"/>
      <c r="BS58" s="73"/>
      <c r="BU58" s="1108"/>
      <c r="BV58" s="1108"/>
      <c r="BW58" s="1108"/>
      <c r="BX58" s="1108"/>
      <c r="BY58" s="1108"/>
      <c r="BZ58" s="1108"/>
      <c r="CA58" s="1108"/>
      <c r="CB58" s="1108"/>
      <c r="CC58" s="1108"/>
      <c r="CD58" s="1108"/>
      <c r="CE58" s="1108"/>
      <c r="CF58" s="1108"/>
      <c r="CG58" s="1108"/>
      <c r="CH58" s="1108"/>
      <c r="CI58" s="1108"/>
      <c r="CJ58" s="1108"/>
      <c r="CL58" s="1106"/>
      <c r="CM58" s="1106"/>
      <c r="CN58" s="1106"/>
      <c r="CO58" s="1106"/>
      <c r="CP58" s="1106"/>
      <c r="CQ58" s="1106"/>
      <c r="CS58" s="1105"/>
      <c r="CT58" s="1105"/>
      <c r="CU58" s="1105"/>
      <c r="CV58" s="1105"/>
      <c r="CW58" s="1105"/>
      <c r="CX58" s="1105"/>
      <c r="CY58" s="1105"/>
      <c r="CZ58" s="1105"/>
      <c r="DA58" s="1105"/>
      <c r="DB58" s="1105"/>
      <c r="DC58" s="1105"/>
      <c r="DD58" s="1105"/>
      <c r="DE58" s="1105"/>
      <c r="DF58" s="1105"/>
      <c r="DG58" s="1105"/>
      <c r="DH58" s="1105"/>
      <c r="DI58" s="1105"/>
      <c r="DJ58" s="1105"/>
      <c r="DL58" s="1105"/>
      <c r="DM58" s="1105"/>
      <c r="DN58" s="1105"/>
      <c r="DO58" s="1105"/>
      <c r="DP58" s="1105"/>
      <c r="DQ58" s="1105"/>
      <c r="DR58" s="1105"/>
      <c r="DS58" s="1105"/>
      <c r="DT58" s="1105"/>
      <c r="DU58" s="1105"/>
      <c r="DV58" s="1105"/>
      <c r="DW58" s="1105"/>
      <c r="DX58" s="1105"/>
      <c r="DY58" s="1105"/>
      <c r="DZ58" s="1105"/>
      <c r="EA58" s="1105"/>
      <c r="EB58" s="1105"/>
      <c r="EC58" s="1105"/>
      <c r="EE58" s="1106"/>
      <c r="EF58" s="1106"/>
      <c r="EG58" s="1106"/>
      <c r="EH58" s="1106"/>
      <c r="EI58" s="1106"/>
      <c r="EJ58" s="1106"/>
      <c r="EK58" s="1106"/>
      <c r="EL58" s="1106"/>
    </row>
    <row r="59" spans="1:142" ht="3.75" customHeight="1" x14ac:dyDescent="0.25">
      <c r="A59" s="1108"/>
      <c r="B59" s="1108"/>
      <c r="C59" s="1108"/>
      <c r="D59" s="1108"/>
      <c r="E59" s="1108"/>
      <c r="F59" s="1108"/>
      <c r="G59" s="1108"/>
      <c r="H59" s="1108"/>
      <c r="I59" s="1108"/>
      <c r="J59" s="1108"/>
      <c r="K59" s="1108"/>
      <c r="L59" s="1108"/>
      <c r="M59" s="1108"/>
      <c r="N59" s="1108"/>
      <c r="O59" s="1108"/>
      <c r="P59" s="1108"/>
      <c r="R59" s="1106"/>
      <c r="S59" s="1106"/>
      <c r="T59" s="1106"/>
      <c r="U59" s="1106"/>
      <c r="V59" s="1106"/>
      <c r="W59" s="1106"/>
      <c r="Y59" s="1105"/>
      <c r="Z59" s="1105"/>
      <c r="AA59" s="1105"/>
      <c r="AB59" s="1105"/>
      <c r="AC59" s="1105"/>
      <c r="AD59" s="1105"/>
      <c r="AE59" s="1105"/>
      <c r="AF59" s="1105"/>
      <c r="AG59" s="1105"/>
      <c r="AH59" s="1105"/>
      <c r="AI59" s="1105"/>
      <c r="AJ59" s="1105"/>
      <c r="AK59" s="1105"/>
      <c r="AL59" s="1105"/>
      <c r="AM59" s="1105"/>
      <c r="AN59" s="1105"/>
      <c r="AO59" s="1105"/>
      <c r="AP59" s="1105"/>
      <c r="AR59" s="1105"/>
      <c r="AS59" s="1105"/>
      <c r="AT59" s="1105"/>
      <c r="AU59" s="1105"/>
      <c r="AV59" s="1105"/>
      <c r="AW59" s="1105"/>
      <c r="AX59" s="1105"/>
      <c r="AY59" s="1105"/>
      <c r="AZ59" s="1105"/>
      <c r="BA59" s="1105"/>
      <c r="BB59" s="1105"/>
      <c r="BC59" s="1105"/>
      <c r="BD59" s="1105"/>
      <c r="BE59" s="1105"/>
      <c r="BF59" s="1105"/>
      <c r="BG59" s="1105"/>
      <c r="BH59" s="1105"/>
      <c r="BI59" s="1105"/>
      <c r="BK59" s="1106"/>
      <c r="BL59" s="1106"/>
      <c r="BM59" s="1106"/>
      <c r="BN59" s="1106"/>
      <c r="BO59" s="1106"/>
      <c r="BP59" s="1106"/>
      <c r="BQ59" s="1106"/>
      <c r="BR59" s="1106"/>
      <c r="BS59" s="73"/>
      <c r="BU59" s="1108"/>
      <c r="BV59" s="1108"/>
      <c r="BW59" s="1108"/>
      <c r="BX59" s="1108"/>
      <c r="BY59" s="1108"/>
      <c r="BZ59" s="1108"/>
      <c r="CA59" s="1108"/>
      <c r="CB59" s="1108"/>
      <c r="CC59" s="1108"/>
      <c r="CD59" s="1108"/>
      <c r="CE59" s="1108"/>
      <c r="CF59" s="1108"/>
      <c r="CG59" s="1108"/>
      <c r="CH59" s="1108"/>
      <c r="CI59" s="1108"/>
      <c r="CJ59" s="1108"/>
      <c r="CL59" s="1106"/>
      <c r="CM59" s="1106"/>
      <c r="CN59" s="1106"/>
      <c r="CO59" s="1106"/>
      <c r="CP59" s="1106"/>
      <c r="CQ59" s="1106"/>
      <c r="CS59" s="1105"/>
      <c r="CT59" s="1105"/>
      <c r="CU59" s="1105"/>
      <c r="CV59" s="1105"/>
      <c r="CW59" s="1105"/>
      <c r="CX59" s="1105"/>
      <c r="CY59" s="1105"/>
      <c r="CZ59" s="1105"/>
      <c r="DA59" s="1105"/>
      <c r="DB59" s="1105"/>
      <c r="DC59" s="1105"/>
      <c r="DD59" s="1105"/>
      <c r="DE59" s="1105"/>
      <c r="DF59" s="1105"/>
      <c r="DG59" s="1105"/>
      <c r="DH59" s="1105"/>
      <c r="DI59" s="1105"/>
      <c r="DJ59" s="1105"/>
      <c r="DL59" s="1105"/>
      <c r="DM59" s="1105"/>
      <c r="DN59" s="1105"/>
      <c r="DO59" s="1105"/>
      <c r="DP59" s="1105"/>
      <c r="DQ59" s="1105"/>
      <c r="DR59" s="1105"/>
      <c r="DS59" s="1105"/>
      <c r="DT59" s="1105"/>
      <c r="DU59" s="1105"/>
      <c r="DV59" s="1105"/>
      <c r="DW59" s="1105"/>
      <c r="DX59" s="1105"/>
      <c r="DY59" s="1105"/>
      <c r="DZ59" s="1105"/>
      <c r="EA59" s="1105"/>
      <c r="EB59" s="1105"/>
      <c r="EC59" s="1105"/>
      <c r="EE59" s="1106"/>
      <c r="EF59" s="1106"/>
      <c r="EG59" s="1106"/>
      <c r="EH59" s="1106"/>
      <c r="EI59" s="1106"/>
      <c r="EJ59" s="1106"/>
      <c r="EK59" s="1106"/>
      <c r="EL59" s="1106"/>
    </row>
    <row r="60" spans="1:142" ht="3.75" customHeight="1" x14ac:dyDescent="0.25">
      <c r="A60" s="1108"/>
      <c r="B60" s="1108"/>
      <c r="C60" s="1108"/>
      <c r="D60" s="1108"/>
      <c r="E60" s="1108"/>
      <c r="F60" s="1108"/>
      <c r="G60" s="1108"/>
      <c r="H60" s="1108"/>
      <c r="I60" s="1108"/>
      <c r="J60" s="1108"/>
      <c r="K60" s="1108"/>
      <c r="L60" s="1108"/>
      <c r="M60" s="1108"/>
      <c r="N60" s="1108"/>
      <c r="O60" s="1108"/>
      <c r="P60" s="1108"/>
      <c r="R60" s="1106"/>
      <c r="S60" s="1106"/>
      <c r="T60" s="1106"/>
      <c r="U60" s="1106"/>
      <c r="V60" s="1106"/>
      <c r="W60" s="1106"/>
      <c r="Y60" s="1105"/>
      <c r="Z60" s="1105"/>
      <c r="AA60" s="1105"/>
      <c r="AB60" s="1105"/>
      <c r="AC60" s="1105"/>
      <c r="AD60" s="1105"/>
      <c r="AE60" s="1105"/>
      <c r="AF60" s="1105"/>
      <c r="AG60" s="1105"/>
      <c r="AH60" s="1105"/>
      <c r="AI60" s="1105"/>
      <c r="AJ60" s="1105"/>
      <c r="AK60" s="1105"/>
      <c r="AL60" s="1105"/>
      <c r="AM60" s="1105"/>
      <c r="AN60" s="1105"/>
      <c r="AO60" s="1105"/>
      <c r="AP60" s="1105"/>
      <c r="AR60" s="1105"/>
      <c r="AS60" s="1105"/>
      <c r="AT60" s="1105"/>
      <c r="AU60" s="1105"/>
      <c r="AV60" s="1105"/>
      <c r="AW60" s="1105"/>
      <c r="AX60" s="1105"/>
      <c r="AY60" s="1105"/>
      <c r="AZ60" s="1105"/>
      <c r="BA60" s="1105"/>
      <c r="BB60" s="1105"/>
      <c r="BC60" s="1105"/>
      <c r="BD60" s="1105"/>
      <c r="BE60" s="1105"/>
      <c r="BF60" s="1105"/>
      <c r="BG60" s="1105"/>
      <c r="BH60" s="1105"/>
      <c r="BI60" s="1105"/>
      <c r="BK60" s="1106"/>
      <c r="BL60" s="1106"/>
      <c r="BM60" s="1106"/>
      <c r="BN60" s="1106"/>
      <c r="BO60" s="1106"/>
      <c r="BP60" s="1106"/>
      <c r="BQ60" s="1106"/>
      <c r="BR60" s="1106"/>
      <c r="BS60" s="73"/>
      <c r="BU60" s="1108"/>
      <c r="BV60" s="1108"/>
      <c r="BW60" s="1108"/>
      <c r="BX60" s="1108"/>
      <c r="BY60" s="1108"/>
      <c r="BZ60" s="1108"/>
      <c r="CA60" s="1108"/>
      <c r="CB60" s="1108"/>
      <c r="CC60" s="1108"/>
      <c r="CD60" s="1108"/>
      <c r="CE60" s="1108"/>
      <c r="CF60" s="1108"/>
      <c r="CG60" s="1108"/>
      <c r="CH60" s="1108"/>
      <c r="CI60" s="1108"/>
      <c r="CJ60" s="1108"/>
      <c r="CL60" s="1106"/>
      <c r="CM60" s="1106"/>
      <c r="CN60" s="1106"/>
      <c r="CO60" s="1106"/>
      <c r="CP60" s="1106"/>
      <c r="CQ60" s="1106"/>
      <c r="CS60" s="1105"/>
      <c r="CT60" s="1105"/>
      <c r="CU60" s="1105"/>
      <c r="CV60" s="1105"/>
      <c r="CW60" s="1105"/>
      <c r="CX60" s="1105"/>
      <c r="CY60" s="1105"/>
      <c r="CZ60" s="1105"/>
      <c r="DA60" s="1105"/>
      <c r="DB60" s="1105"/>
      <c r="DC60" s="1105"/>
      <c r="DD60" s="1105"/>
      <c r="DE60" s="1105"/>
      <c r="DF60" s="1105"/>
      <c r="DG60" s="1105"/>
      <c r="DH60" s="1105"/>
      <c r="DI60" s="1105"/>
      <c r="DJ60" s="1105"/>
      <c r="DL60" s="1105"/>
      <c r="DM60" s="1105"/>
      <c r="DN60" s="1105"/>
      <c r="DO60" s="1105"/>
      <c r="DP60" s="1105"/>
      <c r="DQ60" s="1105"/>
      <c r="DR60" s="1105"/>
      <c r="DS60" s="1105"/>
      <c r="DT60" s="1105"/>
      <c r="DU60" s="1105"/>
      <c r="DV60" s="1105"/>
      <c r="DW60" s="1105"/>
      <c r="DX60" s="1105"/>
      <c r="DY60" s="1105"/>
      <c r="DZ60" s="1105"/>
      <c r="EA60" s="1105"/>
      <c r="EB60" s="1105"/>
      <c r="EC60" s="1105"/>
      <c r="EE60" s="1106"/>
      <c r="EF60" s="1106"/>
      <c r="EG60" s="1106"/>
      <c r="EH60" s="1106"/>
      <c r="EI60" s="1106"/>
      <c r="EJ60" s="1106"/>
      <c r="EK60" s="1106"/>
      <c r="EL60" s="1106"/>
    </row>
    <row r="61" spans="1:142" ht="3.75" customHeight="1" x14ac:dyDescent="0.25">
      <c r="A61" s="1108"/>
      <c r="B61" s="1108"/>
      <c r="C61" s="1108"/>
      <c r="D61" s="1108"/>
      <c r="E61" s="1108"/>
      <c r="F61" s="1108"/>
      <c r="G61" s="1108"/>
      <c r="H61" s="1108"/>
      <c r="I61" s="1108"/>
      <c r="J61" s="1108"/>
      <c r="K61" s="1108"/>
      <c r="L61" s="1108"/>
      <c r="M61" s="1108"/>
      <c r="N61" s="1108"/>
      <c r="O61" s="1108"/>
      <c r="P61" s="1108"/>
      <c r="R61" s="1106"/>
      <c r="S61" s="1106"/>
      <c r="T61" s="1106"/>
      <c r="U61" s="1106"/>
      <c r="V61" s="1106"/>
      <c r="W61" s="1106"/>
      <c r="Y61" s="1105"/>
      <c r="Z61" s="1105"/>
      <c r="AA61" s="1105"/>
      <c r="AB61" s="1105"/>
      <c r="AC61" s="1105"/>
      <c r="AD61" s="1105"/>
      <c r="AE61" s="1105"/>
      <c r="AF61" s="1105"/>
      <c r="AG61" s="1105"/>
      <c r="AH61" s="1105"/>
      <c r="AI61" s="1105"/>
      <c r="AJ61" s="1105"/>
      <c r="AK61" s="1105"/>
      <c r="AL61" s="1105"/>
      <c r="AM61" s="1105"/>
      <c r="AN61" s="1105"/>
      <c r="AO61" s="1105"/>
      <c r="AP61" s="1105"/>
      <c r="AR61" s="1105"/>
      <c r="AS61" s="1105"/>
      <c r="AT61" s="1105"/>
      <c r="AU61" s="1105"/>
      <c r="AV61" s="1105"/>
      <c r="AW61" s="1105"/>
      <c r="AX61" s="1105"/>
      <c r="AY61" s="1105"/>
      <c r="AZ61" s="1105"/>
      <c r="BA61" s="1105"/>
      <c r="BB61" s="1105"/>
      <c r="BC61" s="1105"/>
      <c r="BD61" s="1105"/>
      <c r="BE61" s="1105"/>
      <c r="BF61" s="1105"/>
      <c r="BG61" s="1105"/>
      <c r="BH61" s="1105"/>
      <c r="BI61" s="1105"/>
      <c r="BK61" s="1106" t="s">
        <v>590</v>
      </c>
      <c r="BL61" s="1106"/>
      <c r="BM61" s="1106"/>
      <c r="BN61" s="1106"/>
      <c r="BO61" s="1106" t="s">
        <v>589</v>
      </c>
      <c r="BP61" s="1106"/>
      <c r="BQ61" s="1106"/>
      <c r="BR61" s="1106"/>
      <c r="BS61" s="73"/>
      <c r="BU61" s="1108"/>
      <c r="BV61" s="1108"/>
      <c r="BW61" s="1108"/>
      <c r="BX61" s="1108"/>
      <c r="BY61" s="1108"/>
      <c r="BZ61" s="1108"/>
      <c r="CA61" s="1108"/>
      <c r="CB61" s="1108"/>
      <c r="CC61" s="1108"/>
      <c r="CD61" s="1108"/>
      <c r="CE61" s="1108"/>
      <c r="CF61" s="1108"/>
      <c r="CG61" s="1108"/>
      <c r="CH61" s="1108"/>
      <c r="CI61" s="1108"/>
      <c r="CJ61" s="1108"/>
      <c r="CL61" s="1106"/>
      <c r="CM61" s="1106"/>
      <c r="CN61" s="1106"/>
      <c r="CO61" s="1106"/>
      <c r="CP61" s="1106"/>
      <c r="CQ61" s="1106"/>
      <c r="CS61" s="1105"/>
      <c r="CT61" s="1105"/>
      <c r="CU61" s="1105"/>
      <c r="CV61" s="1105"/>
      <c r="CW61" s="1105"/>
      <c r="CX61" s="1105"/>
      <c r="CY61" s="1105"/>
      <c r="CZ61" s="1105"/>
      <c r="DA61" s="1105"/>
      <c r="DB61" s="1105"/>
      <c r="DC61" s="1105"/>
      <c r="DD61" s="1105"/>
      <c r="DE61" s="1105"/>
      <c r="DF61" s="1105"/>
      <c r="DG61" s="1105"/>
      <c r="DH61" s="1105"/>
      <c r="DI61" s="1105"/>
      <c r="DJ61" s="1105"/>
      <c r="DL61" s="1105"/>
      <c r="DM61" s="1105"/>
      <c r="DN61" s="1105"/>
      <c r="DO61" s="1105"/>
      <c r="DP61" s="1105"/>
      <c r="DQ61" s="1105"/>
      <c r="DR61" s="1105"/>
      <c r="DS61" s="1105"/>
      <c r="DT61" s="1105"/>
      <c r="DU61" s="1105"/>
      <c r="DV61" s="1105"/>
      <c r="DW61" s="1105"/>
      <c r="DX61" s="1105"/>
      <c r="DY61" s="1105"/>
      <c r="DZ61" s="1105"/>
      <c r="EA61" s="1105"/>
      <c r="EB61" s="1105"/>
      <c r="EC61" s="1105"/>
      <c r="EE61" s="1106" t="s">
        <v>590</v>
      </c>
      <c r="EF61" s="1106"/>
      <c r="EG61" s="1106"/>
      <c r="EH61" s="1106"/>
      <c r="EI61" s="1106" t="s">
        <v>589</v>
      </c>
      <c r="EJ61" s="1106"/>
      <c r="EK61" s="1106"/>
      <c r="EL61" s="1106"/>
    </row>
    <row r="62" spans="1:142" ht="3.75" customHeight="1" x14ac:dyDescent="0.25">
      <c r="A62" s="1108"/>
      <c r="B62" s="1108"/>
      <c r="C62" s="1108"/>
      <c r="D62" s="1108"/>
      <c r="E62" s="1108"/>
      <c r="F62" s="1108"/>
      <c r="G62" s="1108"/>
      <c r="H62" s="1108"/>
      <c r="I62" s="1108"/>
      <c r="J62" s="1108"/>
      <c r="K62" s="1108"/>
      <c r="L62" s="1108"/>
      <c r="M62" s="1108"/>
      <c r="N62" s="1108"/>
      <c r="O62" s="1108"/>
      <c r="P62" s="1108"/>
      <c r="R62" s="1106"/>
      <c r="S62" s="1106"/>
      <c r="T62" s="1106"/>
      <c r="U62" s="1106"/>
      <c r="V62" s="1106"/>
      <c r="W62" s="1106"/>
      <c r="Y62" s="1105"/>
      <c r="Z62" s="1105"/>
      <c r="AA62" s="1105"/>
      <c r="AB62" s="1105"/>
      <c r="AC62" s="1105"/>
      <c r="AD62" s="1105"/>
      <c r="AE62" s="1105"/>
      <c r="AF62" s="1105"/>
      <c r="AG62" s="1105"/>
      <c r="AH62" s="1105"/>
      <c r="AI62" s="1105"/>
      <c r="AJ62" s="1105"/>
      <c r="AK62" s="1105"/>
      <c r="AL62" s="1105"/>
      <c r="AM62" s="1105"/>
      <c r="AN62" s="1105"/>
      <c r="AO62" s="1105"/>
      <c r="AP62" s="1105"/>
      <c r="AR62" s="1105"/>
      <c r="AS62" s="1105"/>
      <c r="AT62" s="1105"/>
      <c r="AU62" s="1105"/>
      <c r="AV62" s="1105"/>
      <c r="AW62" s="1105"/>
      <c r="AX62" s="1105"/>
      <c r="AY62" s="1105"/>
      <c r="AZ62" s="1105"/>
      <c r="BA62" s="1105"/>
      <c r="BB62" s="1105"/>
      <c r="BC62" s="1105"/>
      <c r="BD62" s="1105"/>
      <c r="BE62" s="1105"/>
      <c r="BF62" s="1105"/>
      <c r="BG62" s="1105"/>
      <c r="BH62" s="1105"/>
      <c r="BI62" s="1105"/>
      <c r="BK62" s="1106"/>
      <c r="BL62" s="1106"/>
      <c r="BM62" s="1106"/>
      <c r="BN62" s="1106"/>
      <c r="BO62" s="1106"/>
      <c r="BP62" s="1106"/>
      <c r="BQ62" s="1106"/>
      <c r="BR62" s="1106"/>
      <c r="BS62" s="73"/>
      <c r="BU62" s="1108"/>
      <c r="BV62" s="1108"/>
      <c r="BW62" s="1108"/>
      <c r="BX62" s="1108"/>
      <c r="BY62" s="1108"/>
      <c r="BZ62" s="1108"/>
      <c r="CA62" s="1108"/>
      <c r="CB62" s="1108"/>
      <c r="CC62" s="1108"/>
      <c r="CD62" s="1108"/>
      <c r="CE62" s="1108"/>
      <c r="CF62" s="1108"/>
      <c r="CG62" s="1108"/>
      <c r="CH62" s="1108"/>
      <c r="CI62" s="1108"/>
      <c r="CJ62" s="1108"/>
      <c r="CL62" s="1106"/>
      <c r="CM62" s="1106"/>
      <c r="CN62" s="1106"/>
      <c r="CO62" s="1106"/>
      <c r="CP62" s="1106"/>
      <c r="CQ62" s="1106"/>
      <c r="CS62" s="1105"/>
      <c r="CT62" s="1105"/>
      <c r="CU62" s="1105"/>
      <c r="CV62" s="1105"/>
      <c r="CW62" s="1105"/>
      <c r="CX62" s="1105"/>
      <c r="CY62" s="1105"/>
      <c r="CZ62" s="1105"/>
      <c r="DA62" s="1105"/>
      <c r="DB62" s="1105"/>
      <c r="DC62" s="1105"/>
      <c r="DD62" s="1105"/>
      <c r="DE62" s="1105"/>
      <c r="DF62" s="1105"/>
      <c r="DG62" s="1105"/>
      <c r="DH62" s="1105"/>
      <c r="DI62" s="1105"/>
      <c r="DJ62" s="1105"/>
      <c r="DL62" s="1105"/>
      <c r="DM62" s="1105"/>
      <c r="DN62" s="1105"/>
      <c r="DO62" s="1105"/>
      <c r="DP62" s="1105"/>
      <c r="DQ62" s="1105"/>
      <c r="DR62" s="1105"/>
      <c r="DS62" s="1105"/>
      <c r="DT62" s="1105"/>
      <c r="DU62" s="1105"/>
      <c r="DV62" s="1105"/>
      <c r="DW62" s="1105"/>
      <c r="DX62" s="1105"/>
      <c r="DY62" s="1105"/>
      <c r="DZ62" s="1105"/>
      <c r="EA62" s="1105"/>
      <c r="EB62" s="1105"/>
      <c r="EC62" s="1105"/>
      <c r="EE62" s="1106"/>
      <c r="EF62" s="1106"/>
      <c r="EG62" s="1106"/>
      <c r="EH62" s="1106"/>
      <c r="EI62" s="1106"/>
      <c r="EJ62" s="1106"/>
      <c r="EK62" s="1106"/>
      <c r="EL62" s="1106"/>
    </row>
    <row r="63" spans="1:142" ht="3.75" customHeight="1" x14ac:dyDescent="0.25">
      <c r="R63" s="1106"/>
      <c r="S63" s="1106"/>
      <c r="T63" s="1106"/>
      <c r="U63" s="1106"/>
      <c r="V63" s="1106"/>
      <c r="W63" s="1106"/>
      <c r="Y63" s="1105"/>
      <c r="Z63" s="1105"/>
      <c r="AA63" s="1105"/>
      <c r="AB63" s="1105"/>
      <c r="AC63" s="1105"/>
      <c r="AD63" s="1105"/>
      <c r="AE63" s="1105"/>
      <c r="AF63" s="1105"/>
      <c r="AG63" s="1105"/>
      <c r="AH63" s="1105"/>
      <c r="AI63" s="1105"/>
      <c r="AJ63" s="1105"/>
      <c r="AK63" s="1105"/>
      <c r="AL63" s="1105"/>
      <c r="AM63" s="1105"/>
      <c r="AN63" s="1105"/>
      <c r="AO63" s="1105"/>
      <c r="AP63" s="1105"/>
      <c r="AR63" s="1105"/>
      <c r="AS63" s="1105"/>
      <c r="AT63" s="1105"/>
      <c r="AU63" s="1105"/>
      <c r="AV63" s="1105"/>
      <c r="AW63" s="1105"/>
      <c r="AX63" s="1105"/>
      <c r="AY63" s="1105"/>
      <c r="AZ63" s="1105"/>
      <c r="BA63" s="1105"/>
      <c r="BB63" s="1105"/>
      <c r="BC63" s="1105"/>
      <c r="BD63" s="1105"/>
      <c r="BE63" s="1105"/>
      <c r="BF63" s="1105"/>
      <c r="BG63" s="1105"/>
      <c r="BH63" s="1105"/>
      <c r="BI63" s="1105"/>
      <c r="BK63" s="1106"/>
      <c r="BL63" s="1106"/>
      <c r="BM63" s="1106"/>
      <c r="BN63" s="1106"/>
      <c r="BO63" s="1106"/>
      <c r="BP63" s="1106"/>
      <c r="BQ63" s="1106"/>
      <c r="BR63" s="1106"/>
      <c r="BS63" s="73"/>
      <c r="CL63" s="1106"/>
      <c r="CM63" s="1106"/>
      <c r="CN63" s="1106"/>
      <c r="CO63" s="1106"/>
      <c r="CP63" s="1106"/>
      <c r="CQ63" s="1106"/>
      <c r="CS63" s="1105"/>
      <c r="CT63" s="1105"/>
      <c r="CU63" s="1105"/>
      <c r="CV63" s="1105"/>
      <c r="CW63" s="1105"/>
      <c r="CX63" s="1105"/>
      <c r="CY63" s="1105"/>
      <c r="CZ63" s="1105"/>
      <c r="DA63" s="1105"/>
      <c r="DB63" s="1105"/>
      <c r="DC63" s="1105"/>
      <c r="DD63" s="1105"/>
      <c r="DE63" s="1105"/>
      <c r="DF63" s="1105"/>
      <c r="DG63" s="1105"/>
      <c r="DH63" s="1105"/>
      <c r="DI63" s="1105"/>
      <c r="DJ63" s="1105"/>
      <c r="DL63" s="1105"/>
      <c r="DM63" s="1105"/>
      <c r="DN63" s="1105"/>
      <c r="DO63" s="1105"/>
      <c r="DP63" s="1105"/>
      <c r="DQ63" s="1105"/>
      <c r="DR63" s="1105"/>
      <c r="DS63" s="1105"/>
      <c r="DT63" s="1105"/>
      <c r="DU63" s="1105"/>
      <c r="DV63" s="1105"/>
      <c r="DW63" s="1105"/>
      <c r="DX63" s="1105"/>
      <c r="DY63" s="1105"/>
      <c r="DZ63" s="1105"/>
      <c r="EA63" s="1105"/>
      <c r="EB63" s="1105"/>
      <c r="EC63" s="1105"/>
      <c r="EE63" s="1106"/>
      <c r="EF63" s="1106"/>
      <c r="EG63" s="1106"/>
      <c r="EH63" s="1106"/>
      <c r="EI63" s="1106"/>
      <c r="EJ63" s="1106"/>
      <c r="EK63" s="1106"/>
      <c r="EL63" s="1106"/>
    </row>
    <row r="64" spans="1:142" ht="3.75" customHeight="1" x14ac:dyDescent="0.25">
      <c r="R64" s="1106"/>
      <c r="S64" s="1106"/>
      <c r="T64" s="1106"/>
      <c r="U64" s="1106"/>
      <c r="V64" s="1106"/>
      <c r="W64" s="1106"/>
      <c r="Y64" s="1105"/>
      <c r="Z64" s="1105"/>
      <c r="AA64" s="1105"/>
      <c r="AB64" s="1105"/>
      <c r="AC64" s="1105"/>
      <c r="AD64" s="1105"/>
      <c r="AE64" s="1105"/>
      <c r="AF64" s="1105"/>
      <c r="AG64" s="1105"/>
      <c r="AH64" s="1105"/>
      <c r="AI64" s="1105"/>
      <c r="AJ64" s="1105"/>
      <c r="AK64" s="1105"/>
      <c r="AL64" s="1105"/>
      <c r="AM64" s="1105"/>
      <c r="AN64" s="1105"/>
      <c r="AO64" s="1105"/>
      <c r="AP64" s="1105"/>
      <c r="AR64" s="1105"/>
      <c r="AS64" s="1105"/>
      <c r="AT64" s="1105"/>
      <c r="AU64" s="1105"/>
      <c r="AV64" s="1105"/>
      <c r="AW64" s="1105"/>
      <c r="AX64" s="1105"/>
      <c r="AY64" s="1105"/>
      <c r="AZ64" s="1105"/>
      <c r="BA64" s="1105"/>
      <c r="BB64" s="1105"/>
      <c r="BC64" s="1105"/>
      <c r="BD64" s="1105"/>
      <c r="BE64" s="1105"/>
      <c r="BF64" s="1105"/>
      <c r="BG64" s="1105"/>
      <c r="BH64" s="1105"/>
      <c r="BI64" s="1105"/>
      <c r="BK64" s="1106"/>
      <c r="BL64" s="1106"/>
      <c r="BM64" s="1106"/>
      <c r="BN64" s="1106"/>
      <c r="BO64" s="1106"/>
      <c r="BP64" s="1106"/>
      <c r="BQ64" s="1106"/>
      <c r="BR64" s="1106"/>
      <c r="BS64" s="73"/>
      <c r="CL64" s="1106"/>
      <c r="CM64" s="1106"/>
      <c r="CN64" s="1106"/>
      <c r="CO64" s="1106"/>
      <c r="CP64" s="1106"/>
      <c r="CQ64" s="1106"/>
      <c r="CS64" s="1105"/>
      <c r="CT64" s="1105"/>
      <c r="CU64" s="1105"/>
      <c r="CV64" s="1105"/>
      <c r="CW64" s="1105"/>
      <c r="CX64" s="1105"/>
      <c r="CY64" s="1105"/>
      <c r="CZ64" s="1105"/>
      <c r="DA64" s="1105"/>
      <c r="DB64" s="1105"/>
      <c r="DC64" s="1105"/>
      <c r="DD64" s="1105"/>
      <c r="DE64" s="1105"/>
      <c r="DF64" s="1105"/>
      <c r="DG64" s="1105"/>
      <c r="DH64" s="1105"/>
      <c r="DI64" s="1105"/>
      <c r="DJ64" s="1105"/>
      <c r="DL64" s="1105"/>
      <c r="DM64" s="1105"/>
      <c r="DN64" s="1105"/>
      <c r="DO64" s="1105"/>
      <c r="DP64" s="1105"/>
      <c r="DQ64" s="1105"/>
      <c r="DR64" s="1105"/>
      <c r="DS64" s="1105"/>
      <c r="DT64" s="1105"/>
      <c r="DU64" s="1105"/>
      <c r="DV64" s="1105"/>
      <c r="DW64" s="1105"/>
      <c r="DX64" s="1105"/>
      <c r="DY64" s="1105"/>
      <c r="DZ64" s="1105"/>
      <c r="EA64" s="1105"/>
      <c r="EB64" s="1105"/>
      <c r="EC64" s="1105"/>
      <c r="EE64" s="1106"/>
      <c r="EF64" s="1106"/>
      <c r="EG64" s="1106"/>
      <c r="EH64" s="1106"/>
      <c r="EI64" s="1106"/>
      <c r="EJ64" s="1106"/>
      <c r="EK64" s="1106"/>
      <c r="EL64" s="1106"/>
    </row>
    <row r="65" spans="2:142" ht="3.75" customHeight="1" x14ac:dyDescent="0.25">
      <c r="R65" s="1106"/>
      <c r="S65" s="1106"/>
      <c r="T65" s="1106"/>
      <c r="U65" s="1106"/>
      <c r="V65" s="1106"/>
      <c r="W65" s="1106"/>
      <c r="Y65" s="1105"/>
      <c r="Z65" s="1105"/>
      <c r="AA65" s="1105"/>
      <c r="AB65" s="1105"/>
      <c r="AC65" s="1105"/>
      <c r="AD65" s="1105"/>
      <c r="AE65" s="1105"/>
      <c r="AF65" s="1105"/>
      <c r="AG65" s="1105"/>
      <c r="AH65" s="1105"/>
      <c r="AI65" s="1105"/>
      <c r="AJ65" s="1105"/>
      <c r="AK65" s="1105"/>
      <c r="AL65" s="1105"/>
      <c r="AM65" s="1105"/>
      <c r="AN65" s="1105"/>
      <c r="AO65" s="1105"/>
      <c r="AP65" s="1105"/>
      <c r="AR65" s="1105"/>
      <c r="AS65" s="1105"/>
      <c r="AT65" s="1105"/>
      <c r="AU65" s="1105"/>
      <c r="AV65" s="1105"/>
      <c r="AW65" s="1105"/>
      <c r="AX65" s="1105"/>
      <c r="AY65" s="1105"/>
      <c r="AZ65" s="1105"/>
      <c r="BA65" s="1105"/>
      <c r="BB65" s="1105"/>
      <c r="BC65" s="1105"/>
      <c r="BD65" s="1105"/>
      <c r="BE65" s="1105"/>
      <c r="BF65" s="1105"/>
      <c r="BG65" s="1105"/>
      <c r="BH65" s="1105"/>
      <c r="BI65" s="1105"/>
      <c r="BK65" s="1106"/>
      <c r="BL65" s="1106"/>
      <c r="BM65" s="1106"/>
      <c r="BN65" s="1106"/>
      <c r="BO65" s="1106"/>
      <c r="BP65" s="1106"/>
      <c r="BQ65" s="1106"/>
      <c r="BR65" s="1106"/>
      <c r="BS65" s="73"/>
      <c r="CL65" s="1106"/>
      <c r="CM65" s="1106"/>
      <c r="CN65" s="1106"/>
      <c r="CO65" s="1106"/>
      <c r="CP65" s="1106"/>
      <c r="CQ65" s="1106"/>
      <c r="CS65" s="1105"/>
      <c r="CT65" s="1105"/>
      <c r="CU65" s="1105"/>
      <c r="CV65" s="1105"/>
      <c r="CW65" s="1105"/>
      <c r="CX65" s="1105"/>
      <c r="CY65" s="1105"/>
      <c r="CZ65" s="1105"/>
      <c r="DA65" s="1105"/>
      <c r="DB65" s="1105"/>
      <c r="DC65" s="1105"/>
      <c r="DD65" s="1105"/>
      <c r="DE65" s="1105"/>
      <c r="DF65" s="1105"/>
      <c r="DG65" s="1105"/>
      <c r="DH65" s="1105"/>
      <c r="DI65" s="1105"/>
      <c r="DJ65" s="1105"/>
      <c r="DL65" s="1105"/>
      <c r="DM65" s="1105"/>
      <c r="DN65" s="1105"/>
      <c r="DO65" s="1105"/>
      <c r="DP65" s="1105"/>
      <c r="DQ65" s="1105"/>
      <c r="DR65" s="1105"/>
      <c r="DS65" s="1105"/>
      <c r="DT65" s="1105"/>
      <c r="DU65" s="1105"/>
      <c r="DV65" s="1105"/>
      <c r="DW65" s="1105"/>
      <c r="DX65" s="1105"/>
      <c r="DY65" s="1105"/>
      <c r="DZ65" s="1105"/>
      <c r="EA65" s="1105"/>
      <c r="EB65" s="1105"/>
      <c r="EC65" s="1105"/>
      <c r="EE65" s="1106"/>
      <c r="EF65" s="1106"/>
      <c r="EG65" s="1106"/>
      <c r="EH65" s="1106"/>
      <c r="EI65" s="1106"/>
      <c r="EJ65" s="1106"/>
      <c r="EK65" s="1106"/>
      <c r="EL65" s="1106"/>
    </row>
    <row r="66" spans="2:142" ht="3.75" customHeight="1" x14ac:dyDescent="0.25">
      <c r="B66" s="1097"/>
      <c r="C66" s="1097"/>
      <c r="D66" s="1097"/>
      <c r="F66" s="1107" t="s">
        <v>613</v>
      </c>
      <c r="G66" s="1103"/>
      <c r="H66" s="1103"/>
      <c r="I66" s="1103"/>
      <c r="J66" s="1103"/>
      <c r="K66" s="1103"/>
      <c r="L66" s="1103"/>
      <c r="M66" s="1103"/>
      <c r="N66" s="1103"/>
      <c r="O66" s="1103"/>
      <c r="P66" s="1103"/>
      <c r="R66" s="1106"/>
      <c r="S66" s="1106"/>
      <c r="T66" s="1106"/>
      <c r="U66" s="1106"/>
      <c r="V66" s="1106"/>
      <c r="W66" s="1106"/>
      <c r="Y66" s="1105"/>
      <c r="Z66" s="1105"/>
      <c r="AA66" s="1105"/>
      <c r="AB66" s="1105"/>
      <c r="AC66" s="1105"/>
      <c r="AD66" s="1105"/>
      <c r="AE66" s="1105"/>
      <c r="AF66" s="1105"/>
      <c r="AG66" s="1105"/>
      <c r="AH66" s="1105"/>
      <c r="AI66" s="1105"/>
      <c r="AJ66" s="1105"/>
      <c r="AK66" s="1105"/>
      <c r="AL66" s="1105"/>
      <c r="AM66" s="1105"/>
      <c r="AN66" s="1105"/>
      <c r="AO66" s="1105"/>
      <c r="AP66" s="1105"/>
      <c r="AR66" s="1105"/>
      <c r="AS66" s="1105"/>
      <c r="AT66" s="1105"/>
      <c r="AU66" s="1105"/>
      <c r="AV66" s="1105"/>
      <c r="AW66" s="1105"/>
      <c r="AX66" s="1105"/>
      <c r="AY66" s="1105"/>
      <c r="AZ66" s="1105"/>
      <c r="BA66" s="1105"/>
      <c r="BB66" s="1105"/>
      <c r="BC66" s="1105"/>
      <c r="BD66" s="1105"/>
      <c r="BE66" s="1105"/>
      <c r="BF66" s="1105"/>
      <c r="BG66" s="1105"/>
      <c r="BH66" s="1105"/>
      <c r="BI66" s="1105"/>
      <c r="BK66" s="1106"/>
      <c r="BL66" s="1106"/>
      <c r="BM66" s="1106"/>
      <c r="BN66" s="1106"/>
      <c r="BO66" s="1106"/>
      <c r="BP66" s="1106"/>
      <c r="BQ66" s="1106"/>
      <c r="BR66" s="1106"/>
      <c r="BS66" s="73"/>
      <c r="BV66" s="1097"/>
      <c r="BW66" s="1097"/>
      <c r="BX66" s="1097"/>
      <c r="BZ66" s="1107" t="s">
        <v>613</v>
      </c>
      <c r="CA66" s="1103"/>
      <c r="CB66" s="1103"/>
      <c r="CC66" s="1103"/>
      <c r="CD66" s="1103"/>
      <c r="CE66" s="1103"/>
      <c r="CF66" s="1103"/>
      <c r="CG66" s="1103"/>
      <c r="CH66" s="1103"/>
      <c r="CI66" s="1103"/>
      <c r="CJ66" s="1103"/>
      <c r="CL66" s="1106"/>
      <c r="CM66" s="1106"/>
      <c r="CN66" s="1106"/>
      <c r="CO66" s="1106"/>
      <c r="CP66" s="1106"/>
      <c r="CQ66" s="1106"/>
      <c r="CS66" s="1105"/>
      <c r="CT66" s="1105"/>
      <c r="CU66" s="1105"/>
      <c r="CV66" s="1105"/>
      <c r="CW66" s="1105"/>
      <c r="CX66" s="1105"/>
      <c r="CY66" s="1105"/>
      <c r="CZ66" s="1105"/>
      <c r="DA66" s="1105"/>
      <c r="DB66" s="1105"/>
      <c r="DC66" s="1105"/>
      <c r="DD66" s="1105"/>
      <c r="DE66" s="1105"/>
      <c r="DF66" s="1105"/>
      <c r="DG66" s="1105"/>
      <c r="DH66" s="1105"/>
      <c r="DI66" s="1105"/>
      <c r="DJ66" s="1105"/>
      <c r="DL66" s="1105"/>
      <c r="DM66" s="1105"/>
      <c r="DN66" s="1105"/>
      <c r="DO66" s="1105"/>
      <c r="DP66" s="1105"/>
      <c r="DQ66" s="1105"/>
      <c r="DR66" s="1105"/>
      <c r="DS66" s="1105"/>
      <c r="DT66" s="1105"/>
      <c r="DU66" s="1105"/>
      <c r="DV66" s="1105"/>
      <c r="DW66" s="1105"/>
      <c r="DX66" s="1105"/>
      <c r="DY66" s="1105"/>
      <c r="DZ66" s="1105"/>
      <c r="EA66" s="1105"/>
      <c r="EB66" s="1105"/>
      <c r="EC66" s="1105"/>
      <c r="EE66" s="1106"/>
      <c r="EF66" s="1106"/>
      <c r="EG66" s="1106"/>
      <c r="EH66" s="1106"/>
      <c r="EI66" s="1106"/>
      <c r="EJ66" s="1106"/>
      <c r="EK66" s="1106"/>
      <c r="EL66" s="1106"/>
    </row>
    <row r="67" spans="2:142" ht="3.75" customHeight="1" x14ac:dyDescent="0.25">
      <c r="B67" s="1097"/>
      <c r="C67" s="1097"/>
      <c r="D67" s="1097"/>
      <c r="F67" s="1103"/>
      <c r="G67" s="1103"/>
      <c r="H67" s="1103"/>
      <c r="I67" s="1103"/>
      <c r="J67" s="1103"/>
      <c r="K67" s="1103"/>
      <c r="L67" s="1103"/>
      <c r="M67" s="1103"/>
      <c r="N67" s="1103"/>
      <c r="O67" s="1103"/>
      <c r="P67" s="1103"/>
      <c r="R67" s="1106"/>
      <c r="S67" s="1106"/>
      <c r="T67" s="1106"/>
      <c r="U67" s="1106"/>
      <c r="V67" s="1106"/>
      <c r="W67" s="1106"/>
      <c r="Y67" s="1105"/>
      <c r="Z67" s="1105"/>
      <c r="AA67" s="1105"/>
      <c r="AB67" s="1105"/>
      <c r="AC67" s="1105"/>
      <c r="AD67" s="1105"/>
      <c r="AE67" s="1105"/>
      <c r="AF67" s="1105"/>
      <c r="AG67" s="1105"/>
      <c r="AH67" s="1105"/>
      <c r="AI67" s="1105"/>
      <c r="AJ67" s="1105"/>
      <c r="AK67" s="1105"/>
      <c r="AL67" s="1105"/>
      <c r="AM67" s="1105"/>
      <c r="AN67" s="1105"/>
      <c r="AO67" s="1105"/>
      <c r="AP67" s="1105"/>
      <c r="AR67" s="1105"/>
      <c r="AS67" s="1105"/>
      <c r="AT67" s="1105"/>
      <c r="AU67" s="1105"/>
      <c r="AV67" s="1105"/>
      <c r="AW67" s="1105"/>
      <c r="AX67" s="1105"/>
      <c r="AY67" s="1105"/>
      <c r="AZ67" s="1105"/>
      <c r="BA67" s="1105"/>
      <c r="BB67" s="1105"/>
      <c r="BC67" s="1105"/>
      <c r="BD67" s="1105"/>
      <c r="BE67" s="1105"/>
      <c r="BF67" s="1105"/>
      <c r="BG67" s="1105"/>
      <c r="BH67" s="1105"/>
      <c r="BI67" s="1105"/>
      <c r="BK67" s="1106" t="s">
        <v>590</v>
      </c>
      <c r="BL67" s="1106"/>
      <c r="BM67" s="1106"/>
      <c r="BN67" s="1106"/>
      <c r="BO67" s="1106" t="s">
        <v>589</v>
      </c>
      <c r="BP67" s="1106"/>
      <c r="BQ67" s="1106"/>
      <c r="BR67" s="1106"/>
      <c r="BS67" s="73"/>
      <c r="BV67" s="1097"/>
      <c r="BW67" s="1097"/>
      <c r="BX67" s="1097"/>
      <c r="BZ67" s="1103"/>
      <c r="CA67" s="1103"/>
      <c r="CB67" s="1103"/>
      <c r="CC67" s="1103"/>
      <c r="CD67" s="1103"/>
      <c r="CE67" s="1103"/>
      <c r="CF67" s="1103"/>
      <c r="CG67" s="1103"/>
      <c r="CH67" s="1103"/>
      <c r="CI67" s="1103"/>
      <c r="CJ67" s="1103"/>
      <c r="CL67" s="1106"/>
      <c r="CM67" s="1106"/>
      <c r="CN67" s="1106"/>
      <c r="CO67" s="1106"/>
      <c r="CP67" s="1106"/>
      <c r="CQ67" s="1106"/>
      <c r="CS67" s="1105"/>
      <c r="CT67" s="1105"/>
      <c r="CU67" s="1105"/>
      <c r="CV67" s="1105"/>
      <c r="CW67" s="1105"/>
      <c r="CX67" s="1105"/>
      <c r="CY67" s="1105"/>
      <c r="CZ67" s="1105"/>
      <c r="DA67" s="1105"/>
      <c r="DB67" s="1105"/>
      <c r="DC67" s="1105"/>
      <c r="DD67" s="1105"/>
      <c r="DE67" s="1105"/>
      <c r="DF67" s="1105"/>
      <c r="DG67" s="1105"/>
      <c r="DH67" s="1105"/>
      <c r="DI67" s="1105"/>
      <c r="DJ67" s="1105"/>
      <c r="DL67" s="1105"/>
      <c r="DM67" s="1105"/>
      <c r="DN67" s="1105"/>
      <c r="DO67" s="1105"/>
      <c r="DP67" s="1105"/>
      <c r="DQ67" s="1105"/>
      <c r="DR67" s="1105"/>
      <c r="DS67" s="1105"/>
      <c r="DT67" s="1105"/>
      <c r="DU67" s="1105"/>
      <c r="DV67" s="1105"/>
      <c r="DW67" s="1105"/>
      <c r="DX67" s="1105"/>
      <c r="DY67" s="1105"/>
      <c r="DZ67" s="1105"/>
      <c r="EA67" s="1105"/>
      <c r="EB67" s="1105"/>
      <c r="EC67" s="1105"/>
      <c r="EE67" s="1106" t="s">
        <v>590</v>
      </c>
      <c r="EF67" s="1106"/>
      <c r="EG67" s="1106"/>
      <c r="EH67" s="1106"/>
      <c r="EI67" s="1106" t="s">
        <v>589</v>
      </c>
      <c r="EJ67" s="1106"/>
      <c r="EK67" s="1106"/>
      <c r="EL67" s="1106"/>
    </row>
    <row r="68" spans="2:142" ht="3.75" customHeight="1" x14ac:dyDescent="0.25">
      <c r="B68" s="1097"/>
      <c r="C68" s="1097"/>
      <c r="D68" s="1097"/>
      <c r="F68" s="1107" t="s">
        <v>626</v>
      </c>
      <c r="G68" s="1103"/>
      <c r="H68" s="1103"/>
      <c r="I68" s="1103"/>
      <c r="J68" s="1103"/>
      <c r="K68" s="1103"/>
      <c r="L68" s="1103"/>
      <c r="M68" s="1103"/>
      <c r="N68" s="1103"/>
      <c r="O68" s="1103"/>
      <c r="P68" s="1103"/>
      <c r="R68" s="1106"/>
      <c r="S68" s="1106"/>
      <c r="T68" s="1106"/>
      <c r="U68" s="1106"/>
      <c r="V68" s="1106"/>
      <c r="W68" s="1106"/>
      <c r="Y68" s="1105"/>
      <c r="Z68" s="1105"/>
      <c r="AA68" s="1105"/>
      <c r="AB68" s="1105"/>
      <c r="AC68" s="1105"/>
      <c r="AD68" s="1105"/>
      <c r="AE68" s="1105"/>
      <c r="AF68" s="1105"/>
      <c r="AG68" s="1105"/>
      <c r="AH68" s="1105"/>
      <c r="AI68" s="1105"/>
      <c r="AJ68" s="1105"/>
      <c r="AK68" s="1105"/>
      <c r="AL68" s="1105"/>
      <c r="AM68" s="1105"/>
      <c r="AN68" s="1105"/>
      <c r="AO68" s="1105"/>
      <c r="AP68" s="1105"/>
      <c r="AR68" s="1105"/>
      <c r="AS68" s="1105"/>
      <c r="AT68" s="1105"/>
      <c r="AU68" s="1105"/>
      <c r="AV68" s="1105"/>
      <c r="AW68" s="1105"/>
      <c r="AX68" s="1105"/>
      <c r="AY68" s="1105"/>
      <c r="AZ68" s="1105"/>
      <c r="BA68" s="1105"/>
      <c r="BB68" s="1105"/>
      <c r="BC68" s="1105"/>
      <c r="BD68" s="1105"/>
      <c r="BE68" s="1105"/>
      <c r="BF68" s="1105"/>
      <c r="BG68" s="1105"/>
      <c r="BH68" s="1105"/>
      <c r="BI68" s="1105"/>
      <c r="BK68" s="1106"/>
      <c r="BL68" s="1106"/>
      <c r="BM68" s="1106"/>
      <c r="BN68" s="1106"/>
      <c r="BO68" s="1106"/>
      <c r="BP68" s="1106"/>
      <c r="BQ68" s="1106"/>
      <c r="BR68" s="1106"/>
      <c r="BS68" s="73"/>
      <c r="BV68" s="1097"/>
      <c r="BW68" s="1097"/>
      <c r="BX68" s="1097"/>
      <c r="BZ68" s="1107" t="s">
        <v>626</v>
      </c>
      <c r="CA68" s="1103"/>
      <c r="CB68" s="1103"/>
      <c r="CC68" s="1103"/>
      <c r="CD68" s="1103"/>
      <c r="CE68" s="1103"/>
      <c r="CF68" s="1103"/>
      <c r="CG68" s="1103"/>
      <c r="CH68" s="1103"/>
      <c r="CI68" s="1103"/>
      <c r="CJ68" s="1103"/>
      <c r="CL68" s="1106"/>
      <c r="CM68" s="1106"/>
      <c r="CN68" s="1106"/>
      <c r="CO68" s="1106"/>
      <c r="CP68" s="1106"/>
      <c r="CQ68" s="1106"/>
      <c r="CS68" s="1105"/>
      <c r="CT68" s="1105"/>
      <c r="CU68" s="1105"/>
      <c r="CV68" s="1105"/>
      <c r="CW68" s="1105"/>
      <c r="CX68" s="1105"/>
      <c r="CY68" s="1105"/>
      <c r="CZ68" s="1105"/>
      <c r="DA68" s="1105"/>
      <c r="DB68" s="1105"/>
      <c r="DC68" s="1105"/>
      <c r="DD68" s="1105"/>
      <c r="DE68" s="1105"/>
      <c r="DF68" s="1105"/>
      <c r="DG68" s="1105"/>
      <c r="DH68" s="1105"/>
      <c r="DI68" s="1105"/>
      <c r="DJ68" s="1105"/>
      <c r="DL68" s="1105"/>
      <c r="DM68" s="1105"/>
      <c r="DN68" s="1105"/>
      <c r="DO68" s="1105"/>
      <c r="DP68" s="1105"/>
      <c r="DQ68" s="1105"/>
      <c r="DR68" s="1105"/>
      <c r="DS68" s="1105"/>
      <c r="DT68" s="1105"/>
      <c r="DU68" s="1105"/>
      <c r="DV68" s="1105"/>
      <c r="DW68" s="1105"/>
      <c r="DX68" s="1105"/>
      <c r="DY68" s="1105"/>
      <c r="DZ68" s="1105"/>
      <c r="EA68" s="1105"/>
      <c r="EB68" s="1105"/>
      <c r="EC68" s="1105"/>
      <c r="EE68" s="1106"/>
      <c r="EF68" s="1106"/>
      <c r="EG68" s="1106"/>
      <c r="EH68" s="1106"/>
      <c r="EI68" s="1106"/>
      <c r="EJ68" s="1106"/>
      <c r="EK68" s="1106"/>
      <c r="EL68" s="1106"/>
    </row>
    <row r="69" spans="2:142" ht="3.75" customHeight="1" x14ac:dyDescent="0.25">
      <c r="F69" s="1103"/>
      <c r="G69" s="1103"/>
      <c r="H69" s="1103"/>
      <c r="I69" s="1103"/>
      <c r="J69" s="1103"/>
      <c r="K69" s="1103"/>
      <c r="L69" s="1103"/>
      <c r="M69" s="1103"/>
      <c r="N69" s="1103"/>
      <c r="O69" s="1103"/>
      <c r="P69" s="1103"/>
      <c r="R69" s="1106"/>
      <c r="S69" s="1106"/>
      <c r="T69" s="1106"/>
      <c r="U69" s="1106"/>
      <c r="V69" s="1106"/>
      <c r="W69" s="1106"/>
      <c r="Y69" s="1105"/>
      <c r="Z69" s="1105"/>
      <c r="AA69" s="1105"/>
      <c r="AB69" s="1105"/>
      <c r="AC69" s="1105"/>
      <c r="AD69" s="1105"/>
      <c r="AE69" s="1105"/>
      <c r="AF69" s="1105"/>
      <c r="AG69" s="1105"/>
      <c r="AH69" s="1105"/>
      <c r="AI69" s="1105"/>
      <c r="AJ69" s="1105"/>
      <c r="AK69" s="1105"/>
      <c r="AL69" s="1105"/>
      <c r="AM69" s="1105"/>
      <c r="AN69" s="1105"/>
      <c r="AO69" s="1105"/>
      <c r="AP69" s="1105"/>
      <c r="AR69" s="1105"/>
      <c r="AS69" s="1105"/>
      <c r="AT69" s="1105"/>
      <c r="AU69" s="1105"/>
      <c r="AV69" s="1105"/>
      <c r="AW69" s="1105"/>
      <c r="AX69" s="1105"/>
      <c r="AY69" s="1105"/>
      <c r="AZ69" s="1105"/>
      <c r="BA69" s="1105"/>
      <c r="BB69" s="1105"/>
      <c r="BC69" s="1105"/>
      <c r="BD69" s="1105"/>
      <c r="BE69" s="1105"/>
      <c r="BF69" s="1105"/>
      <c r="BG69" s="1105"/>
      <c r="BH69" s="1105"/>
      <c r="BI69" s="1105"/>
      <c r="BK69" s="1106"/>
      <c r="BL69" s="1106"/>
      <c r="BM69" s="1106"/>
      <c r="BN69" s="1106"/>
      <c r="BO69" s="1106"/>
      <c r="BP69" s="1106"/>
      <c r="BQ69" s="1106"/>
      <c r="BR69" s="1106"/>
      <c r="BS69" s="73"/>
      <c r="BZ69" s="1103"/>
      <c r="CA69" s="1103"/>
      <c r="CB69" s="1103"/>
      <c r="CC69" s="1103"/>
      <c r="CD69" s="1103"/>
      <c r="CE69" s="1103"/>
      <c r="CF69" s="1103"/>
      <c r="CG69" s="1103"/>
      <c r="CH69" s="1103"/>
      <c r="CI69" s="1103"/>
      <c r="CJ69" s="1103"/>
      <c r="CL69" s="1106"/>
      <c r="CM69" s="1106"/>
      <c r="CN69" s="1106"/>
      <c r="CO69" s="1106"/>
      <c r="CP69" s="1106"/>
      <c r="CQ69" s="1106"/>
      <c r="CS69" s="1105"/>
      <c r="CT69" s="1105"/>
      <c r="CU69" s="1105"/>
      <c r="CV69" s="1105"/>
      <c r="CW69" s="1105"/>
      <c r="CX69" s="1105"/>
      <c r="CY69" s="1105"/>
      <c r="CZ69" s="1105"/>
      <c r="DA69" s="1105"/>
      <c r="DB69" s="1105"/>
      <c r="DC69" s="1105"/>
      <c r="DD69" s="1105"/>
      <c r="DE69" s="1105"/>
      <c r="DF69" s="1105"/>
      <c r="DG69" s="1105"/>
      <c r="DH69" s="1105"/>
      <c r="DI69" s="1105"/>
      <c r="DJ69" s="1105"/>
      <c r="DL69" s="1105"/>
      <c r="DM69" s="1105"/>
      <c r="DN69" s="1105"/>
      <c r="DO69" s="1105"/>
      <c r="DP69" s="1105"/>
      <c r="DQ69" s="1105"/>
      <c r="DR69" s="1105"/>
      <c r="DS69" s="1105"/>
      <c r="DT69" s="1105"/>
      <c r="DU69" s="1105"/>
      <c r="DV69" s="1105"/>
      <c r="DW69" s="1105"/>
      <c r="DX69" s="1105"/>
      <c r="DY69" s="1105"/>
      <c r="DZ69" s="1105"/>
      <c r="EA69" s="1105"/>
      <c r="EB69" s="1105"/>
      <c r="EC69" s="1105"/>
      <c r="EE69" s="1106"/>
      <c r="EF69" s="1106"/>
      <c r="EG69" s="1106"/>
      <c r="EH69" s="1106"/>
      <c r="EI69" s="1106"/>
      <c r="EJ69" s="1106"/>
      <c r="EK69" s="1106"/>
      <c r="EL69" s="1106"/>
    </row>
    <row r="70" spans="2:142" ht="3.75" customHeight="1" x14ac:dyDescent="0.25">
      <c r="R70" s="1106"/>
      <c r="S70" s="1106"/>
      <c r="T70" s="1106"/>
      <c r="U70" s="1106"/>
      <c r="V70" s="1106"/>
      <c r="W70" s="1106"/>
      <c r="Y70" s="1105"/>
      <c r="Z70" s="1105"/>
      <c r="AA70" s="1105"/>
      <c r="AB70" s="1105"/>
      <c r="AC70" s="1105"/>
      <c r="AD70" s="1105"/>
      <c r="AE70" s="1105"/>
      <c r="AF70" s="1105"/>
      <c r="AG70" s="1105"/>
      <c r="AH70" s="1105"/>
      <c r="AI70" s="1105"/>
      <c r="AJ70" s="1105"/>
      <c r="AK70" s="1105"/>
      <c r="AL70" s="1105"/>
      <c r="AM70" s="1105"/>
      <c r="AN70" s="1105"/>
      <c r="AO70" s="1105"/>
      <c r="AP70" s="1105"/>
      <c r="AR70" s="1105"/>
      <c r="AS70" s="1105"/>
      <c r="AT70" s="1105"/>
      <c r="AU70" s="1105"/>
      <c r="AV70" s="1105"/>
      <c r="AW70" s="1105"/>
      <c r="AX70" s="1105"/>
      <c r="AY70" s="1105"/>
      <c r="AZ70" s="1105"/>
      <c r="BA70" s="1105"/>
      <c r="BB70" s="1105"/>
      <c r="BC70" s="1105"/>
      <c r="BD70" s="1105"/>
      <c r="BE70" s="1105"/>
      <c r="BF70" s="1105"/>
      <c r="BG70" s="1105"/>
      <c r="BH70" s="1105"/>
      <c r="BI70" s="1105"/>
      <c r="BK70" s="1106"/>
      <c r="BL70" s="1106"/>
      <c r="BM70" s="1106"/>
      <c r="BN70" s="1106"/>
      <c r="BO70" s="1106"/>
      <c r="BP70" s="1106"/>
      <c r="BQ70" s="1106"/>
      <c r="BR70" s="1106"/>
      <c r="BS70" s="73"/>
      <c r="CL70" s="1106"/>
      <c r="CM70" s="1106"/>
      <c r="CN70" s="1106"/>
      <c r="CO70" s="1106"/>
      <c r="CP70" s="1106"/>
      <c r="CQ70" s="1106"/>
      <c r="CS70" s="1105"/>
      <c r="CT70" s="1105"/>
      <c r="CU70" s="1105"/>
      <c r="CV70" s="1105"/>
      <c r="CW70" s="1105"/>
      <c r="CX70" s="1105"/>
      <c r="CY70" s="1105"/>
      <c r="CZ70" s="1105"/>
      <c r="DA70" s="1105"/>
      <c r="DB70" s="1105"/>
      <c r="DC70" s="1105"/>
      <c r="DD70" s="1105"/>
      <c r="DE70" s="1105"/>
      <c r="DF70" s="1105"/>
      <c r="DG70" s="1105"/>
      <c r="DH70" s="1105"/>
      <c r="DI70" s="1105"/>
      <c r="DJ70" s="1105"/>
      <c r="DL70" s="1105"/>
      <c r="DM70" s="1105"/>
      <c r="DN70" s="1105"/>
      <c r="DO70" s="1105"/>
      <c r="DP70" s="1105"/>
      <c r="DQ70" s="1105"/>
      <c r="DR70" s="1105"/>
      <c r="DS70" s="1105"/>
      <c r="DT70" s="1105"/>
      <c r="DU70" s="1105"/>
      <c r="DV70" s="1105"/>
      <c r="DW70" s="1105"/>
      <c r="DX70" s="1105"/>
      <c r="DY70" s="1105"/>
      <c r="DZ70" s="1105"/>
      <c r="EA70" s="1105"/>
      <c r="EB70" s="1105"/>
      <c r="EC70" s="1105"/>
      <c r="EE70" s="1106"/>
      <c r="EF70" s="1106"/>
      <c r="EG70" s="1106"/>
      <c r="EH70" s="1106"/>
      <c r="EI70" s="1106"/>
      <c r="EJ70" s="1106"/>
      <c r="EK70" s="1106"/>
      <c r="EL70" s="1106"/>
    </row>
    <row r="71" spans="2:142" ht="3.75" customHeight="1" x14ac:dyDescent="0.25">
      <c r="R71" s="1106"/>
      <c r="S71" s="1106"/>
      <c r="T71" s="1106"/>
      <c r="U71" s="1106"/>
      <c r="V71" s="1106"/>
      <c r="W71" s="1106"/>
      <c r="Y71" s="1105"/>
      <c r="Z71" s="1105"/>
      <c r="AA71" s="1105"/>
      <c r="AB71" s="1105"/>
      <c r="AC71" s="1105"/>
      <c r="AD71" s="1105"/>
      <c r="AE71" s="1105"/>
      <c r="AF71" s="1105"/>
      <c r="AG71" s="1105"/>
      <c r="AH71" s="1105"/>
      <c r="AI71" s="1105"/>
      <c r="AJ71" s="1105"/>
      <c r="AK71" s="1105"/>
      <c r="AL71" s="1105"/>
      <c r="AM71" s="1105"/>
      <c r="AN71" s="1105"/>
      <c r="AO71" s="1105"/>
      <c r="AP71" s="1105"/>
      <c r="AR71" s="1105"/>
      <c r="AS71" s="1105"/>
      <c r="AT71" s="1105"/>
      <c r="AU71" s="1105"/>
      <c r="AV71" s="1105"/>
      <c r="AW71" s="1105"/>
      <c r="AX71" s="1105"/>
      <c r="AY71" s="1105"/>
      <c r="AZ71" s="1105"/>
      <c r="BA71" s="1105"/>
      <c r="BB71" s="1105"/>
      <c r="BC71" s="1105"/>
      <c r="BD71" s="1105"/>
      <c r="BE71" s="1105"/>
      <c r="BF71" s="1105"/>
      <c r="BG71" s="1105"/>
      <c r="BH71" s="1105"/>
      <c r="BI71" s="1105"/>
      <c r="BK71" s="1106"/>
      <c r="BL71" s="1106"/>
      <c r="BM71" s="1106"/>
      <c r="BN71" s="1106"/>
      <c r="BO71" s="1106"/>
      <c r="BP71" s="1106"/>
      <c r="BQ71" s="1106"/>
      <c r="BR71" s="1106"/>
      <c r="BS71" s="73"/>
      <c r="CL71" s="1106"/>
      <c r="CM71" s="1106"/>
      <c r="CN71" s="1106"/>
      <c r="CO71" s="1106"/>
      <c r="CP71" s="1106"/>
      <c r="CQ71" s="1106"/>
      <c r="CS71" s="1105"/>
      <c r="CT71" s="1105"/>
      <c r="CU71" s="1105"/>
      <c r="CV71" s="1105"/>
      <c r="CW71" s="1105"/>
      <c r="CX71" s="1105"/>
      <c r="CY71" s="1105"/>
      <c r="CZ71" s="1105"/>
      <c r="DA71" s="1105"/>
      <c r="DB71" s="1105"/>
      <c r="DC71" s="1105"/>
      <c r="DD71" s="1105"/>
      <c r="DE71" s="1105"/>
      <c r="DF71" s="1105"/>
      <c r="DG71" s="1105"/>
      <c r="DH71" s="1105"/>
      <c r="DI71" s="1105"/>
      <c r="DJ71" s="1105"/>
      <c r="DL71" s="1105"/>
      <c r="DM71" s="1105"/>
      <c r="DN71" s="1105"/>
      <c r="DO71" s="1105"/>
      <c r="DP71" s="1105"/>
      <c r="DQ71" s="1105"/>
      <c r="DR71" s="1105"/>
      <c r="DS71" s="1105"/>
      <c r="DT71" s="1105"/>
      <c r="DU71" s="1105"/>
      <c r="DV71" s="1105"/>
      <c r="DW71" s="1105"/>
      <c r="DX71" s="1105"/>
      <c r="DY71" s="1105"/>
      <c r="DZ71" s="1105"/>
      <c r="EA71" s="1105"/>
      <c r="EB71" s="1105"/>
      <c r="EC71" s="1105"/>
      <c r="EE71" s="1106"/>
      <c r="EF71" s="1106"/>
      <c r="EG71" s="1106"/>
      <c r="EH71" s="1106"/>
      <c r="EI71" s="1106"/>
      <c r="EJ71" s="1106"/>
      <c r="EK71" s="1106"/>
      <c r="EL71" s="1106"/>
    </row>
    <row r="72" spans="2:142" ht="3.75" customHeight="1" x14ac:dyDescent="0.25">
      <c r="B72" s="1097"/>
      <c r="C72" s="1097"/>
      <c r="D72" s="1097"/>
      <c r="F72" s="1107" t="s">
        <v>613</v>
      </c>
      <c r="G72" s="1103"/>
      <c r="H72" s="1103"/>
      <c r="I72" s="1103"/>
      <c r="J72" s="1103"/>
      <c r="K72" s="1103"/>
      <c r="L72" s="1103"/>
      <c r="M72" s="1103"/>
      <c r="N72" s="1103"/>
      <c r="O72" s="1103"/>
      <c r="P72" s="1103"/>
      <c r="R72" s="1106"/>
      <c r="S72" s="1106"/>
      <c r="T72" s="1106"/>
      <c r="U72" s="1106"/>
      <c r="V72" s="1106"/>
      <c r="W72" s="1106"/>
      <c r="Y72" s="1105"/>
      <c r="Z72" s="1105"/>
      <c r="AA72" s="1105"/>
      <c r="AB72" s="1105"/>
      <c r="AC72" s="1105"/>
      <c r="AD72" s="1105"/>
      <c r="AE72" s="1105"/>
      <c r="AF72" s="1105"/>
      <c r="AG72" s="1105"/>
      <c r="AH72" s="1105"/>
      <c r="AI72" s="1105"/>
      <c r="AJ72" s="1105"/>
      <c r="AK72" s="1105"/>
      <c r="AL72" s="1105"/>
      <c r="AM72" s="1105"/>
      <c r="AN72" s="1105"/>
      <c r="AO72" s="1105"/>
      <c r="AP72" s="1105"/>
      <c r="AR72" s="1105"/>
      <c r="AS72" s="1105"/>
      <c r="AT72" s="1105"/>
      <c r="AU72" s="1105"/>
      <c r="AV72" s="1105"/>
      <c r="AW72" s="1105"/>
      <c r="AX72" s="1105"/>
      <c r="AY72" s="1105"/>
      <c r="AZ72" s="1105"/>
      <c r="BA72" s="1105"/>
      <c r="BB72" s="1105"/>
      <c r="BC72" s="1105"/>
      <c r="BD72" s="1105"/>
      <c r="BE72" s="1105"/>
      <c r="BF72" s="1105"/>
      <c r="BG72" s="1105"/>
      <c r="BH72" s="1105"/>
      <c r="BI72" s="1105"/>
      <c r="BK72" s="1106"/>
      <c r="BL72" s="1106"/>
      <c r="BM72" s="1106"/>
      <c r="BN72" s="1106"/>
      <c r="BO72" s="1106"/>
      <c r="BP72" s="1106"/>
      <c r="BQ72" s="1106"/>
      <c r="BR72" s="1106"/>
      <c r="BS72" s="73"/>
      <c r="BV72" s="1097"/>
      <c r="BW72" s="1097"/>
      <c r="BX72" s="1097"/>
      <c r="BZ72" s="1107" t="s">
        <v>613</v>
      </c>
      <c r="CA72" s="1103"/>
      <c r="CB72" s="1103"/>
      <c r="CC72" s="1103"/>
      <c r="CD72" s="1103"/>
      <c r="CE72" s="1103"/>
      <c r="CF72" s="1103"/>
      <c r="CG72" s="1103"/>
      <c r="CH72" s="1103"/>
      <c r="CI72" s="1103"/>
      <c r="CJ72" s="1103"/>
      <c r="CL72" s="1106"/>
      <c r="CM72" s="1106"/>
      <c r="CN72" s="1106"/>
      <c r="CO72" s="1106"/>
      <c r="CP72" s="1106"/>
      <c r="CQ72" s="1106"/>
      <c r="CS72" s="1105"/>
      <c r="CT72" s="1105"/>
      <c r="CU72" s="1105"/>
      <c r="CV72" s="1105"/>
      <c r="CW72" s="1105"/>
      <c r="CX72" s="1105"/>
      <c r="CY72" s="1105"/>
      <c r="CZ72" s="1105"/>
      <c r="DA72" s="1105"/>
      <c r="DB72" s="1105"/>
      <c r="DC72" s="1105"/>
      <c r="DD72" s="1105"/>
      <c r="DE72" s="1105"/>
      <c r="DF72" s="1105"/>
      <c r="DG72" s="1105"/>
      <c r="DH72" s="1105"/>
      <c r="DI72" s="1105"/>
      <c r="DJ72" s="1105"/>
      <c r="DL72" s="1105"/>
      <c r="DM72" s="1105"/>
      <c r="DN72" s="1105"/>
      <c r="DO72" s="1105"/>
      <c r="DP72" s="1105"/>
      <c r="DQ72" s="1105"/>
      <c r="DR72" s="1105"/>
      <c r="DS72" s="1105"/>
      <c r="DT72" s="1105"/>
      <c r="DU72" s="1105"/>
      <c r="DV72" s="1105"/>
      <c r="DW72" s="1105"/>
      <c r="DX72" s="1105"/>
      <c r="DY72" s="1105"/>
      <c r="DZ72" s="1105"/>
      <c r="EA72" s="1105"/>
      <c r="EB72" s="1105"/>
      <c r="EC72" s="1105"/>
      <c r="EE72" s="1106"/>
      <c r="EF72" s="1106"/>
      <c r="EG72" s="1106"/>
      <c r="EH72" s="1106"/>
      <c r="EI72" s="1106"/>
      <c r="EJ72" s="1106"/>
      <c r="EK72" s="1106"/>
      <c r="EL72" s="1106"/>
    </row>
    <row r="73" spans="2:142" ht="3.75" customHeight="1" x14ac:dyDescent="0.25">
      <c r="B73" s="1097"/>
      <c r="C73" s="1097"/>
      <c r="D73" s="1097"/>
      <c r="F73" s="1103"/>
      <c r="G73" s="1103"/>
      <c r="H73" s="1103"/>
      <c r="I73" s="1103"/>
      <c r="J73" s="1103"/>
      <c r="K73" s="1103"/>
      <c r="L73" s="1103"/>
      <c r="M73" s="1103"/>
      <c r="N73" s="1103"/>
      <c r="O73" s="1103"/>
      <c r="P73" s="1103"/>
      <c r="R73" s="1106"/>
      <c r="S73" s="1106"/>
      <c r="T73" s="1106"/>
      <c r="U73" s="1106"/>
      <c r="V73" s="1106"/>
      <c r="W73" s="1106"/>
      <c r="Y73" s="1105"/>
      <c r="Z73" s="1105"/>
      <c r="AA73" s="1105"/>
      <c r="AB73" s="1105"/>
      <c r="AC73" s="1105"/>
      <c r="AD73" s="1105"/>
      <c r="AE73" s="1105"/>
      <c r="AF73" s="1105"/>
      <c r="AG73" s="1105"/>
      <c r="AH73" s="1105"/>
      <c r="AI73" s="1105"/>
      <c r="AJ73" s="1105"/>
      <c r="AK73" s="1105"/>
      <c r="AL73" s="1105"/>
      <c r="AM73" s="1105"/>
      <c r="AN73" s="1105"/>
      <c r="AO73" s="1105"/>
      <c r="AP73" s="1105"/>
      <c r="AR73" s="1105"/>
      <c r="AS73" s="1105"/>
      <c r="AT73" s="1105"/>
      <c r="AU73" s="1105"/>
      <c r="AV73" s="1105"/>
      <c r="AW73" s="1105"/>
      <c r="AX73" s="1105"/>
      <c r="AY73" s="1105"/>
      <c r="AZ73" s="1105"/>
      <c r="BA73" s="1105"/>
      <c r="BB73" s="1105"/>
      <c r="BC73" s="1105"/>
      <c r="BD73" s="1105"/>
      <c r="BE73" s="1105"/>
      <c r="BF73" s="1105"/>
      <c r="BG73" s="1105"/>
      <c r="BH73" s="1105"/>
      <c r="BI73" s="1105"/>
      <c r="BK73" s="1106" t="s">
        <v>590</v>
      </c>
      <c r="BL73" s="1106"/>
      <c r="BM73" s="1106"/>
      <c r="BN73" s="1106"/>
      <c r="BO73" s="1106" t="s">
        <v>589</v>
      </c>
      <c r="BP73" s="1106"/>
      <c r="BQ73" s="1106"/>
      <c r="BR73" s="1106"/>
      <c r="BS73" s="73"/>
      <c r="BV73" s="1097"/>
      <c r="BW73" s="1097"/>
      <c r="BX73" s="1097"/>
      <c r="BZ73" s="1103"/>
      <c r="CA73" s="1103"/>
      <c r="CB73" s="1103"/>
      <c r="CC73" s="1103"/>
      <c r="CD73" s="1103"/>
      <c r="CE73" s="1103"/>
      <c r="CF73" s="1103"/>
      <c r="CG73" s="1103"/>
      <c r="CH73" s="1103"/>
      <c r="CI73" s="1103"/>
      <c r="CJ73" s="1103"/>
      <c r="CL73" s="1106"/>
      <c r="CM73" s="1106"/>
      <c r="CN73" s="1106"/>
      <c r="CO73" s="1106"/>
      <c r="CP73" s="1106"/>
      <c r="CQ73" s="1106"/>
      <c r="CS73" s="1105"/>
      <c r="CT73" s="1105"/>
      <c r="CU73" s="1105"/>
      <c r="CV73" s="1105"/>
      <c r="CW73" s="1105"/>
      <c r="CX73" s="1105"/>
      <c r="CY73" s="1105"/>
      <c r="CZ73" s="1105"/>
      <c r="DA73" s="1105"/>
      <c r="DB73" s="1105"/>
      <c r="DC73" s="1105"/>
      <c r="DD73" s="1105"/>
      <c r="DE73" s="1105"/>
      <c r="DF73" s="1105"/>
      <c r="DG73" s="1105"/>
      <c r="DH73" s="1105"/>
      <c r="DI73" s="1105"/>
      <c r="DJ73" s="1105"/>
      <c r="DL73" s="1105"/>
      <c r="DM73" s="1105"/>
      <c r="DN73" s="1105"/>
      <c r="DO73" s="1105"/>
      <c r="DP73" s="1105"/>
      <c r="DQ73" s="1105"/>
      <c r="DR73" s="1105"/>
      <c r="DS73" s="1105"/>
      <c r="DT73" s="1105"/>
      <c r="DU73" s="1105"/>
      <c r="DV73" s="1105"/>
      <c r="DW73" s="1105"/>
      <c r="DX73" s="1105"/>
      <c r="DY73" s="1105"/>
      <c r="DZ73" s="1105"/>
      <c r="EA73" s="1105"/>
      <c r="EB73" s="1105"/>
      <c r="EC73" s="1105"/>
      <c r="EE73" s="1106" t="s">
        <v>590</v>
      </c>
      <c r="EF73" s="1106"/>
      <c r="EG73" s="1106"/>
      <c r="EH73" s="1106"/>
      <c r="EI73" s="1106" t="s">
        <v>589</v>
      </c>
      <c r="EJ73" s="1106"/>
      <c r="EK73" s="1106"/>
      <c r="EL73" s="1106"/>
    </row>
    <row r="74" spans="2:142" ht="3.75" customHeight="1" x14ac:dyDescent="0.25">
      <c r="B74" s="1097"/>
      <c r="C74" s="1097"/>
      <c r="D74" s="1097"/>
      <c r="F74" s="1107" t="s">
        <v>625</v>
      </c>
      <c r="G74" s="1103"/>
      <c r="H74" s="1103"/>
      <c r="I74" s="1103"/>
      <c r="J74" s="1103"/>
      <c r="K74" s="1103"/>
      <c r="L74" s="1103"/>
      <c r="M74" s="1103"/>
      <c r="N74" s="1103"/>
      <c r="O74" s="1103"/>
      <c r="P74" s="1103"/>
      <c r="R74" s="1106"/>
      <c r="S74" s="1106"/>
      <c r="T74" s="1106"/>
      <c r="U74" s="1106"/>
      <c r="V74" s="1106"/>
      <c r="W74" s="1106"/>
      <c r="Y74" s="1105"/>
      <c r="Z74" s="1105"/>
      <c r="AA74" s="1105"/>
      <c r="AB74" s="1105"/>
      <c r="AC74" s="1105"/>
      <c r="AD74" s="1105"/>
      <c r="AE74" s="1105"/>
      <c r="AF74" s="1105"/>
      <c r="AG74" s="1105"/>
      <c r="AH74" s="1105"/>
      <c r="AI74" s="1105"/>
      <c r="AJ74" s="1105"/>
      <c r="AK74" s="1105"/>
      <c r="AL74" s="1105"/>
      <c r="AM74" s="1105"/>
      <c r="AN74" s="1105"/>
      <c r="AO74" s="1105"/>
      <c r="AP74" s="1105"/>
      <c r="AR74" s="1105"/>
      <c r="AS74" s="1105"/>
      <c r="AT74" s="1105"/>
      <c r="AU74" s="1105"/>
      <c r="AV74" s="1105"/>
      <c r="AW74" s="1105"/>
      <c r="AX74" s="1105"/>
      <c r="AY74" s="1105"/>
      <c r="AZ74" s="1105"/>
      <c r="BA74" s="1105"/>
      <c r="BB74" s="1105"/>
      <c r="BC74" s="1105"/>
      <c r="BD74" s="1105"/>
      <c r="BE74" s="1105"/>
      <c r="BF74" s="1105"/>
      <c r="BG74" s="1105"/>
      <c r="BH74" s="1105"/>
      <c r="BI74" s="1105"/>
      <c r="BK74" s="1106"/>
      <c r="BL74" s="1106"/>
      <c r="BM74" s="1106"/>
      <c r="BN74" s="1106"/>
      <c r="BO74" s="1106"/>
      <c r="BP74" s="1106"/>
      <c r="BQ74" s="1106"/>
      <c r="BR74" s="1106"/>
      <c r="BS74" s="73"/>
      <c r="BV74" s="1097"/>
      <c r="BW74" s="1097"/>
      <c r="BX74" s="1097"/>
      <c r="BZ74" s="1107" t="s">
        <v>625</v>
      </c>
      <c r="CA74" s="1103"/>
      <c r="CB74" s="1103"/>
      <c r="CC74" s="1103"/>
      <c r="CD74" s="1103"/>
      <c r="CE74" s="1103"/>
      <c r="CF74" s="1103"/>
      <c r="CG74" s="1103"/>
      <c r="CH74" s="1103"/>
      <c r="CI74" s="1103"/>
      <c r="CJ74" s="1103"/>
      <c r="CL74" s="1106"/>
      <c r="CM74" s="1106"/>
      <c r="CN74" s="1106"/>
      <c r="CO74" s="1106"/>
      <c r="CP74" s="1106"/>
      <c r="CQ74" s="1106"/>
      <c r="CS74" s="1105"/>
      <c r="CT74" s="1105"/>
      <c r="CU74" s="1105"/>
      <c r="CV74" s="1105"/>
      <c r="CW74" s="1105"/>
      <c r="CX74" s="1105"/>
      <c r="CY74" s="1105"/>
      <c r="CZ74" s="1105"/>
      <c r="DA74" s="1105"/>
      <c r="DB74" s="1105"/>
      <c r="DC74" s="1105"/>
      <c r="DD74" s="1105"/>
      <c r="DE74" s="1105"/>
      <c r="DF74" s="1105"/>
      <c r="DG74" s="1105"/>
      <c r="DH74" s="1105"/>
      <c r="DI74" s="1105"/>
      <c r="DJ74" s="1105"/>
      <c r="DL74" s="1105"/>
      <c r="DM74" s="1105"/>
      <c r="DN74" s="1105"/>
      <c r="DO74" s="1105"/>
      <c r="DP74" s="1105"/>
      <c r="DQ74" s="1105"/>
      <c r="DR74" s="1105"/>
      <c r="DS74" s="1105"/>
      <c r="DT74" s="1105"/>
      <c r="DU74" s="1105"/>
      <c r="DV74" s="1105"/>
      <c r="DW74" s="1105"/>
      <c r="DX74" s="1105"/>
      <c r="DY74" s="1105"/>
      <c r="DZ74" s="1105"/>
      <c r="EA74" s="1105"/>
      <c r="EB74" s="1105"/>
      <c r="EC74" s="1105"/>
      <c r="EE74" s="1106"/>
      <c r="EF74" s="1106"/>
      <c r="EG74" s="1106"/>
      <c r="EH74" s="1106"/>
      <c r="EI74" s="1106"/>
      <c r="EJ74" s="1106"/>
      <c r="EK74" s="1106"/>
      <c r="EL74" s="1106"/>
    </row>
    <row r="75" spans="2:142" ht="3.75" customHeight="1" x14ac:dyDescent="0.25">
      <c r="F75" s="1103"/>
      <c r="G75" s="1103"/>
      <c r="H75" s="1103"/>
      <c r="I75" s="1103"/>
      <c r="J75" s="1103"/>
      <c r="K75" s="1103"/>
      <c r="L75" s="1103"/>
      <c r="M75" s="1103"/>
      <c r="N75" s="1103"/>
      <c r="O75" s="1103"/>
      <c r="P75" s="1103"/>
      <c r="R75" s="1106"/>
      <c r="S75" s="1106"/>
      <c r="T75" s="1106"/>
      <c r="U75" s="1106"/>
      <c r="V75" s="1106"/>
      <c r="W75" s="1106"/>
      <c r="Y75" s="1105"/>
      <c r="Z75" s="1105"/>
      <c r="AA75" s="1105"/>
      <c r="AB75" s="1105"/>
      <c r="AC75" s="1105"/>
      <c r="AD75" s="1105"/>
      <c r="AE75" s="1105"/>
      <c r="AF75" s="1105"/>
      <c r="AG75" s="1105"/>
      <c r="AH75" s="1105"/>
      <c r="AI75" s="1105"/>
      <c r="AJ75" s="1105"/>
      <c r="AK75" s="1105"/>
      <c r="AL75" s="1105"/>
      <c r="AM75" s="1105"/>
      <c r="AN75" s="1105"/>
      <c r="AO75" s="1105"/>
      <c r="AP75" s="1105"/>
      <c r="AR75" s="1105"/>
      <c r="AS75" s="1105"/>
      <c r="AT75" s="1105"/>
      <c r="AU75" s="1105"/>
      <c r="AV75" s="1105"/>
      <c r="AW75" s="1105"/>
      <c r="AX75" s="1105"/>
      <c r="AY75" s="1105"/>
      <c r="AZ75" s="1105"/>
      <c r="BA75" s="1105"/>
      <c r="BB75" s="1105"/>
      <c r="BC75" s="1105"/>
      <c r="BD75" s="1105"/>
      <c r="BE75" s="1105"/>
      <c r="BF75" s="1105"/>
      <c r="BG75" s="1105"/>
      <c r="BH75" s="1105"/>
      <c r="BI75" s="1105"/>
      <c r="BK75" s="1106"/>
      <c r="BL75" s="1106"/>
      <c r="BM75" s="1106"/>
      <c r="BN75" s="1106"/>
      <c r="BO75" s="1106"/>
      <c r="BP75" s="1106"/>
      <c r="BQ75" s="1106"/>
      <c r="BR75" s="1106"/>
      <c r="BS75" s="73"/>
      <c r="BZ75" s="1103"/>
      <c r="CA75" s="1103"/>
      <c r="CB75" s="1103"/>
      <c r="CC75" s="1103"/>
      <c r="CD75" s="1103"/>
      <c r="CE75" s="1103"/>
      <c r="CF75" s="1103"/>
      <c r="CG75" s="1103"/>
      <c r="CH75" s="1103"/>
      <c r="CI75" s="1103"/>
      <c r="CJ75" s="1103"/>
      <c r="CL75" s="1106"/>
      <c r="CM75" s="1106"/>
      <c r="CN75" s="1106"/>
      <c r="CO75" s="1106"/>
      <c r="CP75" s="1106"/>
      <c r="CQ75" s="1106"/>
      <c r="CS75" s="1105"/>
      <c r="CT75" s="1105"/>
      <c r="CU75" s="1105"/>
      <c r="CV75" s="1105"/>
      <c r="CW75" s="1105"/>
      <c r="CX75" s="1105"/>
      <c r="CY75" s="1105"/>
      <c r="CZ75" s="1105"/>
      <c r="DA75" s="1105"/>
      <c r="DB75" s="1105"/>
      <c r="DC75" s="1105"/>
      <c r="DD75" s="1105"/>
      <c r="DE75" s="1105"/>
      <c r="DF75" s="1105"/>
      <c r="DG75" s="1105"/>
      <c r="DH75" s="1105"/>
      <c r="DI75" s="1105"/>
      <c r="DJ75" s="1105"/>
      <c r="DL75" s="1105"/>
      <c r="DM75" s="1105"/>
      <c r="DN75" s="1105"/>
      <c r="DO75" s="1105"/>
      <c r="DP75" s="1105"/>
      <c r="DQ75" s="1105"/>
      <c r="DR75" s="1105"/>
      <c r="DS75" s="1105"/>
      <c r="DT75" s="1105"/>
      <c r="DU75" s="1105"/>
      <c r="DV75" s="1105"/>
      <c r="DW75" s="1105"/>
      <c r="DX75" s="1105"/>
      <c r="DY75" s="1105"/>
      <c r="DZ75" s="1105"/>
      <c r="EA75" s="1105"/>
      <c r="EB75" s="1105"/>
      <c r="EC75" s="1105"/>
      <c r="EE75" s="1106"/>
      <c r="EF75" s="1106"/>
      <c r="EG75" s="1106"/>
      <c r="EH75" s="1106"/>
      <c r="EI75" s="1106"/>
      <c r="EJ75" s="1106"/>
      <c r="EK75" s="1106"/>
      <c r="EL75" s="1106"/>
    </row>
    <row r="76" spans="2:142" ht="3.75" customHeight="1" x14ac:dyDescent="0.25">
      <c r="F76" s="1107" t="s">
        <v>624</v>
      </c>
      <c r="G76" s="1103"/>
      <c r="H76" s="1103"/>
      <c r="I76" s="1103"/>
      <c r="J76" s="1103"/>
      <c r="K76" s="1103"/>
      <c r="L76" s="1103"/>
      <c r="M76" s="1103"/>
      <c r="N76" s="1103"/>
      <c r="O76" s="1103"/>
      <c r="P76" s="1103"/>
      <c r="R76" s="1106"/>
      <c r="S76" s="1106"/>
      <c r="T76" s="1106"/>
      <c r="U76" s="1106"/>
      <c r="V76" s="1106"/>
      <c r="W76" s="1106"/>
      <c r="Y76" s="1105"/>
      <c r="Z76" s="1105"/>
      <c r="AA76" s="1105"/>
      <c r="AB76" s="1105"/>
      <c r="AC76" s="1105"/>
      <c r="AD76" s="1105"/>
      <c r="AE76" s="1105"/>
      <c r="AF76" s="1105"/>
      <c r="AG76" s="1105"/>
      <c r="AH76" s="1105"/>
      <c r="AI76" s="1105"/>
      <c r="AJ76" s="1105"/>
      <c r="AK76" s="1105"/>
      <c r="AL76" s="1105"/>
      <c r="AM76" s="1105"/>
      <c r="AN76" s="1105"/>
      <c r="AO76" s="1105"/>
      <c r="AP76" s="1105"/>
      <c r="AR76" s="1105"/>
      <c r="AS76" s="1105"/>
      <c r="AT76" s="1105"/>
      <c r="AU76" s="1105"/>
      <c r="AV76" s="1105"/>
      <c r="AW76" s="1105"/>
      <c r="AX76" s="1105"/>
      <c r="AY76" s="1105"/>
      <c r="AZ76" s="1105"/>
      <c r="BA76" s="1105"/>
      <c r="BB76" s="1105"/>
      <c r="BC76" s="1105"/>
      <c r="BD76" s="1105"/>
      <c r="BE76" s="1105"/>
      <c r="BF76" s="1105"/>
      <c r="BG76" s="1105"/>
      <c r="BH76" s="1105"/>
      <c r="BI76" s="1105"/>
      <c r="BK76" s="1106"/>
      <c r="BL76" s="1106"/>
      <c r="BM76" s="1106"/>
      <c r="BN76" s="1106"/>
      <c r="BO76" s="1106"/>
      <c r="BP76" s="1106"/>
      <c r="BQ76" s="1106"/>
      <c r="BR76" s="1106"/>
      <c r="BS76" s="73"/>
      <c r="BZ76" s="1107" t="s">
        <v>624</v>
      </c>
      <c r="CA76" s="1103"/>
      <c r="CB76" s="1103"/>
      <c r="CC76" s="1103"/>
      <c r="CD76" s="1103"/>
      <c r="CE76" s="1103"/>
      <c r="CF76" s="1103"/>
      <c r="CG76" s="1103"/>
      <c r="CH76" s="1103"/>
      <c r="CI76" s="1103"/>
      <c r="CJ76" s="1103"/>
      <c r="CL76" s="1106"/>
      <c r="CM76" s="1106"/>
      <c r="CN76" s="1106"/>
      <c r="CO76" s="1106"/>
      <c r="CP76" s="1106"/>
      <c r="CQ76" s="1106"/>
      <c r="CS76" s="1105"/>
      <c r="CT76" s="1105"/>
      <c r="CU76" s="1105"/>
      <c r="CV76" s="1105"/>
      <c r="CW76" s="1105"/>
      <c r="CX76" s="1105"/>
      <c r="CY76" s="1105"/>
      <c r="CZ76" s="1105"/>
      <c r="DA76" s="1105"/>
      <c r="DB76" s="1105"/>
      <c r="DC76" s="1105"/>
      <c r="DD76" s="1105"/>
      <c r="DE76" s="1105"/>
      <c r="DF76" s="1105"/>
      <c r="DG76" s="1105"/>
      <c r="DH76" s="1105"/>
      <c r="DI76" s="1105"/>
      <c r="DJ76" s="1105"/>
      <c r="DL76" s="1105"/>
      <c r="DM76" s="1105"/>
      <c r="DN76" s="1105"/>
      <c r="DO76" s="1105"/>
      <c r="DP76" s="1105"/>
      <c r="DQ76" s="1105"/>
      <c r="DR76" s="1105"/>
      <c r="DS76" s="1105"/>
      <c r="DT76" s="1105"/>
      <c r="DU76" s="1105"/>
      <c r="DV76" s="1105"/>
      <c r="DW76" s="1105"/>
      <c r="DX76" s="1105"/>
      <c r="DY76" s="1105"/>
      <c r="DZ76" s="1105"/>
      <c r="EA76" s="1105"/>
      <c r="EB76" s="1105"/>
      <c r="EC76" s="1105"/>
      <c r="EE76" s="1106"/>
      <c r="EF76" s="1106"/>
      <c r="EG76" s="1106"/>
      <c r="EH76" s="1106"/>
      <c r="EI76" s="1106"/>
      <c r="EJ76" s="1106"/>
      <c r="EK76" s="1106"/>
      <c r="EL76" s="1106"/>
    </row>
    <row r="77" spans="2:142" ht="3.75" customHeight="1" x14ac:dyDescent="0.25">
      <c r="F77" s="1103"/>
      <c r="G77" s="1103"/>
      <c r="H77" s="1103"/>
      <c r="I77" s="1103"/>
      <c r="J77" s="1103"/>
      <c r="K77" s="1103"/>
      <c r="L77" s="1103"/>
      <c r="M77" s="1103"/>
      <c r="N77" s="1103"/>
      <c r="O77" s="1103"/>
      <c r="P77" s="1103"/>
      <c r="R77" s="1106"/>
      <c r="S77" s="1106"/>
      <c r="T77" s="1106"/>
      <c r="U77" s="1106"/>
      <c r="V77" s="1106"/>
      <c r="W77" s="1106"/>
      <c r="Y77" s="1105"/>
      <c r="Z77" s="1105"/>
      <c r="AA77" s="1105"/>
      <c r="AB77" s="1105"/>
      <c r="AC77" s="1105"/>
      <c r="AD77" s="1105"/>
      <c r="AE77" s="1105"/>
      <c r="AF77" s="1105"/>
      <c r="AG77" s="1105"/>
      <c r="AH77" s="1105"/>
      <c r="AI77" s="1105"/>
      <c r="AJ77" s="1105"/>
      <c r="AK77" s="1105"/>
      <c r="AL77" s="1105"/>
      <c r="AM77" s="1105"/>
      <c r="AN77" s="1105"/>
      <c r="AO77" s="1105"/>
      <c r="AP77" s="1105"/>
      <c r="AR77" s="1105"/>
      <c r="AS77" s="1105"/>
      <c r="AT77" s="1105"/>
      <c r="AU77" s="1105"/>
      <c r="AV77" s="1105"/>
      <c r="AW77" s="1105"/>
      <c r="AX77" s="1105"/>
      <c r="AY77" s="1105"/>
      <c r="AZ77" s="1105"/>
      <c r="BA77" s="1105"/>
      <c r="BB77" s="1105"/>
      <c r="BC77" s="1105"/>
      <c r="BD77" s="1105"/>
      <c r="BE77" s="1105"/>
      <c r="BF77" s="1105"/>
      <c r="BG77" s="1105"/>
      <c r="BH77" s="1105"/>
      <c r="BI77" s="1105"/>
      <c r="BK77" s="1106"/>
      <c r="BL77" s="1106"/>
      <c r="BM77" s="1106"/>
      <c r="BN77" s="1106"/>
      <c r="BO77" s="1106"/>
      <c r="BP77" s="1106"/>
      <c r="BQ77" s="1106"/>
      <c r="BR77" s="1106"/>
      <c r="BS77" s="73"/>
      <c r="BZ77" s="1103"/>
      <c r="CA77" s="1103"/>
      <c r="CB77" s="1103"/>
      <c r="CC77" s="1103"/>
      <c r="CD77" s="1103"/>
      <c r="CE77" s="1103"/>
      <c r="CF77" s="1103"/>
      <c r="CG77" s="1103"/>
      <c r="CH77" s="1103"/>
      <c r="CI77" s="1103"/>
      <c r="CJ77" s="1103"/>
      <c r="CL77" s="1106"/>
      <c r="CM77" s="1106"/>
      <c r="CN77" s="1106"/>
      <c r="CO77" s="1106"/>
      <c r="CP77" s="1106"/>
      <c r="CQ77" s="1106"/>
      <c r="CS77" s="1105"/>
      <c r="CT77" s="1105"/>
      <c r="CU77" s="1105"/>
      <c r="CV77" s="1105"/>
      <c r="CW77" s="1105"/>
      <c r="CX77" s="1105"/>
      <c r="CY77" s="1105"/>
      <c r="CZ77" s="1105"/>
      <c r="DA77" s="1105"/>
      <c r="DB77" s="1105"/>
      <c r="DC77" s="1105"/>
      <c r="DD77" s="1105"/>
      <c r="DE77" s="1105"/>
      <c r="DF77" s="1105"/>
      <c r="DG77" s="1105"/>
      <c r="DH77" s="1105"/>
      <c r="DI77" s="1105"/>
      <c r="DJ77" s="1105"/>
      <c r="DL77" s="1105"/>
      <c r="DM77" s="1105"/>
      <c r="DN77" s="1105"/>
      <c r="DO77" s="1105"/>
      <c r="DP77" s="1105"/>
      <c r="DQ77" s="1105"/>
      <c r="DR77" s="1105"/>
      <c r="DS77" s="1105"/>
      <c r="DT77" s="1105"/>
      <c r="DU77" s="1105"/>
      <c r="DV77" s="1105"/>
      <c r="DW77" s="1105"/>
      <c r="DX77" s="1105"/>
      <c r="DY77" s="1105"/>
      <c r="DZ77" s="1105"/>
      <c r="EA77" s="1105"/>
      <c r="EB77" s="1105"/>
      <c r="EC77" s="1105"/>
      <c r="EE77" s="1106"/>
      <c r="EF77" s="1106"/>
      <c r="EG77" s="1106"/>
      <c r="EH77" s="1106"/>
      <c r="EI77" s="1106"/>
      <c r="EJ77" s="1106"/>
      <c r="EK77" s="1106"/>
      <c r="EL77" s="1106"/>
    </row>
    <row r="78" spans="2:142" ht="3.75" customHeight="1" x14ac:dyDescent="0.25">
      <c r="R78" s="1106"/>
      <c r="S78" s="1106"/>
      <c r="T78" s="1106"/>
      <c r="U78" s="1106"/>
      <c r="V78" s="1106"/>
      <c r="W78" s="1106"/>
      <c r="Y78" s="1105"/>
      <c r="Z78" s="1105"/>
      <c r="AA78" s="1105"/>
      <c r="AB78" s="1105"/>
      <c r="AC78" s="1105"/>
      <c r="AD78" s="1105"/>
      <c r="AE78" s="1105"/>
      <c r="AF78" s="1105"/>
      <c r="AG78" s="1105"/>
      <c r="AH78" s="1105"/>
      <c r="AI78" s="1105"/>
      <c r="AJ78" s="1105"/>
      <c r="AK78" s="1105"/>
      <c r="AL78" s="1105"/>
      <c r="AM78" s="1105"/>
      <c r="AN78" s="1105"/>
      <c r="AO78" s="1105"/>
      <c r="AP78" s="1105"/>
      <c r="AR78" s="1105"/>
      <c r="AS78" s="1105"/>
      <c r="AT78" s="1105"/>
      <c r="AU78" s="1105"/>
      <c r="AV78" s="1105"/>
      <c r="AW78" s="1105"/>
      <c r="AX78" s="1105"/>
      <c r="AY78" s="1105"/>
      <c r="AZ78" s="1105"/>
      <c r="BA78" s="1105"/>
      <c r="BB78" s="1105"/>
      <c r="BC78" s="1105"/>
      <c r="BD78" s="1105"/>
      <c r="BE78" s="1105"/>
      <c r="BF78" s="1105"/>
      <c r="BG78" s="1105"/>
      <c r="BH78" s="1105"/>
      <c r="BI78" s="1105"/>
      <c r="BK78" s="1106"/>
      <c r="BL78" s="1106"/>
      <c r="BM78" s="1106"/>
      <c r="BN78" s="1106"/>
      <c r="BO78" s="1106"/>
      <c r="BP78" s="1106"/>
      <c r="BQ78" s="1106"/>
      <c r="BR78" s="1106"/>
      <c r="BS78" s="73"/>
      <c r="CL78" s="1106"/>
      <c r="CM78" s="1106"/>
      <c r="CN78" s="1106"/>
      <c r="CO78" s="1106"/>
      <c r="CP78" s="1106"/>
      <c r="CQ78" s="1106"/>
      <c r="CS78" s="1105"/>
      <c r="CT78" s="1105"/>
      <c r="CU78" s="1105"/>
      <c r="CV78" s="1105"/>
      <c r="CW78" s="1105"/>
      <c r="CX78" s="1105"/>
      <c r="CY78" s="1105"/>
      <c r="CZ78" s="1105"/>
      <c r="DA78" s="1105"/>
      <c r="DB78" s="1105"/>
      <c r="DC78" s="1105"/>
      <c r="DD78" s="1105"/>
      <c r="DE78" s="1105"/>
      <c r="DF78" s="1105"/>
      <c r="DG78" s="1105"/>
      <c r="DH78" s="1105"/>
      <c r="DI78" s="1105"/>
      <c r="DJ78" s="1105"/>
      <c r="DL78" s="1105"/>
      <c r="DM78" s="1105"/>
      <c r="DN78" s="1105"/>
      <c r="DO78" s="1105"/>
      <c r="DP78" s="1105"/>
      <c r="DQ78" s="1105"/>
      <c r="DR78" s="1105"/>
      <c r="DS78" s="1105"/>
      <c r="DT78" s="1105"/>
      <c r="DU78" s="1105"/>
      <c r="DV78" s="1105"/>
      <c r="DW78" s="1105"/>
      <c r="DX78" s="1105"/>
      <c r="DY78" s="1105"/>
      <c r="DZ78" s="1105"/>
      <c r="EA78" s="1105"/>
      <c r="EB78" s="1105"/>
      <c r="EC78" s="1105"/>
      <c r="EE78" s="1106"/>
      <c r="EF78" s="1106"/>
      <c r="EG78" s="1106"/>
      <c r="EH78" s="1106"/>
      <c r="EI78" s="1106"/>
      <c r="EJ78" s="1106"/>
      <c r="EK78" s="1106"/>
      <c r="EL78" s="1106"/>
    </row>
    <row r="79" spans="2:142" ht="3.75" customHeight="1" x14ac:dyDescent="0.25">
      <c r="R79" s="1106"/>
      <c r="S79" s="1106"/>
      <c r="T79" s="1106"/>
      <c r="U79" s="1106"/>
      <c r="V79" s="1106"/>
      <c r="W79" s="1106"/>
      <c r="Y79" s="1105"/>
      <c r="Z79" s="1105"/>
      <c r="AA79" s="1105"/>
      <c r="AB79" s="1105"/>
      <c r="AC79" s="1105"/>
      <c r="AD79" s="1105"/>
      <c r="AE79" s="1105"/>
      <c r="AF79" s="1105"/>
      <c r="AG79" s="1105"/>
      <c r="AH79" s="1105"/>
      <c r="AI79" s="1105"/>
      <c r="AJ79" s="1105"/>
      <c r="AK79" s="1105"/>
      <c r="AL79" s="1105"/>
      <c r="AM79" s="1105"/>
      <c r="AN79" s="1105"/>
      <c r="AO79" s="1105"/>
      <c r="AP79" s="1105"/>
      <c r="AR79" s="1105"/>
      <c r="AS79" s="1105"/>
      <c r="AT79" s="1105"/>
      <c r="AU79" s="1105"/>
      <c r="AV79" s="1105"/>
      <c r="AW79" s="1105"/>
      <c r="AX79" s="1105"/>
      <c r="AY79" s="1105"/>
      <c r="AZ79" s="1105"/>
      <c r="BA79" s="1105"/>
      <c r="BB79" s="1105"/>
      <c r="BC79" s="1105"/>
      <c r="BD79" s="1105"/>
      <c r="BE79" s="1105"/>
      <c r="BF79" s="1105"/>
      <c r="BG79" s="1105"/>
      <c r="BH79" s="1105"/>
      <c r="BI79" s="1105"/>
      <c r="BK79" s="1106" t="s">
        <v>590</v>
      </c>
      <c r="BL79" s="1106"/>
      <c r="BM79" s="1106"/>
      <c r="BN79" s="1106"/>
      <c r="BO79" s="1106" t="s">
        <v>589</v>
      </c>
      <c r="BP79" s="1106"/>
      <c r="BQ79" s="1106"/>
      <c r="BR79" s="1106"/>
      <c r="BS79" s="73"/>
      <c r="CL79" s="1106"/>
      <c r="CM79" s="1106"/>
      <c r="CN79" s="1106"/>
      <c r="CO79" s="1106"/>
      <c r="CP79" s="1106"/>
      <c r="CQ79" s="1106"/>
      <c r="CS79" s="1105"/>
      <c r="CT79" s="1105"/>
      <c r="CU79" s="1105"/>
      <c r="CV79" s="1105"/>
      <c r="CW79" s="1105"/>
      <c r="CX79" s="1105"/>
      <c r="CY79" s="1105"/>
      <c r="CZ79" s="1105"/>
      <c r="DA79" s="1105"/>
      <c r="DB79" s="1105"/>
      <c r="DC79" s="1105"/>
      <c r="DD79" s="1105"/>
      <c r="DE79" s="1105"/>
      <c r="DF79" s="1105"/>
      <c r="DG79" s="1105"/>
      <c r="DH79" s="1105"/>
      <c r="DI79" s="1105"/>
      <c r="DJ79" s="1105"/>
      <c r="DL79" s="1105"/>
      <c r="DM79" s="1105"/>
      <c r="DN79" s="1105"/>
      <c r="DO79" s="1105"/>
      <c r="DP79" s="1105"/>
      <c r="DQ79" s="1105"/>
      <c r="DR79" s="1105"/>
      <c r="DS79" s="1105"/>
      <c r="DT79" s="1105"/>
      <c r="DU79" s="1105"/>
      <c r="DV79" s="1105"/>
      <c r="DW79" s="1105"/>
      <c r="DX79" s="1105"/>
      <c r="DY79" s="1105"/>
      <c r="DZ79" s="1105"/>
      <c r="EA79" s="1105"/>
      <c r="EB79" s="1105"/>
      <c r="EC79" s="1105"/>
      <c r="EE79" s="1106" t="s">
        <v>590</v>
      </c>
      <c r="EF79" s="1106"/>
      <c r="EG79" s="1106"/>
      <c r="EH79" s="1106"/>
      <c r="EI79" s="1106" t="s">
        <v>589</v>
      </c>
      <c r="EJ79" s="1106"/>
      <c r="EK79" s="1106"/>
      <c r="EL79" s="1106"/>
    </row>
    <row r="80" spans="2:142" ht="3.75" customHeight="1" x14ac:dyDescent="0.25">
      <c r="R80" s="1106"/>
      <c r="S80" s="1106"/>
      <c r="T80" s="1106"/>
      <c r="U80" s="1106"/>
      <c r="V80" s="1106"/>
      <c r="W80" s="1106"/>
      <c r="Y80" s="1105"/>
      <c r="Z80" s="1105"/>
      <c r="AA80" s="1105"/>
      <c r="AB80" s="1105"/>
      <c r="AC80" s="1105"/>
      <c r="AD80" s="1105"/>
      <c r="AE80" s="1105"/>
      <c r="AF80" s="1105"/>
      <c r="AG80" s="1105"/>
      <c r="AH80" s="1105"/>
      <c r="AI80" s="1105"/>
      <c r="AJ80" s="1105"/>
      <c r="AK80" s="1105"/>
      <c r="AL80" s="1105"/>
      <c r="AM80" s="1105"/>
      <c r="AN80" s="1105"/>
      <c r="AO80" s="1105"/>
      <c r="AP80" s="1105"/>
      <c r="AR80" s="1105"/>
      <c r="AS80" s="1105"/>
      <c r="AT80" s="1105"/>
      <c r="AU80" s="1105"/>
      <c r="AV80" s="1105"/>
      <c r="AW80" s="1105"/>
      <c r="AX80" s="1105"/>
      <c r="AY80" s="1105"/>
      <c r="AZ80" s="1105"/>
      <c r="BA80" s="1105"/>
      <c r="BB80" s="1105"/>
      <c r="BC80" s="1105"/>
      <c r="BD80" s="1105"/>
      <c r="BE80" s="1105"/>
      <c r="BF80" s="1105"/>
      <c r="BG80" s="1105"/>
      <c r="BH80" s="1105"/>
      <c r="BI80" s="1105"/>
      <c r="BK80" s="1106"/>
      <c r="BL80" s="1106"/>
      <c r="BM80" s="1106"/>
      <c r="BN80" s="1106"/>
      <c r="BO80" s="1106"/>
      <c r="BP80" s="1106"/>
      <c r="BQ80" s="1106"/>
      <c r="BR80" s="1106"/>
      <c r="BS80" s="73"/>
      <c r="CL80" s="1106"/>
      <c r="CM80" s="1106"/>
      <c r="CN80" s="1106"/>
      <c r="CO80" s="1106"/>
      <c r="CP80" s="1106"/>
      <c r="CQ80" s="1106"/>
      <c r="CS80" s="1105"/>
      <c r="CT80" s="1105"/>
      <c r="CU80" s="1105"/>
      <c r="CV80" s="1105"/>
      <c r="CW80" s="1105"/>
      <c r="CX80" s="1105"/>
      <c r="CY80" s="1105"/>
      <c r="CZ80" s="1105"/>
      <c r="DA80" s="1105"/>
      <c r="DB80" s="1105"/>
      <c r="DC80" s="1105"/>
      <c r="DD80" s="1105"/>
      <c r="DE80" s="1105"/>
      <c r="DF80" s="1105"/>
      <c r="DG80" s="1105"/>
      <c r="DH80" s="1105"/>
      <c r="DI80" s="1105"/>
      <c r="DJ80" s="1105"/>
      <c r="DL80" s="1105"/>
      <c r="DM80" s="1105"/>
      <c r="DN80" s="1105"/>
      <c r="DO80" s="1105"/>
      <c r="DP80" s="1105"/>
      <c r="DQ80" s="1105"/>
      <c r="DR80" s="1105"/>
      <c r="DS80" s="1105"/>
      <c r="DT80" s="1105"/>
      <c r="DU80" s="1105"/>
      <c r="DV80" s="1105"/>
      <c r="DW80" s="1105"/>
      <c r="DX80" s="1105"/>
      <c r="DY80" s="1105"/>
      <c r="DZ80" s="1105"/>
      <c r="EA80" s="1105"/>
      <c r="EB80" s="1105"/>
      <c r="EC80" s="1105"/>
      <c r="EE80" s="1106"/>
      <c r="EF80" s="1106"/>
      <c r="EG80" s="1106"/>
      <c r="EH80" s="1106"/>
      <c r="EI80" s="1106"/>
      <c r="EJ80" s="1106"/>
      <c r="EK80" s="1106"/>
      <c r="EL80" s="1106"/>
    </row>
    <row r="81" spans="18:142" ht="3.75" customHeight="1" x14ac:dyDescent="0.25">
      <c r="R81" s="1106"/>
      <c r="S81" s="1106"/>
      <c r="T81" s="1106"/>
      <c r="U81" s="1106"/>
      <c r="V81" s="1106"/>
      <c r="W81" s="1106"/>
      <c r="Y81" s="1105"/>
      <c r="Z81" s="1105"/>
      <c r="AA81" s="1105"/>
      <c r="AB81" s="1105"/>
      <c r="AC81" s="1105"/>
      <c r="AD81" s="1105"/>
      <c r="AE81" s="1105"/>
      <c r="AF81" s="1105"/>
      <c r="AG81" s="1105"/>
      <c r="AH81" s="1105"/>
      <c r="AI81" s="1105"/>
      <c r="AJ81" s="1105"/>
      <c r="AK81" s="1105"/>
      <c r="AL81" s="1105"/>
      <c r="AM81" s="1105"/>
      <c r="AN81" s="1105"/>
      <c r="AO81" s="1105"/>
      <c r="AP81" s="1105"/>
      <c r="AR81" s="1105"/>
      <c r="AS81" s="1105"/>
      <c r="AT81" s="1105"/>
      <c r="AU81" s="1105"/>
      <c r="AV81" s="1105"/>
      <c r="AW81" s="1105"/>
      <c r="AX81" s="1105"/>
      <c r="AY81" s="1105"/>
      <c r="AZ81" s="1105"/>
      <c r="BA81" s="1105"/>
      <c r="BB81" s="1105"/>
      <c r="BC81" s="1105"/>
      <c r="BD81" s="1105"/>
      <c r="BE81" s="1105"/>
      <c r="BF81" s="1105"/>
      <c r="BG81" s="1105"/>
      <c r="BH81" s="1105"/>
      <c r="BI81" s="1105"/>
      <c r="BK81" s="1106"/>
      <c r="BL81" s="1106"/>
      <c r="BM81" s="1106"/>
      <c r="BN81" s="1106"/>
      <c r="BO81" s="1106"/>
      <c r="BP81" s="1106"/>
      <c r="BQ81" s="1106"/>
      <c r="BR81" s="1106"/>
      <c r="BS81" s="73"/>
      <c r="CL81" s="1106"/>
      <c r="CM81" s="1106"/>
      <c r="CN81" s="1106"/>
      <c r="CO81" s="1106"/>
      <c r="CP81" s="1106"/>
      <c r="CQ81" s="1106"/>
      <c r="CS81" s="1105"/>
      <c r="CT81" s="1105"/>
      <c r="CU81" s="1105"/>
      <c r="CV81" s="1105"/>
      <c r="CW81" s="1105"/>
      <c r="CX81" s="1105"/>
      <c r="CY81" s="1105"/>
      <c r="CZ81" s="1105"/>
      <c r="DA81" s="1105"/>
      <c r="DB81" s="1105"/>
      <c r="DC81" s="1105"/>
      <c r="DD81" s="1105"/>
      <c r="DE81" s="1105"/>
      <c r="DF81" s="1105"/>
      <c r="DG81" s="1105"/>
      <c r="DH81" s="1105"/>
      <c r="DI81" s="1105"/>
      <c r="DJ81" s="1105"/>
      <c r="DL81" s="1105"/>
      <c r="DM81" s="1105"/>
      <c r="DN81" s="1105"/>
      <c r="DO81" s="1105"/>
      <c r="DP81" s="1105"/>
      <c r="DQ81" s="1105"/>
      <c r="DR81" s="1105"/>
      <c r="DS81" s="1105"/>
      <c r="DT81" s="1105"/>
      <c r="DU81" s="1105"/>
      <c r="DV81" s="1105"/>
      <c r="DW81" s="1105"/>
      <c r="DX81" s="1105"/>
      <c r="DY81" s="1105"/>
      <c r="DZ81" s="1105"/>
      <c r="EA81" s="1105"/>
      <c r="EB81" s="1105"/>
      <c r="EC81" s="1105"/>
      <c r="EE81" s="1106"/>
      <c r="EF81" s="1106"/>
      <c r="EG81" s="1106"/>
      <c r="EH81" s="1106"/>
      <c r="EI81" s="1106"/>
      <c r="EJ81" s="1106"/>
      <c r="EK81" s="1106"/>
      <c r="EL81" s="1106"/>
    </row>
    <row r="82" spans="18:142" ht="3.75" customHeight="1" x14ac:dyDescent="0.25">
      <c r="R82" s="1106"/>
      <c r="S82" s="1106"/>
      <c r="T82" s="1106"/>
      <c r="U82" s="1106"/>
      <c r="V82" s="1106"/>
      <c r="W82" s="1106"/>
      <c r="Y82" s="1105"/>
      <c r="Z82" s="1105"/>
      <c r="AA82" s="1105"/>
      <c r="AB82" s="1105"/>
      <c r="AC82" s="1105"/>
      <c r="AD82" s="1105"/>
      <c r="AE82" s="1105"/>
      <c r="AF82" s="1105"/>
      <c r="AG82" s="1105"/>
      <c r="AH82" s="1105"/>
      <c r="AI82" s="1105"/>
      <c r="AJ82" s="1105"/>
      <c r="AK82" s="1105"/>
      <c r="AL82" s="1105"/>
      <c r="AM82" s="1105"/>
      <c r="AN82" s="1105"/>
      <c r="AO82" s="1105"/>
      <c r="AP82" s="1105"/>
      <c r="AR82" s="1105"/>
      <c r="AS82" s="1105"/>
      <c r="AT82" s="1105"/>
      <c r="AU82" s="1105"/>
      <c r="AV82" s="1105"/>
      <c r="AW82" s="1105"/>
      <c r="AX82" s="1105"/>
      <c r="AY82" s="1105"/>
      <c r="AZ82" s="1105"/>
      <c r="BA82" s="1105"/>
      <c r="BB82" s="1105"/>
      <c r="BC82" s="1105"/>
      <c r="BD82" s="1105"/>
      <c r="BE82" s="1105"/>
      <c r="BF82" s="1105"/>
      <c r="BG82" s="1105"/>
      <c r="BH82" s="1105"/>
      <c r="BI82" s="1105"/>
      <c r="BK82" s="1106"/>
      <c r="BL82" s="1106"/>
      <c r="BM82" s="1106"/>
      <c r="BN82" s="1106"/>
      <c r="BO82" s="1106"/>
      <c r="BP82" s="1106"/>
      <c r="BQ82" s="1106"/>
      <c r="BR82" s="1106"/>
      <c r="BS82" s="73"/>
      <c r="CL82" s="1106"/>
      <c r="CM82" s="1106"/>
      <c r="CN82" s="1106"/>
      <c r="CO82" s="1106"/>
      <c r="CP82" s="1106"/>
      <c r="CQ82" s="1106"/>
      <c r="CS82" s="1105"/>
      <c r="CT82" s="1105"/>
      <c r="CU82" s="1105"/>
      <c r="CV82" s="1105"/>
      <c r="CW82" s="1105"/>
      <c r="CX82" s="1105"/>
      <c r="CY82" s="1105"/>
      <c r="CZ82" s="1105"/>
      <c r="DA82" s="1105"/>
      <c r="DB82" s="1105"/>
      <c r="DC82" s="1105"/>
      <c r="DD82" s="1105"/>
      <c r="DE82" s="1105"/>
      <c r="DF82" s="1105"/>
      <c r="DG82" s="1105"/>
      <c r="DH82" s="1105"/>
      <c r="DI82" s="1105"/>
      <c r="DJ82" s="1105"/>
      <c r="DL82" s="1105"/>
      <c r="DM82" s="1105"/>
      <c r="DN82" s="1105"/>
      <c r="DO82" s="1105"/>
      <c r="DP82" s="1105"/>
      <c r="DQ82" s="1105"/>
      <c r="DR82" s="1105"/>
      <c r="DS82" s="1105"/>
      <c r="DT82" s="1105"/>
      <c r="DU82" s="1105"/>
      <c r="DV82" s="1105"/>
      <c r="DW82" s="1105"/>
      <c r="DX82" s="1105"/>
      <c r="DY82" s="1105"/>
      <c r="DZ82" s="1105"/>
      <c r="EA82" s="1105"/>
      <c r="EB82" s="1105"/>
      <c r="EC82" s="1105"/>
      <c r="EE82" s="1106"/>
      <c r="EF82" s="1106"/>
      <c r="EG82" s="1106"/>
      <c r="EH82" s="1106"/>
      <c r="EI82" s="1106"/>
      <c r="EJ82" s="1106"/>
      <c r="EK82" s="1106"/>
      <c r="EL82" s="1106"/>
    </row>
    <row r="83" spans="18:142" ht="3.75" customHeight="1" x14ac:dyDescent="0.25">
      <c r="R83" s="1106"/>
      <c r="S83" s="1106"/>
      <c r="T83" s="1106"/>
      <c r="U83" s="1106"/>
      <c r="V83" s="1106"/>
      <c r="W83" s="1106"/>
      <c r="Y83" s="1105"/>
      <c r="Z83" s="1105"/>
      <c r="AA83" s="1105"/>
      <c r="AB83" s="1105"/>
      <c r="AC83" s="1105"/>
      <c r="AD83" s="1105"/>
      <c r="AE83" s="1105"/>
      <c r="AF83" s="1105"/>
      <c r="AG83" s="1105"/>
      <c r="AH83" s="1105"/>
      <c r="AI83" s="1105"/>
      <c r="AJ83" s="1105"/>
      <c r="AK83" s="1105"/>
      <c r="AL83" s="1105"/>
      <c r="AM83" s="1105"/>
      <c r="AN83" s="1105"/>
      <c r="AO83" s="1105"/>
      <c r="AP83" s="1105"/>
      <c r="AR83" s="1105"/>
      <c r="AS83" s="1105"/>
      <c r="AT83" s="1105"/>
      <c r="AU83" s="1105"/>
      <c r="AV83" s="1105"/>
      <c r="AW83" s="1105"/>
      <c r="AX83" s="1105"/>
      <c r="AY83" s="1105"/>
      <c r="AZ83" s="1105"/>
      <c r="BA83" s="1105"/>
      <c r="BB83" s="1105"/>
      <c r="BC83" s="1105"/>
      <c r="BD83" s="1105"/>
      <c r="BE83" s="1105"/>
      <c r="BF83" s="1105"/>
      <c r="BG83" s="1105"/>
      <c r="BH83" s="1105"/>
      <c r="BI83" s="1105"/>
      <c r="BK83" s="1106"/>
      <c r="BL83" s="1106"/>
      <c r="BM83" s="1106"/>
      <c r="BN83" s="1106"/>
      <c r="BO83" s="1106"/>
      <c r="BP83" s="1106"/>
      <c r="BQ83" s="1106"/>
      <c r="BR83" s="1106"/>
      <c r="BS83" s="73"/>
      <c r="CL83" s="1106"/>
      <c r="CM83" s="1106"/>
      <c r="CN83" s="1106"/>
      <c r="CO83" s="1106"/>
      <c r="CP83" s="1106"/>
      <c r="CQ83" s="1106"/>
      <c r="CS83" s="1105"/>
      <c r="CT83" s="1105"/>
      <c r="CU83" s="1105"/>
      <c r="CV83" s="1105"/>
      <c r="CW83" s="1105"/>
      <c r="CX83" s="1105"/>
      <c r="CY83" s="1105"/>
      <c r="CZ83" s="1105"/>
      <c r="DA83" s="1105"/>
      <c r="DB83" s="1105"/>
      <c r="DC83" s="1105"/>
      <c r="DD83" s="1105"/>
      <c r="DE83" s="1105"/>
      <c r="DF83" s="1105"/>
      <c r="DG83" s="1105"/>
      <c r="DH83" s="1105"/>
      <c r="DI83" s="1105"/>
      <c r="DJ83" s="1105"/>
      <c r="DL83" s="1105"/>
      <c r="DM83" s="1105"/>
      <c r="DN83" s="1105"/>
      <c r="DO83" s="1105"/>
      <c r="DP83" s="1105"/>
      <c r="DQ83" s="1105"/>
      <c r="DR83" s="1105"/>
      <c r="DS83" s="1105"/>
      <c r="DT83" s="1105"/>
      <c r="DU83" s="1105"/>
      <c r="DV83" s="1105"/>
      <c r="DW83" s="1105"/>
      <c r="DX83" s="1105"/>
      <c r="DY83" s="1105"/>
      <c r="DZ83" s="1105"/>
      <c r="EA83" s="1105"/>
      <c r="EB83" s="1105"/>
      <c r="EC83" s="1105"/>
      <c r="EE83" s="1106"/>
      <c r="EF83" s="1106"/>
      <c r="EG83" s="1106"/>
      <c r="EH83" s="1106"/>
      <c r="EI83" s="1106"/>
      <c r="EJ83" s="1106"/>
      <c r="EK83" s="1106"/>
      <c r="EL83" s="1106"/>
    </row>
    <row r="84" spans="18:142" ht="3.75" customHeight="1" x14ac:dyDescent="0.25">
      <c r="R84" s="1106"/>
      <c r="S84" s="1106"/>
      <c r="T84" s="1106"/>
      <c r="U84" s="1106"/>
      <c r="V84" s="1106"/>
      <c r="W84" s="1106"/>
      <c r="Y84" s="1105"/>
      <c r="Z84" s="1105"/>
      <c r="AA84" s="1105"/>
      <c r="AB84" s="1105"/>
      <c r="AC84" s="1105"/>
      <c r="AD84" s="1105"/>
      <c r="AE84" s="1105"/>
      <c r="AF84" s="1105"/>
      <c r="AG84" s="1105"/>
      <c r="AH84" s="1105"/>
      <c r="AI84" s="1105"/>
      <c r="AJ84" s="1105"/>
      <c r="AK84" s="1105"/>
      <c r="AL84" s="1105"/>
      <c r="AM84" s="1105"/>
      <c r="AN84" s="1105"/>
      <c r="AO84" s="1105"/>
      <c r="AP84" s="1105"/>
      <c r="AR84" s="1105"/>
      <c r="AS84" s="1105"/>
      <c r="AT84" s="1105"/>
      <c r="AU84" s="1105"/>
      <c r="AV84" s="1105"/>
      <c r="AW84" s="1105"/>
      <c r="AX84" s="1105"/>
      <c r="AY84" s="1105"/>
      <c r="AZ84" s="1105"/>
      <c r="BA84" s="1105"/>
      <c r="BB84" s="1105"/>
      <c r="BC84" s="1105"/>
      <c r="BD84" s="1105"/>
      <c r="BE84" s="1105"/>
      <c r="BF84" s="1105"/>
      <c r="BG84" s="1105"/>
      <c r="BH84" s="1105"/>
      <c r="BI84" s="1105"/>
      <c r="BK84" s="1106"/>
      <c r="BL84" s="1106"/>
      <c r="BM84" s="1106"/>
      <c r="BN84" s="1106"/>
      <c r="BO84" s="1106"/>
      <c r="BP84" s="1106"/>
      <c r="BQ84" s="1106"/>
      <c r="BR84" s="1106"/>
      <c r="BS84" s="73"/>
      <c r="CL84" s="1106"/>
      <c r="CM84" s="1106"/>
      <c r="CN84" s="1106"/>
      <c r="CO84" s="1106"/>
      <c r="CP84" s="1106"/>
      <c r="CQ84" s="1106"/>
      <c r="CS84" s="1105"/>
      <c r="CT84" s="1105"/>
      <c r="CU84" s="1105"/>
      <c r="CV84" s="1105"/>
      <c r="CW84" s="1105"/>
      <c r="CX84" s="1105"/>
      <c r="CY84" s="1105"/>
      <c r="CZ84" s="1105"/>
      <c r="DA84" s="1105"/>
      <c r="DB84" s="1105"/>
      <c r="DC84" s="1105"/>
      <c r="DD84" s="1105"/>
      <c r="DE84" s="1105"/>
      <c r="DF84" s="1105"/>
      <c r="DG84" s="1105"/>
      <c r="DH84" s="1105"/>
      <c r="DI84" s="1105"/>
      <c r="DJ84" s="1105"/>
      <c r="DL84" s="1105"/>
      <c r="DM84" s="1105"/>
      <c r="DN84" s="1105"/>
      <c r="DO84" s="1105"/>
      <c r="DP84" s="1105"/>
      <c r="DQ84" s="1105"/>
      <c r="DR84" s="1105"/>
      <c r="DS84" s="1105"/>
      <c r="DT84" s="1105"/>
      <c r="DU84" s="1105"/>
      <c r="DV84" s="1105"/>
      <c r="DW84" s="1105"/>
      <c r="DX84" s="1105"/>
      <c r="DY84" s="1105"/>
      <c r="DZ84" s="1105"/>
      <c r="EA84" s="1105"/>
      <c r="EB84" s="1105"/>
      <c r="EC84" s="1105"/>
      <c r="EE84" s="1106"/>
      <c r="EF84" s="1106"/>
      <c r="EG84" s="1106"/>
      <c r="EH84" s="1106"/>
      <c r="EI84" s="1106"/>
      <c r="EJ84" s="1106"/>
      <c r="EK84" s="1106"/>
      <c r="EL84" s="1106"/>
    </row>
    <row r="85" spans="18:142" ht="3.75" customHeight="1" x14ac:dyDescent="0.25">
      <c r="R85" s="1106"/>
      <c r="S85" s="1106"/>
      <c r="T85" s="1106"/>
      <c r="U85" s="1106"/>
      <c r="V85" s="1106"/>
      <c r="W85" s="1106"/>
      <c r="Y85" s="1105"/>
      <c r="Z85" s="1105"/>
      <c r="AA85" s="1105"/>
      <c r="AB85" s="1105"/>
      <c r="AC85" s="1105"/>
      <c r="AD85" s="1105"/>
      <c r="AE85" s="1105"/>
      <c r="AF85" s="1105"/>
      <c r="AG85" s="1105"/>
      <c r="AH85" s="1105"/>
      <c r="AI85" s="1105"/>
      <c r="AJ85" s="1105"/>
      <c r="AK85" s="1105"/>
      <c r="AL85" s="1105"/>
      <c r="AM85" s="1105"/>
      <c r="AN85" s="1105"/>
      <c r="AO85" s="1105"/>
      <c r="AP85" s="1105"/>
      <c r="AR85" s="1105"/>
      <c r="AS85" s="1105"/>
      <c r="AT85" s="1105"/>
      <c r="AU85" s="1105"/>
      <c r="AV85" s="1105"/>
      <c r="AW85" s="1105"/>
      <c r="AX85" s="1105"/>
      <c r="AY85" s="1105"/>
      <c r="AZ85" s="1105"/>
      <c r="BA85" s="1105"/>
      <c r="BB85" s="1105"/>
      <c r="BC85" s="1105"/>
      <c r="BD85" s="1105"/>
      <c r="BE85" s="1105"/>
      <c r="BF85" s="1105"/>
      <c r="BG85" s="1105"/>
      <c r="BH85" s="1105"/>
      <c r="BI85" s="1105"/>
      <c r="BK85" s="1106" t="s">
        <v>590</v>
      </c>
      <c r="BL85" s="1106"/>
      <c r="BM85" s="1106"/>
      <c r="BN85" s="1106"/>
      <c r="BO85" s="1106" t="s">
        <v>589</v>
      </c>
      <c r="BP85" s="1106"/>
      <c r="BQ85" s="1106"/>
      <c r="BR85" s="1106"/>
      <c r="BS85" s="73"/>
      <c r="CL85" s="1106"/>
      <c r="CM85" s="1106"/>
      <c r="CN85" s="1106"/>
      <c r="CO85" s="1106"/>
      <c r="CP85" s="1106"/>
      <c r="CQ85" s="1106"/>
      <c r="CS85" s="1105"/>
      <c r="CT85" s="1105"/>
      <c r="CU85" s="1105"/>
      <c r="CV85" s="1105"/>
      <c r="CW85" s="1105"/>
      <c r="CX85" s="1105"/>
      <c r="CY85" s="1105"/>
      <c r="CZ85" s="1105"/>
      <c r="DA85" s="1105"/>
      <c r="DB85" s="1105"/>
      <c r="DC85" s="1105"/>
      <c r="DD85" s="1105"/>
      <c r="DE85" s="1105"/>
      <c r="DF85" s="1105"/>
      <c r="DG85" s="1105"/>
      <c r="DH85" s="1105"/>
      <c r="DI85" s="1105"/>
      <c r="DJ85" s="1105"/>
      <c r="DL85" s="1105"/>
      <c r="DM85" s="1105"/>
      <c r="DN85" s="1105"/>
      <c r="DO85" s="1105"/>
      <c r="DP85" s="1105"/>
      <c r="DQ85" s="1105"/>
      <c r="DR85" s="1105"/>
      <c r="DS85" s="1105"/>
      <c r="DT85" s="1105"/>
      <c r="DU85" s="1105"/>
      <c r="DV85" s="1105"/>
      <c r="DW85" s="1105"/>
      <c r="DX85" s="1105"/>
      <c r="DY85" s="1105"/>
      <c r="DZ85" s="1105"/>
      <c r="EA85" s="1105"/>
      <c r="EB85" s="1105"/>
      <c r="EC85" s="1105"/>
      <c r="EE85" s="1106" t="s">
        <v>590</v>
      </c>
      <c r="EF85" s="1106"/>
      <c r="EG85" s="1106"/>
      <c r="EH85" s="1106"/>
      <c r="EI85" s="1106" t="s">
        <v>589</v>
      </c>
      <c r="EJ85" s="1106"/>
      <c r="EK85" s="1106"/>
      <c r="EL85" s="1106"/>
    </row>
    <row r="86" spans="18:142" ht="3.75" customHeight="1" x14ac:dyDescent="0.25">
      <c r="R86" s="1106"/>
      <c r="S86" s="1106"/>
      <c r="T86" s="1106"/>
      <c r="U86" s="1106"/>
      <c r="V86" s="1106"/>
      <c r="W86" s="1106"/>
      <c r="Y86" s="1105"/>
      <c r="Z86" s="1105"/>
      <c r="AA86" s="1105"/>
      <c r="AB86" s="1105"/>
      <c r="AC86" s="1105"/>
      <c r="AD86" s="1105"/>
      <c r="AE86" s="1105"/>
      <c r="AF86" s="1105"/>
      <c r="AG86" s="1105"/>
      <c r="AH86" s="1105"/>
      <c r="AI86" s="1105"/>
      <c r="AJ86" s="1105"/>
      <c r="AK86" s="1105"/>
      <c r="AL86" s="1105"/>
      <c r="AM86" s="1105"/>
      <c r="AN86" s="1105"/>
      <c r="AO86" s="1105"/>
      <c r="AP86" s="1105"/>
      <c r="AR86" s="1105"/>
      <c r="AS86" s="1105"/>
      <c r="AT86" s="1105"/>
      <c r="AU86" s="1105"/>
      <c r="AV86" s="1105"/>
      <c r="AW86" s="1105"/>
      <c r="AX86" s="1105"/>
      <c r="AY86" s="1105"/>
      <c r="AZ86" s="1105"/>
      <c r="BA86" s="1105"/>
      <c r="BB86" s="1105"/>
      <c r="BC86" s="1105"/>
      <c r="BD86" s="1105"/>
      <c r="BE86" s="1105"/>
      <c r="BF86" s="1105"/>
      <c r="BG86" s="1105"/>
      <c r="BH86" s="1105"/>
      <c r="BI86" s="1105"/>
      <c r="BK86" s="1106"/>
      <c r="BL86" s="1106"/>
      <c r="BM86" s="1106"/>
      <c r="BN86" s="1106"/>
      <c r="BO86" s="1106"/>
      <c r="BP86" s="1106"/>
      <c r="BQ86" s="1106"/>
      <c r="BR86" s="1106"/>
      <c r="BS86" s="73"/>
      <c r="CL86" s="1106"/>
      <c r="CM86" s="1106"/>
      <c r="CN86" s="1106"/>
      <c r="CO86" s="1106"/>
      <c r="CP86" s="1106"/>
      <c r="CQ86" s="1106"/>
      <c r="CS86" s="1105"/>
      <c r="CT86" s="1105"/>
      <c r="CU86" s="1105"/>
      <c r="CV86" s="1105"/>
      <c r="CW86" s="1105"/>
      <c r="CX86" s="1105"/>
      <c r="CY86" s="1105"/>
      <c r="CZ86" s="1105"/>
      <c r="DA86" s="1105"/>
      <c r="DB86" s="1105"/>
      <c r="DC86" s="1105"/>
      <c r="DD86" s="1105"/>
      <c r="DE86" s="1105"/>
      <c r="DF86" s="1105"/>
      <c r="DG86" s="1105"/>
      <c r="DH86" s="1105"/>
      <c r="DI86" s="1105"/>
      <c r="DJ86" s="1105"/>
      <c r="DL86" s="1105"/>
      <c r="DM86" s="1105"/>
      <c r="DN86" s="1105"/>
      <c r="DO86" s="1105"/>
      <c r="DP86" s="1105"/>
      <c r="DQ86" s="1105"/>
      <c r="DR86" s="1105"/>
      <c r="DS86" s="1105"/>
      <c r="DT86" s="1105"/>
      <c r="DU86" s="1105"/>
      <c r="DV86" s="1105"/>
      <c r="DW86" s="1105"/>
      <c r="DX86" s="1105"/>
      <c r="DY86" s="1105"/>
      <c r="DZ86" s="1105"/>
      <c r="EA86" s="1105"/>
      <c r="EB86" s="1105"/>
      <c r="EC86" s="1105"/>
      <c r="EE86" s="1106"/>
      <c r="EF86" s="1106"/>
      <c r="EG86" s="1106"/>
      <c r="EH86" s="1106"/>
      <c r="EI86" s="1106"/>
      <c r="EJ86" s="1106"/>
      <c r="EK86" s="1106"/>
      <c r="EL86" s="1106"/>
    </row>
    <row r="87" spans="18:142" ht="3.75" customHeight="1" x14ac:dyDescent="0.25">
      <c r="R87" s="1106"/>
      <c r="S87" s="1106"/>
      <c r="T87" s="1106"/>
      <c r="U87" s="1106"/>
      <c r="V87" s="1106"/>
      <c r="W87" s="1106"/>
      <c r="Y87" s="1105"/>
      <c r="Z87" s="1105"/>
      <c r="AA87" s="1105"/>
      <c r="AB87" s="1105"/>
      <c r="AC87" s="1105"/>
      <c r="AD87" s="1105"/>
      <c r="AE87" s="1105"/>
      <c r="AF87" s="1105"/>
      <c r="AG87" s="1105"/>
      <c r="AH87" s="1105"/>
      <c r="AI87" s="1105"/>
      <c r="AJ87" s="1105"/>
      <c r="AK87" s="1105"/>
      <c r="AL87" s="1105"/>
      <c r="AM87" s="1105"/>
      <c r="AN87" s="1105"/>
      <c r="AO87" s="1105"/>
      <c r="AP87" s="1105"/>
      <c r="AR87" s="1105"/>
      <c r="AS87" s="1105"/>
      <c r="AT87" s="1105"/>
      <c r="AU87" s="1105"/>
      <c r="AV87" s="1105"/>
      <c r="AW87" s="1105"/>
      <c r="AX87" s="1105"/>
      <c r="AY87" s="1105"/>
      <c r="AZ87" s="1105"/>
      <c r="BA87" s="1105"/>
      <c r="BB87" s="1105"/>
      <c r="BC87" s="1105"/>
      <c r="BD87" s="1105"/>
      <c r="BE87" s="1105"/>
      <c r="BF87" s="1105"/>
      <c r="BG87" s="1105"/>
      <c r="BH87" s="1105"/>
      <c r="BI87" s="1105"/>
      <c r="BK87" s="1106"/>
      <c r="BL87" s="1106"/>
      <c r="BM87" s="1106"/>
      <c r="BN87" s="1106"/>
      <c r="BO87" s="1106"/>
      <c r="BP87" s="1106"/>
      <c r="BQ87" s="1106"/>
      <c r="BR87" s="1106"/>
      <c r="BS87" s="73"/>
      <c r="CL87" s="1106"/>
      <c r="CM87" s="1106"/>
      <c r="CN87" s="1106"/>
      <c r="CO87" s="1106"/>
      <c r="CP87" s="1106"/>
      <c r="CQ87" s="1106"/>
      <c r="CS87" s="1105"/>
      <c r="CT87" s="1105"/>
      <c r="CU87" s="1105"/>
      <c r="CV87" s="1105"/>
      <c r="CW87" s="1105"/>
      <c r="CX87" s="1105"/>
      <c r="CY87" s="1105"/>
      <c r="CZ87" s="1105"/>
      <c r="DA87" s="1105"/>
      <c r="DB87" s="1105"/>
      <c r="DC87" s="1105"/>
      <c r="DD87" s="1105"/>
      <c r="DE87" s="1105"/>
      <c r="DF87" s="1105"/>
      <c r="DG87" s="1105"/>
      <c r="DH87" s="1105"/>
      <c r="DI87" s="1105"/>
      <c r="DJ87" s="1105"/>
      <c r="DL87" s="1105"/>
      <c r="DM87" s="1105"/>
      <c r="DN87" s="1105"/>
      <c r="DO87" s="1105"/>
      <c r="DP87" s="1105"/>
      <c r="DQ87" s="1105"/>
      <c r="DR87" s="1105"/>
      <c r="DS87" s="1105"/>
      <c r="DT87" s="1105"/>
      <c r="DU87" s="1105"/>
      <c r="DV87" s="1105"/>
      <c r="DW87" s="1105"/>
      <c r="DX87" s="1105"/>
      <c r="DY87" s="1105"/>
      <c r="DZ87" s="1105"/>
      <c r="EA87" s="1105"/>
      <c r="EB87" s="1105"/>
      <c r="EC87" s="1105"/>
      <c r="EE87" s="1106"/>
      <c r="EF87" s="1106"/>
      <c r="EG87" s="1106"/>
      <c r="EH87" s="1106"/>
      <c r="EI87" s="1106"/>
      <c r="EJ87" s="1106"/>
      <c r="EK87" s="1106"/>
      <c r="EL87" s="1106"/>
    </row>
    <row r="88" spans="18:142" ht="3.75" customHeight="1" x14ac:dyDescent="0.25">
      <c r="R88" s="1106"/>
      <c r="S88" s="1106"/>
      <c r="T88" s="1106"/>
      <c r="U88" s="1106"/>
      <c r="V88" s="1106"/>
      <c r="W88" s="1106"/>
      <c r="Y88" s="1105"/>
      <c r="Z88" s="1105"/>
      <c r="AA88" s="1105"/>
      <c r="AB88" s="1105"/>
      <c r="AC88" s="1105"/>
      <c r="AD88" s="1105"/>
      <c r="AE88" s="1105"/>
      <c r="AF88" s="1105"/>
      <c r="AG88" s="1105"/>
      <c r="AH88" s="1105"/>
      <c r="AI88" s="1105"/>
      <c r="AJ88" s="1105"/>
      <c r="AK88" s="1105"/>
      <c r="AL88" s="1105"/>
      <c r="AM88" s="1105"/>
      <c r="AN88" s="1105"/>
      <c r="AO88" s="1105"/>
      <c r="AP88" s="1105"/>
      <c r="AR88" s="1105"/>
      <c r="AS88" s="1105"/>
      <c r="AT88" s="1105"/>
      <c r="AU88" s="1105"/>
      <c r="AV88" s="1105"/>
      <c r="AW88" s="1105"/>
      <c r="AX88" s="1105"/>
      <c r="AY88" s="1105"/>
      <c r="AZ88" s="1105"/>
      <c r="BA88" s="1105"/>
      <c r="BB88" s="1105"/>
      <c r="BC88" s="1105"/>
      <c r="BD88" s="1105"/>
      <c r="BE88" s="1105"/>
      <c r="BF88" s="1105"/>
      <c r="BG88" s="1105"/>
      <c r="BH88" s="1105"/>
      <c r="BI88" s="1105"/>
      <c r="BK88" s="1106"/>
      <c r="BL88" s="1106"/>
      <c r="BM88" s="1106"/>
      <c r="BN88" s="1106"/>
      <c r="BO88" s="1106"/>
      <c r="BP88" s="1106"/>
      <c r="BQ88" s="1106"/>
      <c r="BR88" s="1106"/>
      <c r="BS88" s="73"/>
      <c r="CL88" s="1106"/>
      <c r="CM88" s="1106"/>
      <c r="CN88" s="1106"/>
      <c r="CO88" s="1106"/>
      <c r="CP88" s="1106"/>
      <c r="CQ88" s="1106"/>
      <c r="CS88" s="1105"/>
      <c r="CT88" s="1105"/>
      <c r="CU88" s="1105"/>
      <c r="CV88" s="1105"/>
      <c r="CW88" s="1105"/>
      <c r="CX88" s="1105"/>
      <c r="CY88" s="1105"/>
      <c r="CZ88" s="1105"/>
      <c r="DA88" s="1105"/>
      <c r="DB88" s="1105"/>
      <c r="DC88" s="1105"/>
      <c r="DD88" s="1105"/>
      <c r="DE88" s="1105"/>
      <c r="DF88" s="1105"/>
      <c r="DG88" s="1105"/>
      <c r="DH88" s="1105"/>
      <c r="DI88" s="1105"/>
      <c r="DJ88" s="1105"/>
      <c r="DL88" s="1105"/>
      <c r="DM88" s="1105"/>
      <c r="DN88" s="1105"/>
      <c r="DO88" s="1105"/>
      <c r="DP88" s="1105"/>
      <c r="DQ88" s="1105"/>
      <c r="DR88" s="1105"/>
      <c r="DS88" s="1105"/>
      <c r="DT88" s="1105"/>
      <c r="DU88" s="1105"/>
      <c r="DV88" s="1105"/>
      <c r="DW88" s="1105"/>
      <c r="DX88" s="1105"/>
      <c r="DY88" s="1105"/>
      <c r="DZ88" s="1105"/>
      <c r="EA88" s="1105"/>
      <c r="EB88" s="1105"/>
      <c r="EC88" s="1105"/>
      <c r="EE88" s="1106"/>
      <c r="EF88" s="1106"/>
      <c r="EG88" s="1106"/>
      <c r="EH88" s="1106"/>
      <c r="EI88" s="1106"/>
      <c r="EJ88" s="1106"/>
      <c r="EK88" s="1106"/>
      <c r="EL88" s="1106"/>
    </row>
    <row r="89" spans="18:142" ht="3.75" customHeight="1" x14ac:dyDescent="0.25">
      <c r="R89" s="1106"/>
      <c r="S89" s="1106"/>
      <c r="T89" s="1106"/>
      <c r="U89" s="1106"/>
      <c r="V89" s="1106"/>
      <c r="W89" s="1106"/>
      <c r="Y89" s="1105"/>
      <c r="Z89" s="1105"/>
      <c r="AA89" s="1105"/>
      <c r="AB89" s="1105"/>
      <c r="AC89" s="1105"/>
      <c r="AD89" s="1105"/>
      <c r="AE89" s="1105"/>
      <c r="AF89" s="1105"/>
      <c r="AG89" s="1105"/>
      <c r="AH89" s="1105"/>
      <c r="AI89" s="1105"/>
      <c r="AJ89" s="1105"/>
      <c r="AK89" s="1105"/>
      <c r="AL89" s="1105"/>
      <c r="AM89" s="1105"/>
      <c r="AN89" s="1105"/>
      <c r="AO89" s="1105"/>
      <c r="AP89" s="1105"/>
      <c r="AR89" s="1105"/>
      <c r="AS89" s="1105"/>
      <c r="AT89" s="1105"/>
      <c r="AU89" s="1105"/>
      <c r="AV89" s="1105"/>
      <c r="AW89" s="1105"/>
      <c r="AX89" s="1105"/>
      <c r="AY89" s="1105"/>
      <c r="AZ89" s="1105"/>
      <c r="BA89" s="1105"/>
      <c r="BB89" s="1105"/>
      <c r="BC89" s="1105"/>
      <c r="BD89" s="1105"/>
      <c r="BE89" s="1105"/>
      <c r="BF89" s="1105"/>
      <c r="BG89" s="1105"/>
      <c r="BH89" s="1105"/>
      <c r="BI89" s="1105"/>
      <c r="BK89" s="1106"/>
      <c r="BL89" s="1106"/>
      <c r="BM89" s="1106"/>
      <c r="BN89" s="1106"/>
      <c r="BO89" s="1106"/>
      <c r="BP89" s="1106"/>
      <c r="BQ89" s="1106"/>
      <c r="BR89" s="1106"/>
      <c r="BS89" s="73"/>
      <c r="CL89" s="1106"/>
      <c r="CM89" s="1106"/>
      <c r="CN89" s="1106"/>
      <c r="CO89" s="1106"/>
      <c r="CP89" s="1106"/>
      <c r="CQ89" s="1106"/>
      <c r="CS89" s="1105"/>
      <c r="CT89" s="1105"/>
      <c r="CU89" s="1105"/>
      <c r="CV89" s="1105"/>
      <c r="CW89" s="1105"/>
      <c r="CX89" s="1105"/>
      <c r="CY89" s="1105"/>
      <c r="CZ89" s="1105"/>
      <c r="DA89" s="1105"/>
      <c r="DB89" s="1105"/>
      <c r="DC89" s="1105"/>
      <c r="DD89" s="1105"/>
      <c r="DE89" s="1105"/>
      <c r="DF89" s="1105"/>
      <c r="DG89" s="1105"/>
      <c r="DH89" s="1105"/>
      <c r="DI89" s="1105"/>
      <c r="DJ89" s="1105"/>
      <c r="DL89" s="1105"/>
      <c r="DM89" s="1105"/>
      <c r="DN89" s="1105"/>
      <c r="DO89" s="1105"/>
      <c r="DP89" s="1105"/>
      <c r="DQ89" s="1105"/>
      <c r="DR89" s="1105"/>
      <c r="DS89" s="1105"/>
      <c r="DT89" s="1105"/>
      <c r="DU89" s="1105"/>
      <c r="DV89" s="1105"/>
      <c r="DW89" s="1105"/>
      <c r="DX89" s="1105"/>
      <c r="DY89" s="1105"/>
      <c r="DZ89" s="1105"/>
      <c r="EA89" s="1105"/>
      <c r="EB89" s="1105"/>
      <c r="EC89" s="1105"/>
      <c r="EE89" s="1106"/>
      <c r="EF89" s="1106"/>
      <c r="EG89" s="1106"/>
      <c r="EH89" s="1106"/>
      <c r="EI89" s="1106"/>
      <c r="EJ89" s="1106"/>
      <c r="EK89" s="1106"/>
      <c r="EL89" s="1106"/>
    </row>
    <row r="90" spans="18:142" ht="3.75" customHeight="1" x14ac:dyDescent="0.25">
      <c r="R90" s="1106"/>
      <c r="S90" s="1106"/>
      <c r="T90" s="1106"/>
      <c r="U90" s="1106"/>
      <c r="V90" s="1106"/>
      <c r="W90" s="1106"/>
      <c r="Y90" s="1105"/>
      <c r="Z90" s="1105"/>
      <c r="AA90" s="1105"/>
      <c r="AB90" s="1105"/>
      <c r="AC90" s="1105"/>
      <c r="AD90" s="1105"/>
      <c r="AE90" s="1105"/>
      <c r="AF90" s="1105"/>
      <c r="AG90" s="1105"/>
      <c r="AH90" s="1105"/>
      <c r="AI90" s="1105"/>
      <c r="AJ90" s="1105"/>
      <c r="AK90" s="1105"/>
      <c r="AL90" s="1105"/>
      <c r="AM90" s="1105"/>
      <c r="AN90" s="1105"/>
      <c r="AO90" s="1105"/>
      <c r="AP90" s="1105"/>
      <c r="AR90" s="1105"/>
      <c r="AS90" s="1105"/>
      <c r="AT90" s="1105"/>
      <c r="AU90" s="1105"/>
      <c r="AV90" s="1105"/>
      <c r="AW90" s="1105"/>
      <c r="AX90" s="1105"/>
      <c r="AY90" s="1105"/>
      <c r="AZ90" s="1105"/>
      <c r="BA90" s="1105"/>
      <c r="BB90" s="1105"/>
      <c r="BC90" s="1105"/>
      <c r="BD90" s="1105"/>
      <c r="BE90" s="1105"/>
      <c r="BF90" s="1105"/>
      <c r="BG90" s="1105"/>
      <c r="BH90" s="1105"/>
      <c r="BI90" s="1105"/>
      <c r="BK90" s="1106"/>
      <c r="BL90" s="1106"/>
      <c r="BM90" s="1106"/>
      <c r="BN90" s="1106"/>
      <c r="BO90" s="1106"/>
      <c r="BP90" s="1106"/>
      <c r="BQ90" s="1106"/>
      <c r="BR90" s="1106"/>
      <c r="BS90" s="73"/>
      <c r="CL90" s="1106"/>
      <c r="CM90" s="1106"/>
      <c r="CN90" s="1106"/>
      <c r="CO90" s="1106"/>
      <c r="CP90" s="1106"/>
      <c r="CQ90" s="1106"/>
      <c r="CS90" s="1105"/>
      <c r="CT90" s="1105"/>
      <c r="CU90" s="1105"/>
      <c r="CV90" s="1105"/>
      <c r="CW90" s="1105"/>
      <c r="CX90" s="1105"/>
      <c r="CY90" s="1105"/>
      <c r="CZ90" s="1105"/>
      <c r="DA90" s="1105"/>
      <c r="DB90" s="1105"/>
      <c r="DC90" s="1105"/>
      <c r="DD90" s="1105"/>
      <c r="DE90" s="1105"/>
      <c r="DF90" s="1105"/>
      <c r="DG90" s="1105"/>
      <c r="DH90" s="1105"/>
      <c r="DI90" s="1105"/>
      <c r="DJ90" s="1105"/>
      <c r="DL90" s="1105"/>
      <c r="DM90" s="1105"/>
      <c r="DN90" s="1105"/>
      <c r="DO90" s="1105"/>
      <c r="DP90" s="1105"/>
      <c r="DQ90" s="1105"/>
      <c r="DR90" s="1105"/>
      <c r="DS90" s="1105"/>
      <c r="DT90" s="1105"/>
      <c r="DU90" s="1105"/>
      <c r="DV90" s="1105"/>
      <c r="DW90" s="1105"/>
      <c r="DX90" s="1105"/>
      <c r="DY90" s="1105"/>
      <c r="DZ90" s="1105"/>
      <c r="EA90" s="1105"/>
      <c r="EB90" s="1105"/>
      <c r="EC90" s="1105"/>
      <c r="EE90" s="1106"/>
      <c r="EF90" s="1106"/>
      <c r="EG90" s="1106"/>
      <c r="EH90" s="1106"/>
      <c r="EI90" s="1106"/>
      <c r="EJ90" s="1106"/>
      <c r="EK90" s="1106"/>
      <c r="EL90" s="1106"/>
    </row>
    <row r="91" spans="18:142" ht="3.75" customHeight="1" x14ac:dyDescent="0.25">
      <c r="R91" s="1106"/>
      <c r="S91" s="1106"/>
      <c r="T91" s="1106"/>
      <c r="U91" s="1106"/>
      <c r="V91" s="1106"/>
      <c r="W91" s="1106"/>
      <c r="Y91" s="1105"/>
      <c r="Z91" s="1105"/>
      <c r="AA91" s="1105"/>
      <c r="AB91" s="1105"/>
      <c r="AC91" s="1105"/>
      <c r="AD91" s="1105"/>
      <c r="AE91" s="1105"/>
      <c r="AF91" s="1105"/>
      <c r="AG91" s="1105"/>
      <c r="AH91" s="1105"/>
      <c r="AI91" s="1105"/>
      <c r="AJ91" s="1105"/>
      <c r="AK91" s="1105"/>
      <c r="AL91" s="1105"/>
      <c r="AM91" s="1105"/>
      <c r="AN91" s="1105"/>
      <c r="AO91" s="1105"/>
      <c r="AP91" s="1105"/>
      <c r="AR91" s="1105"/>
      <c r="AS91" s="1105"/>
      <c r="AT91" s="1105"/>
      <c r="AU91" s="1105"/>
      <c r="AV91" s="1105"/>
      <c r="AW91" s="1105"/>
      <c r="AX91" s="1105"/>
      <c r="AY91" s="1105"/>
      <c r="AZ91" s="1105"/>
      <c r="BA91" s="1105"/>
      <c r="BB91" s="1105"/>
      <c r="BC91" s="1105"/>
      <c r="BD91" s="1105"/>
      <c r="BE91" s="1105"/>
      <c r="BF91" s="1105"/>
      <c r="BG91" s="1105"/>
      <c r="BH91" s="1105"/>
      <c r="BI91" s="1105"/>
      <c r="BK91" s="1106" t="s">
        <v>590</v>
      </c>
      <c r="BL91" s="1106"/>
      <c r="BM91" s="1106"/>
      <c r="BN91" s="1106"/>
      <c r="BO91" s="1106" t="s">
        <v>589</v>
      </c>
      <c r="BP91" s="1106"/>
      <c r="BQ91" s="1106"/>
      <c r="BR91" s="1106"/>
      <c r="BS91" s="73"/>
      <c r="CL91" s="1106"/>
      <c r="CM91" s="1106"/>
      <c r="CN91" s="1106"/>
      <c r="CO91" s="1106"/>
      <c r="CP91" s="1106"/>
      <c r="CQ91" s="1106"/>
      <c r="CS91" s="1105"/>
      <c r="CT91" s="1105"/>
      <c r="CU91" s="1105"/>
      <c r="CV91" s="1105"/>
      <c r="CW91" s="1105"/>
      <c r="CX91" s="1105"/>
      <c r="CY91" s="1105"/>
      <c r="CZ91" s="1105"/>
      <c r="DA91" s="1105"/>
      <c r="DB91" s="1105"/>
      <c r="DC91" s="1105"/>
      <c r="DD91" s="1105"/>
      <c r="DE91" s="1105"/>
      <c r="DF91" s="1105"/>
      <c r="DG91" s="1105"/>
      <c r="DH91" s="1105"/>
      <c r="DI91" s="1105"/>
      <c r="DJ91" s="1105"/>
      <c r="DL91" s="1105"/>
      <c r="DM91" s="1105"/>
      <c r="DN91" s="1105"/>
      <c r="DO91" s="1105"/>
      <c r="DP91" s="1105"/>
      <c r="DQ91" s="1105"/>
      <c r="DR91" s="1105"/>
      <c r="DS91" s="1105"/>
      <c r="DT91" s="1105"/>
      <c r="DU91" s="1105"/>
      <c r="DV91" s="1105"/>
      <c r="DW91" s="1105"/>
      <c r="DX91" s="1105"/>
      <c r="DY91" s="1105"/>
      <c r="DZ91" s="1105"/>
      <c r="EA91" s="1105"/>
      <c r="EB91" s="1105"/>
      <c r="EC91" s="1105"/>
      <c r="EE91" s="1106" t="s">
        <v>590</v>
      </c>
      <c r="EF91" s="1106"/>
      <c r="EG91" s="1106"/>
      <c r="EH91" s="1106"/>
      <c r="EI91" s="1106" t="s">
        <v>589</v>
      </c>
      <c r="EJ91" s="1106"/>
      <c r="EK91" s="1106"/>
      <c r="EL91" s="1106"/>
    </row>
    <row r="92" spans="18:142" ht="3.75" customHeight="1" x14ac:dyDescent="0.25">
      <c r="R92" s="1106"/>
      <c r="S92" s="1106"/>
      <c r="T92" s="1106"/>
      <c r="U92" s="1106"/>
      <c r="V92" s="1106"/>
      <c r="W92" s="1106"/>
      <c r="Y92" s="1105"/>
      <c r="Z92" s="1105"/>
      <c r="AA92" s="1105"/>
      <c r="AB92" s="1105"/>
      <c r="AC92" s="1105"/>
      <c r="AD92" s="1105"/>
      <c r="AE92" s="1105"/>
      <c r="AF92" s="1105"/>
      <c r="AG92" s="1105"/>
      <c r="AH92" s="1105"/>
      <c r="AI92" s="1105"/>
      <c r="AJ92" s="1105"/>
      <c r="AK92" s="1105"/>
      <c r="AL92" s="1105"/>
      <c r="AM92" s="1105"/>
      <c r="AN92" s="1105"/>
      <c r="AO92" s="1105"/>
      <c r="AP92" s="1105"/>
      <c r="AR92" s="1105"/>
      <c r="AS92" s="1105"/>
      <c r="AT92" s="1105"/>
      <c r="AU92" s="1105"/>
      <c r="AV92" s="1105"/>
      <c r="AW92" s="1105"/>
      <c r="AX92" s="1105"/>
      <c r="AY92" s="1105"/>
      <c r="AZ92" s="1105"/>
      <c r="BA92" s="1105"/>
      <c r="BB92" s="1105"/>
      <c r="BC92" s="1105"/>
      <c r="BD92" s="1105"/>
      <c r="BE92" s="1105"/>
      <c r="BF92" s="1105"/>
      <c r="BG92" s="1105"/>
      <c r="BH92" s="1105"/>
      <c r="BI92" s="1105"/>
      <c r="BK92" s="1106"/>
      <c r="BL92" s="1106"/>
      <c r="BM92" s="1106"/>
      <c r="BN92" s="1106"/>
      <c r="BO92" s="1106"/>
      <c r="BP92" s="1106"/>
      <c r="BQ92" s="1106"/>
      <c r="BR92" s="1106"/>
      <c r="BS92" s="73"/>
      <c r="CL92" s="1106"/>
      <c r="CM92" s="1106"/>
      <c r="CN92" s="1106"/>
      <c r="CO92" s="1106"/>
      <c r="CP92" s="1106"/>
      <c r="CQ92" s="1106"/>
      <c r="CS92" s="1105"/>
      <c r="CT92" s="1105"/>
      <c r="CU92" s="1105"/>
      <c r="CV92" s="1105"/>
      <c r="CW92" s="1105"/>
      <c r="CX92" s="1105"/>
      <c r="CY92" s="1105"/>
      <c r="CZ92" s="1105"/>
      <c r="DA92" s="1105"/>
      <c r="DB92" s="1105"/>
      <c r="DC92" s="1105"/>
      <c r="DD92" s="1105"/>
      <c r="DE92" s="1105"/>
      <c r="DF92" s="1105"/>
      <c r="DG92" s="1105"/>
      <c r="DH92" s="1105"/>
      <c r="DI92" s="1105"/>
      <c r="DJ92" s="1105"/>
      <c r="DL92" s="1105"/>
      <c r="DM92" s="1105"/>
      <c r="DN92" s="1105"/>
      <c r="DO92" s="1105"/>
      <c r="DP92" s="1105"/>
      <c r="DQ92" s="1105"/>
      <c r="DR92" s="1105"/>
      <c r="DS92" s="1105"/>
      <c r="DT92" s="1105"/>
      <c r="DU92" s="1105"/>
      <c r="DV92" s="1105"/>
      <c r="DW92" s="1105"/>
      <c r="DX92" s="1105"/>
      <c r="DY92" s="1105"/>
      <c r="DZ92" s="1105"/>
      <c r="EA92" s="1105"/>
      <c r="EB92" s="1105"/>
      <c r="EC92" s="1105"/>
      <c r="EE92" s="1106"/>
      <c r="EF92" s="1106"/>
      <c r="EG92" s="1106"/>
      <c r="EH92" s="1106"/>
      <c r="EI92" s="1106"/>
      <c r="EJ92" s="1106"/>
      <c r="EK92" s="1106"/>
      <c r="EL92" s="1106"/>
    </row>
    <row r="93" spans="18:142" ht="3.75" customHeight="1" x14ac:dyDescent="0.25">
      <c r="R93" s="1106"/>
      <c r="S93" s="1106"/>
      <c r="T93" s="1106"/>
      <c r="U93" s="1106"/>
      <c r="V93" s="1106"/>
      <c r="W93" s="1106"/>
      <c r="Y93" s="1105"/>
      <c r="Z93" s="1105"/>
      <c r="AA93" s="1105"/>
      <c r="AB93" s="1105"/>
      <c r="AC93" s="1105"/>
      <c r="AD93" s="1105"/>
      <c r="AE93" s="1105"/>
      <c r="AF93" s="1105"/>
      <c r="AG93" s="1105"/>
      <c r="AH93" s="1105"/>
      <c r="AI93" s="1105"/>
      <c r="AJ93" s="1105"/>
      <c r="AK93" s="1105"/>
      <c r="AL93" s="1105"/>
      <c r="AM93" s="1105"/>
      <c r="AN93" s="1105"/>
      <c r="AO93" s="1105"/>
      <c r="AP93" s="1105"/>
      <c r="AR93" s="1105"/>
      <c r="AS93" s="1105"/>
      <c r="AT93" s="1105"/>
      <c r="AU93" s="1105"/>
      <c r="AV93" s="1105"/>
      <c r="AW93" s="1105"/>
      <c r="AX93" s="1105"/>
      <c r="AY93" s="1105"/>
      <c r="AZ93" s="1105"/>
      <c r="BA93" s="1105"/>
      <c r="BB93" s="1105"/>
      <c r="BC93" s="1105"/>
      <c r="BD93" s="1105"/>
      <c r="BE93" s="1105"/>
      <c r="BF93" s="1105"/>
      <c r="BG93" s="1105"/>
      <c r="BH93" s="1105"/>
      <c r="BI93" s="1105"/>
      <c r="BK93" s="1106"/>
      <c r="BL93" s="1106"/>
      <c r="BM93" s="1106"/>
      <c r="BN93" s="1106"/>
      <c r="BO93" s="1106"/>
      <c r="BP93" s="1106"/>
      <c r="BQ93" s="1106"/>
      <c r="BR93" s="1106"/>
      <c r="BS93" s="73"/>
      <c r="CL93" s="1106"/>
      <c r="CM93" s="1106"/>
      <c r="CN93" s="1106"/>
      <c r="CO93" s="1106"/>
      <c r="CP93" s="1106"/>
      <c r="CQ93" s="1106"/>
      <c r="CS93" s="1105"/>
      <c r="CT93" s="1105"/>
      <c r="CU93" s="1105"/>
      <c r="CV93" s="1105"/>
      <c r="CW93" s="1105"/>
      <c r="CX93" s="1105"/>
      <c r="CY93" s="1105"/>
      <c r="CZ93" s="1105"/>
      <c r="DA93" s="1105"/>
      <c r="DB93" s="1105"/>
      <c r="DC93" s="1105"/>
      <c r="DD93" s="1105"/>
      <c r="DE93" s="1105"/>
      <c r="DF93" s="1105"/>
      <c r="DG93" s="1105"/>
      <c r="DH93" s="1105"/>
      <c r="DI93" s="1105"/>
      <c r="DJ93" s="1105"/>
      <c r="DL93" s="1105"/>
      <c r="DM93" s="1105"/>
      <c r="DN93" s="1105"/>
      <c r="DO93" s="1105"/>
      <c r="DP93" s="1105"/>
      <c r="DQ93" s="1105"/>
      <c r="DR93" s="1105"/>
      <c r="DS93" s="1105"/>
      <c r="DT93" s="1105"/>
      <c r="DU93" s="1105"/>
      <c r="DV93" s="1105"/>
      <c r="DW93" s="1105"/>
      <c r="DX93" s="1105"/>
      <c r="DY93" s="1105"/>
      <c r="DZ93" s="1105"/>
      <c r="EA93" s="1105"/>
      <c r="EB93" s="1105"/>
      <c r="EC93" s="1105"/>
      <c r="EE93" s="1106"/>
      <c r="EF93" s="1106"/>
      <c r="EG93" s="1106"/>
      <c r="EH93" s="1106"/>
      <c r="EI93" s="1106"/>
      <c r="EJ93" s="1106"/>
      <c r="EK93" s="1106"/>
      <c r="EL93" s="1106"/>
    </row>
    <row r="94" spans="18:142" ht="3.75" customHeight="1" x14ac:dyDescent="0.25">
      <c r="R94" s="1106"/>
      <c r="S94" s="1106"/>
      <c r="T94" s="1106"/>
      <c r="U94" s="1106"/>
      <c r="V94" s="1106"/>
      <c r="W94" s="1106"/>
      <c r="Y94" s="1105"/>
      <c r="Z94" s="1105"/>
      <c r="AA94" s="1105"/>
      <c r="AB94" s="1105"/>
      <c r="AC94" s="1105"/>
      <c r="AD94" s="1105"/>
      <c r="AE94" s="1105"/>
      <c r="AF94" s="1105"/>
      <c r="AG94" s="1105"/>
      <c r="AH94" s="1105"/>
      <c r="AI94" s="1105"/>
      <c r="AJ94" s="1105"/>
      <c r="AK94" s="1105"/>
      <c r="AL94" s="1105"/>
      <c r="AM94" s="1105"/>
      <c r="AN94" s="1105"/>
      <c r="AO94" s="1105"/>
      <c r="AP94" s="1105"/>
      <c r="AR94" s="1105"/>
      <c r="AS94" s="1105"/>
      <c r="AT94" s="1105"/>
      <c r="AU94" s="1105"/>
      <c r="AV94" s="1105"/>
      <c r="AW94" s="1105"/>
      <c r="AX94" s="1105"/>
      <c r="AY94" s="1105"/>
      <c r="AZ94" s="1105"/>
      <c r="BA94" s="1105"/>
      <c r="BB94" s="1105"/>
      <c r="BC94" s="1105"/>
      <c r="BD94" s="1105"/>
      <c r="BE94" s="1105"/>
      <c r="BF94" s="1105"/>
      <c r="BG94" s="1105"/>
      <c r="BH94" s="1105"/>
      <c r="BI94" s="1105"/>
      <c r="BK94" s="1106"/>
      <c r="BL94" s="1106"/>
      <c r="BM94" s="1106"/>
      <c r="BN94" s="1106"/>
      <c r="BO94" s="1106"/>
      <c r="BP94" s="1106"/>
      <c r="BQ94" s="1106"/>
      <c r="BR94" s="1106"/>
      <c r="BS94" s="73"/>
      <c r="CL94" s="1106"/>
      <c r="CM94" s="1106"/>
      <c r="CN94" s="1106"/>
      <c r="CO94" s="1106"/>
      <c r="CP94" s="1106"/>
      <c r="CQ94" s="1106"/>
      <c r="CS94" s="1105"/>
      <c r="CT94" s="1105"/>
      <c r="CU94" s="1105"/>
      <c r="CV94" s="1105"/>
      <c r="CW94" s="1105"/>
      <c r="CX94" s="1105"/>
      <c r="CY94" s="1105"/>
      <c r="CZ94" s="1105"/>
      <c r="DA94" s="1105"/>
      <c r="DB94" s="1105"/>
      <c r="DC94" s="1105"/>
      <c r="DD94" s="1105"/>
      <c r="DE94" s="1105"/>
      <c r="DF94" s="1105"/>
      <c r="DG94" s="1105"/>
      <c r="DH94" s="1105"/>
      <c r="DI94" s="1105"/>
      <c r="DJ94" s="1105"/>
      <c r="DL94" s="1105"/>
      <c r="DM94" s="1105"/>
      <c r="DN94" s="1105"/>
      <c r="DO94" s="1105"/>
      <c r="DP94" s="1105"/>
      <c r="DQ94" s="1105"/>
      <c r="DR94" s="1105"/>
      <c r="DS94" s="1105"/>
      <c r="DT94" s="1105"/>
      <c r="DU94" s="1105"/>
      <c r="DV94" s="1105"/>
      <c r="DW94" s="1105"/>
      <c r="DX94" s="1105"/>
      <c r="DY94" s="1105"/>
      <c r="DZ94" s="1105"/>
      <c r="EA94" s="1105"/>
      <c r="EB94" s="1105"/>
      <c r="EC94" s="1105"/>
      <c r="EE94" s="1106"/>
      <c r="EF94" s="1106"/>
      <c r="EG94" s="1106"/>
      <c r="EH94" s="1106"/>
      <c r="EI94" s="1106"/>
      <c r="EJ94" s="1106"/>
      <c r="EK94" s="1106"/>
      <c r="EL94" s="1106"/>
    </row>
    <row r="95" spans="18:142" ht="3.75" customHeight="1" x14ac:dyDescent="0.25">
      <c r="R95" s="1106"/>
      <c r="S95" s="1106"/>
      <c r="T95" s="1106"/>
      <c r="U95" s="1106"/>
      <c r="V95" s="1106"/>
      <c r="W95" s="1106"/>
      <c r="Y95" s="1105"/>
      <c r="Z95" s="1105"/>
      <c r="AA95" s="1105"/>
      <c r="AB95" s="1105"/>
      <c r="AC95" s="1105"/>
      <c r="AD95" s="1105"/>
      <c r="AE95" s="1105"/>
      <c r="AF95" s="1105"/>
      <c r="AG95" s="1105"/>
      <c r="AH95" s="1105"/>
      <c r="AI95" s="1105"/>
      <c r="AJ95" s="1105"/>
      <c r="AK95" s="1105"/>
      <c r="AL95" s="1105"/>
      <c r="AM95" s="1105"/>
      <c r="AN95" s="1105"/>
      <c r="AO95" s="1105"/>
      <c r="AP95" s="1105"/>
      <c r="AR95" s="1105"/>
      <c r="AS95" s="1105"/>
      <c r="AT95" s="1105"/>
      <c r="AU95" s="1105"/>
      <c r="AV95" s="1105"/>
      <c r="AW95" s="1105"/>
      <c r="AX95" s="1105"/>
      <c r="AY95" s="1105"/>
      <c r="AZ95" s="1105"/>
      <c r="BA95" s="1105"/>
      <c r="BB95" s="1105"/>
      <c r="BC95" s="1105"/>
      <c r="BD95" s="1105"/>
      <c r="BE95" s="1105"/>
      <c r="BF95" s="1105"/>
      <c r="BG95" s="1105"/>
      <c r="BH95" s="1105"/>
      <c r="BI95" s="1105"/>
      <c r="BK95" s="1106"/>
      <c r="BL95" s="1106"/>
      <c r="BM95" s="1106"/>
      <c r="BN95" s="1106"/>
      <c r="BO95" s="1106"/>
      <c r="BP95" s="1106"/>
      <c r="BQ95" s="1106"/>
      <c r="BR95" s="1106"/>
      <c r="BS95" s="73"/>
      <c r="CL95" s="1106"/>
      <c r="CM95" s="1106"/>
      <c r="CN95" s="1106"/>
      <c r="CO95" s="1106"/>
      <c r="CP95" s="1106"/>
      <c r="CQ95" s="1106"/>
      <c r="CS95" s="1105"/>
      <c r="CT95" s="1105"/>
      <c r="CU95" s="1105"/>
      <c r="CV95" s="1105"/>
      <c r="CW95" s="1105"/>
      <c r="CX95" s="1105"/>
      <c r="CY95" s="1105"/>
      <c r="CZ95" s="1105"/>
      <c r="DA95" s="1105"/>
      <c r="DB95" s="1105"/>
      <c r="DC95" s="1105"/>
      <c r="DD95" s="1105"/>
      <c r="DE95" s="1105"/>
      <c r="DF95" s="1105"/>
      <c r="DG95" s="1105"/>
      <c r="DH95" s="1105"/>
      <c r="DI95" s="1105"/>
      <c r="DJ95" s="1105"/>
      <c r="DL95" s="1105"/>
      <c r="DM95" s="1105"/>
      <c r="DN95" s="1105"/>
      <c r="DO95" s="1105"/>
      <c r="DP95" s="1105"/>
      <c r="DQ95" s="1105"/>
      <c r="DR95" s="1105"/>
      <c r="DS95" s="1105"/>
      <c r="DT95" s="1105"/>
      <c r="DU95" s="1105"/>
      <c r="DV95" s="1105"/>
      <c r="DW95" s="1105"/>
      <c r="DX95" s="1105"/>
      <c r="DY95" s="1105"/>
      <c r="DZ95" s="1105"/>
      <c r="EA95" s="1105"/>
      <c r="EB95" s="1105"/>
      <c r="EC95" s="1105"/>
      <c r="EE95" s="1106"/>
      <c r="EF95" s="1106"/>
      <c r="EG95" s="1106"/>
      <c r="EH95" s="1106"/>
      <c r="EI95" s="1106"/>
      <c r="EJ95" s="1106"/>
      <c r="EK95" s="1106"/>
      <c r="EL95" s="1106"/>
    </row>
    <row r="96" spans="18:142" ht="3.75" customHeight="1" x14ac:dyDescent="0.25">
      <c r="R96" s="1106"/>
      <c r="S96" s="1106"/>
      <c r="T96" s="1106"/>
      <c r="U96" s="1106"/>
      <c r="V96" s="1106"/>
      <c r="W96" s="1106"/>
      <c r="Y96" s="1105"/>
      <c r="Z96" s="1105"/>
      <c r="AA96" s="1105"/>
      <c r="AB96" s="1105"/>
      <c r="AC96" s="1105"/>
      <c r="AD96" s="1105"/>
      <c r="AE96" s="1105"/>
      <c r="AF96" s="1105"/>
      <c r="AG96" s="1105"/>
      <c r="AH96" s="1105"/>
      <c r="AI96" s="1105"/>
      <c r="AJ96" s="1105"/>
      <c r="AK96" s="1105"/>
      <c r="AL96" s="1105"/>
      <c r="AM96" s="1105"/>
      <c r="AN96" s="1105"/>
      <c r="AO96" s="1105"/>
      <c r="AP96" s="1105"/>
      <c r="AR96" s="1105"/>
      <c r="AS96" s="1105"/>
      <c r="AT96" s="1105"/>
      <c r="AU96" s="1105"/>
      <c r="AV96" s="1105"/>
      <c r="AW96" s="1105"/>
      <c r="AX96" s="1105"/>
      <c r="AY96" s="1105"/>
      <c r="AZ96" s="1105"/>
      <c r="BA96" s="1105"/>
      <c r="BB96" s="1105"/>
      <c r="BC96" s="1105"/>
      <c r="BD96" s="1105"/>
      <c r="BE96" s="1105"/>
      <c r="BF96" s="1105"/>
      <c r="BG96" s="1105"/>
      <c r="BH96" s="1105"/>
      <c r="BI96" s="1105"/>
      <c r="BK96" s="1106"/>
      <c r="BL96" s="1106"/>
      <c r="BM96" s="1106"/>
      <c r="BN96" s="1106"/>
      <c r="BO96" s="1106"/>
      <c r="BP96" s="1106"/>
      <c r="BQ96" s="1106"/>
      <c r="BR96" s="1106"/>
      <c r="BS96" s="73"/>
      <c r="CL96" s="1106"/>
      <c r="CM96" s="1106"/>
      <c r="CN96" s="1106"/>
      <c r="CO96" s="1106"/>
      <c r="CP96" s="1106"/>
      <c r="CQ96" s="1106"/>
      <c r="CS96" s="1105"/>
      <c r="CT96" s="1105"/>
      <c r="CU96" s="1105"/>
      <c r="CV96" s="1105"/>
      <c r="CW96" s="1105"/>
      <c r="CX96" s="1105"/>
      <c r="CY96" s="1105"/>
      <c r="CZ96" s="1105"/>
      <c r="DA96" s="1105"/>
      <c r="DB96" s="1105"/>
      <c r="DC96" s="1105"/>
      <c r="DD96" s="1105"/>
      <c r="DE96" s="1105"/>
      <c r="DF96" s="1105"/>
      <c r="DG96" s="1105"/>
      <c r="DH96" s="1105"/>
      <c r="DI96" s="1105"/>
      <c r="DJ96" s="1105"/>
      <c r="DL96" s="1105"/>
      <c r="DM96" s="1105"/>
      <c r="DN96" s="1105"/>
      <c r="DO96" s="1105"/>
      <c r="DP96" s="1105"/>
      <c r="DQ96" s="1105"/>
      <c r="DR96" s="1105"/>
      <c r="DS96" s="1105"/>
      <c r="DT96" s="1105"/>
      <c r="DU96" s="1105"/>
      <c r="DV96" s="1105"/>
      <c r="DW96" s="1105"/>
      <c r="DX96" s="1105"/>
      <c r="DY96" s="1105"/>
      <c r="DZ96" s="1105"/>
      <c r="EA96" s="1105"/>
      <c r="EB96" s="1105"/>
      <c r="EC96" s="1105"/>
      <c r="EE96" s="1106"/>
      <c r="EF96" s="1106"/>
      <c r="EG96" s="1106"/>
      <c r="EH96" s="1106"/>
      <c r="EI96" s="1106"/>
      <c r="EJ96" s="1106"/>
      <c r="EK96" s="1106"/>
      <c r="EL96" s="1106"/>
    </row>
    <row r="97" spans="18:142" ht="3.75" customHeight="1" x14ac:dyDescent="0.25">
      <c r="R97" s="1106"/>
      <c r="S97" s="1106"/>
      <c r="T97" s="1106"/>
      <c r="U97" s="1106"/>
      <c r="V97" s="1106"/>
      <c r="W97" s="1106"/>
      <c r="Y97" s="1105"/>
      <c r="Z97" s="1105"/>
      <c r="AA97" s="1105"/>
      <c r="AB97" s="1105"/>
      <c r="AC97" s="1105"/>
      <c r="AD97" s="1105"/>
      <c r="AE97" s="1105"/>
      <c r="AF97" s="1105"/>
      <c r="AG97" s="1105"/>
      <c r="AH97" s="1105"/>
      <c r="AI97" s="1105"/>
      <c r="AJ97" s="1105"/>
      <c r="AK97" s="1105"/>
      <c r="AL97" s="1105"/>
      <c r="AM97" s="1105"/>
      <c r="AN97" s="1105"/>
      <c r="AO97" s="1105"/>
      <c r="AP97" s="1105"/>
      <c r="AR97" s="1105"/>
      <c r="AS97" s="1105"/>
      <c r="AT97" s="1105"/>
      <c r="AU97" s="1105"/>
      <c r="AV97" s="1105"/>
      <c r="AW97" s="1105"/>
      <c r="AX97" s="1105"/>
      <c r="AY97" s="1105"/>
      <c r="AZ97" s="1105"/>
      <c r="BA97" s="1105"/>
      <c r="BB97" s="1105"/>
      <c r="BC97" s="1105"/>
      <c r="BD97" s="1105"/>
      <c r="BE97" s="1105"/>
      <c r="BF97" s="1105"/>
      <c r="BG97" s="1105"/>
      <c r="BH97" s="1105"/>
      <c r="BI97" s="1105"/>
      <c r="BK97" s="1106" t="s">
        <v>590</v>
      </c>
      <c r="BL97" s="1106"/>
      <c r="BM97" s="1106"/>
      <c r="BN97" s="1106"/>
      <c r="BO97" s="1106" t="s">
        <v>589</v>
      </c>
      <c r="BP97" s="1106"/>
      <c r="BQ97" s="1106"/>
      <c r="BR97" s="1106"/>
      <c r="BS97" s="73"/>
      <c r="CL97" s="1106"/>
      <c r="CM97" s="1106"/>
      <c r="CN97" s="1106"/>
      <c r="CO97" s="1106"/>
      <c r="CP97" s="1106"/>
      <c r="CQ97" s="1106"/>
      <c r="CS97" s="1105"/>
      <c r="CT97" s="1105"/>
      <c r="CU97" s="1105"/>
      <c r="CV97" s="1105"/>
      <c r="CW97" s="1105"/>
      <c r="CX97" s="1105"/>
      <c r="CY97" s="1105"/>
      <c r="CZ97" s="1105"/>
      <c r="DA97" s="1105"/>
      <c r="DB97" s="1105"/>
      <c r="DC97" s="1105"/>
      <c r="DD97" s="1105"/>
      <c r="DE97" s="1105"/>
      <c r="DF97" s="1105"/>
      <c r="DG97" s="1105"/>
      <c r="DH97" s="1105"/>
      <c r="DI97" s="1105"/>
      <c r="DJ97" s="1105"/>
      <c r="DL97" s="1105"/>
      <c r="DM97" s="1105"/>
      <c r="DN97" s="1105"/>
      <c r="DO97" s="1105"/>
      <c r="DP97" s="1105"/>
      <c r="DQ97" s="1105"/>
      <c r="DR97" s="1105"/>
      <c r="DS97" s="1105"/>
      <c r="DT97" s="1105"/>
      <c r="DU97" s="1105"/>
      <c r="DV97" s="1105"/>
      <c r="DW97" s="1105"/>
      <c r="DX97" s="1105"/>
      <c r="DY97" s="1105"/>
      <c r="DZ97" s="1105"/>
      <c r="EA97" s="1105"/>
      <c r="EB97" s="1105"/>
      <c r="EC97" s="1105"/>
      <c r="EE97" s="1106" t="s">
        <v>590</v>
      </c>
      <c r="EF97" s="1106"/>
      <c r="EG97" s="1106"/>
      <c r="EH97" s="1106"/>
      <c r="EI97" s="1106" t="s">
        <v>589</v>
      </c>
      <c r="EJ97" s="1106"/>
      <c r="EK97" s="1106"/>
      <c r="EL97" s="1106"/>
    </row>
    <row r="98" spans="18:142" ht="3.75" customHeight="1" x14ac:dyDescent="0.25">
      <c r="R98" s="1106"/>
      <c r="S98" s="1106"/>
      <c r="T98" s="1106"/>
      <c r="U98" s="1106"/>
      <c r="V98" s="1106"/>
      <c r="W98" s="1106"/>
      <c r="Y98" s="1105"/>
      <c r="Z98" s="1105"/>
      <c r="AA98" s="1105"/>
      <c r="AB98" s="1105"/>
      <c r="AC98" s="1105"/>
      <c r="AD98" s="1105"/>
      <c r="AE98" s="1105"/>
      <c r="AF98" s="1105"/>
      <c r="AG98" s="1105"/>
      <c r="AH98" s="1105"/>
      <c r="AI98" s="1105"/>
      <c r="AJ98" s="1105"/>
      <c r="AK98" s="1105"/>
      <c r="AL98" s="1105"/>
      <c r="AM98" s="1105"/>
      <c r="AN98" s="1105"/>
      <c r="AO98" s="1105"/>
      <c r="AP98" s="1105"/>
      <c r="AR98" s="1105"/>
      <c r="AS98" s="1105"/>
      <c r="AT98" s="1105"/>
      <c r="AU98" s="1105"/>
      <c r="AV98" s="1105"/>
      <c r="AW98" s="1105"/>
      <c r="AX98" s="1105"/>
      <c r="AY98" s="1105"/>
      <c r="AZ98" s="1105"/>
      <c r="BA98" s="1105"/>
      <c r="BB98" s="1105"/>
      <c r="BC98" s="1105"/>
      <c r="BD98" s="1105"/>
      <c r="BE98" s="1105"/>
      <c r="BF98" s="1105"/>
      <c r="BG98" s="1105"/>
      <c r="BH98" s="1105"/>
      <c r="BI98" s="1105"/>
      <c r="BK98" s="1106"/>
      <c r="BL98" s="1106"/>
      <c r="BM98" s="1106"/>
      <c r="BN98" s="1106"/>
      <c r="BO98" s="1106"/>
      <c r="BP98" s="1106"/>
      <c r="BQ98" s="1106"/>
      <c r="BR98" s="1106"/>
      <c r="BS98" s="73"/>
      <c r="CL98" s="1106"/>
      <c r="CM98" s="1106"/>
      <c r="CN98" s="1106"/>
      <c r="CO98" s="1106"/>
      <c r="CP98" s="1106"/>
      <c r="CQ98" s="1106"/>
      <c r="CS98" s="1105"/>
      <c r="CT98" s="1105"/>
      <c r="CU98" s="1105"/>
      <c r="CV98" s="1105"/>
      <c r="CW98" s="1105"/>
      <c r="CX98" s="1105"/>
      <c r="CY98" s="1105"/>
      <c r="CZ98" s="1105"/>
      <c r="DA98" s="1105"/>
      <c r="DB98" s="1105"/>
      <c r="DC98" s="1105"/>
      <c r="DD98" s="1105"/>
      <c r="DE98" s="1105"/>
      <c r="DF98" s="1105"/>
      <c r="DG98" s="1105"/>
      <c r="DH98" s="1105"/>
      <c r="DI98" s="1105"/>
      <c r="DJ98" s="1105"/>
      <c r="DL98" s="1105"/>
      <c r="DM98" s="1105"/>
      <c r="DN98" s="1105"/>
      <c r="DO98" s="1105"/>
      <c r="DP98" s="1105"/>
      <c r="DQ98" s="1105"/>
      <c r="DR98" s="1105"/>
      <c r="DS98" s="1105"/>
      <c r="DT98" s="1105"/>
      <c r="DU98" s="1105"/>
      <c r="DV98" s="1105"/>
      <c r="DW98" s="1105"/>
      <c r="DX98" s="1105"/>
      <c r="DY98" s="1105"/>
      <c r="DZ98" s="1105"/>
      <c r="EA98" s="1105"/>
      <c r="EB98" s="1105"/>
      <c r="EC98" s="1105"/>
      <c r="EE98" s="1106"/>
      <c r="EF98" s="1106"/>
      <c r="EG98" s="1106"/>
      <c r="EH98" s="1106"/>
      <c r="EI98" s="1106"/>
      <c r="EJ98" s="1106"/>
      <c r="EK98" s="1106"/>
      <c r="EL98" s="1106"/>
    </row>
    <row r="99" spans="18:142" ht="3.75" customHeight="1" x14ac:dyDescent="0.25">
      <c r="R99" s="1106"/>
      <c r="S99" s="1106"/>
      <c r="T99" s="1106"/>
      <c r="U99" s="1106"/>
      <c r="V99" s="1106"/>
      <c r="W99" s="1106"/>
      <c r="Y99" s="1105"/>
      <c r="Z99" s="1105"/>
      <c r="AA99" s="1105"/>
      <c r="AB99" s="1105"/>
      <c r="AC99" s="1105"/>
      <c r="AD99" s="1105"/>
      <c r="AE99" s="1105"/>
      <c r="AF99" s="1105"/>
      <c r="AG99" s="1105"/>
      <c r="AH99" s="1105"/>
      <c r="AI99" s="1105"/>
      <c r="AJ99" s="1105"/>
      <c r="AK99" s="1105"/>
      <c r="AL99" s="1105"/>
      <c r="AM99" s="1105"/>
      <c r="AN99" s="1105"/>
      <c r="AO99" s="1105"/>
      <c r="AP99" s="1105"/>
      <c r="AR99" s="1105"/>
      <c r="AS99" s="1105"/>
      <c r="AT99" s="1105"/>
      <c r="AU99" s="1105"/>
      <c r="AV99" s="1105"/>
      <c r="AW99" s="1105"/>
      <c r="AX99" s="1105"/>
      <c r="AY99" s="1105"/>
      <c r="AZ99" s="1105"/>
      <c r="BA99" s="1105"/>
      <c r="BB99" s="1105"/>
      <c r="BC99" s="1105"/>
      <c r="BD99" s="1105"/>
      <c r="BE99" s="1105"/>
      <c r="BF99" s="1105"/>
      <c r="BG99" s="1105"/>
      <c r="BH99" s="1105"/>
      <c r="BI99" s="1105"/>
      <c r="BK99" s="1106"/>
      <c r="BL99" s="1106"/>
      <c r="BM99" s="1106"/>
      <c r="BN99" s="1106"/>
      <c r="BO99" s="1106"/>
      <c r="BP99" s="1106"/>
      <c r="BQ99" s="1106"/>
      <c r="BR99" s="1106"/>
      <c r="BS99" s="73"/>
      <c r="CL99" s="1106"/>
      <c r="CM99" s="1106"/>
      <c r="CN99" s="1106"/>
      <c r="CO99" s="1106"/>
      <c r="CP99" s="1106"/>
      <c r="CQ99" s="1106"/>
      <c r="CS99" s="1105"/>
      <c r="CT99" s="1105"/>
      <c r="CU99" s="1105"/>
      <c r="CV99" s="1105"/>
      <c r="CW99" s="1105"/>
      <c r="CX99" s="1105"/>
      <c r="CY99" s="1105"/>
      <c r="CZ99" s="1105"/>
      <c r="DA99" s="1105"/>
      <c r="DB99" s="1105"/>
      <c r="DC99" s="1105"/>
      <c r="DD99" s="1105"/>
      <c r="DE99" s="1105"/>
      <c r="DF99" s="1105"/>
      <c r="DG99" s="1105"/>
      <c r="DH99" s="1105"/>
      <c r="DI99" s="1105"/>
      <c r="DJ99" s="1105"/>
      <c r="DL99" s="1105"/>
      <c r="DM99" s="1105"/>
      <c r="DN99" s="1105"/>
      <c r="DO99" s="1105"/>
      <c r="DP99" s="1105"/>
      <c r="DQ99" s="1105"/>
      <c r="DR99" s="1105"/>
      <c r="DS99" s="1105"/>
      <c r="DT99" s="1105"/>
      <c r="DU99" s="1105"/>
      <c r="DV99" s="1105"/>
      <c r="DW99" s="1105"/>
      <c r="DX99" s="1105"/>
      <c r="DY99" s="1105"/>
      <c r="DZ99" s="1105"/>
      <c r="EA99" s="1105"/>
      <c r="EB99" s="1105"/>
      <c r="EC99" s="1105"/>
      <c r="EE99" s="1106"/>
      <c r="EF99" s="1106"/>
      <c r="EG99" s="1106"/>
      <c r="EH99" s="1106"/>
      <c r="EI99" s="1106"/>
      <c r="EJ99" s="1106"/>
      <c r="EK99" s="1106"/>
      <c r="EL99" s="1106"/>
    </row>
    <row r="100" spans="18:142" ht="3.75" customHeight="1" x14ac:dyDescent="0.25">
      <c r="R100" s="1106"/>
      <c r="S100" s="1106"/>
      <c r="T100" s="1106"/>
      <c r="U100" s="1106"/>
      <c r="V100" s="1106"/>
      <c r="W100" s="1106"/>
      <c r="Y100" s="1105"/>
      <c r="Z100" s="1105"/>
      <c r="AA100" s="1105"/>
      <c r="AB100" s="1105"/>
      <c r="AC100" s="1105"/>
      <c r="AD100" s="1105"/>
      <c r="AE100" s="1105"/>
      <c r="AF100" s="1105"/>
      <c r="AG100" s="1105"/>
      <c r="AH100" s="1105"/>
      <c r="AI100" s="1105"/>
      <c r="AJ100" s="1105"/>
      <c r="AK100" s="1105"/>
      <c r="AL100" s="1105"/>
      <c r="AM100" s="1105"/>
      <c r="AN100" s="1105"/>
      <c r="AO100" s="1105"/>
      <c r="AP100" s="1105"/>
      <c r="AR100" s="1105"/>
      <c r="AS100" s="1105"/>
      <c r="AT100" s="1105"/>
      <c r="AU100" s="1105"/>
      <c r="AV100" s="1105"/>
      <c r="AW100" s="1105"/>
      <c r="AX100" s="1105"/>
      <c r="AY100" s="1105"/>
      <c r="AZ100" s="1105"/>
      <c r="BA100" s="1105"/>
      <c r="BB100" s="1105"/>
      <c r="BC100" s="1105"/>
      <c r="BD100" s="1105"/>
      <c r="BE100" s="1105"/>
      <c r="BF100" s="1105"/>
      <c r="BG100" s="1105"/>
      <c r="BH100" s="1105"/>
      <c r="BI100" s="1105"/>
      <c r="BK100" s="1106"/>
      <c r="BL100" s="1106"/>
      <c r="BM100" s="1106"/>
      <c r="BN100" s="1106"/>
      <c r="BO100" s="1106"/>
      <c r="BP100" s="1106"/>
      <c r="BQ100" s="1106"/>
      <c r="BR100" s="1106"/>
      <c r="BS100" s="73"/>
      <c r="CL100" s="1106"/>
      <c r="CM100" s="1106"/>
      <c r="CN100" s="1106"/>
      <c r="CO100" s="1106"/>
      <c r="CP100" s="1106"/>
      <c r="CQ100" s="1106"/>
      <c r="CS100" s="1105"/>
      <c r="CT100" s="1105"/>
      <c r="CU100" s="1105"/>
      <c r="CV100" s="1105"/>
      <c r="CW100" s="1105"/>
      <c r="CX100" s="1105"/>
      <c r="CY100" s="1105"/>
      <c r="CZ100" s="1105"/>
      <c r="DA100" s="1105"/>
      <c r="DB100" s="1105"/>
      <c r="DC100" s="1105"/>
      <c r="DD100" s="1105"/>
      <c r="DE100" s="1105"/>
      <c r="DF100" s="1105"/>
      <c r="DG100" s="1105"/>
      <c r="DH100" s="1105"/>
      <c r="DI100" s="1105"/>
      <c r="DJ100" s="1105"/>
      <c r="DL100" s="1105"/>
      <c r="DM100" s="1105"/>
      <c r="DN100" s="1105"/>
      <c r="DO100" s="1105"/>
      <c r="DP100" s="1105"/>
      <c r="DQ100" s="1105"/>
      <c r="DR100" s="1105"/>
      <c r="DS100" s="1105"/>
      <c r="DT100" s="1105"/>
      <c r="DU100" s="1105"/>
      <c r="DV100" s="1105"/>
      <c r="DW100" s="1105"/>
      <c r="DX100" s="1105"/>
      <c r="DY100" s="1105"/>
      <c r="DZ100" s="1105"/>
      <c r="EA100" s="1105"/>
      <c r="EB100" s="1105"/>
      <c r="EC100" s="1105"/>
      <c r="EE100" s="1106"/>
      <c r="EF100" s="1106"/>
      <c r="EG100" s="1106"/>
      <c r="EH100" s="1106"/>
      <c r="EI100" s="1106"/>
      <c r="EJ100" s="1106"/>
      <c r="EK100" s="1106"/>
      <c r="EL100" s="1106"/>
    </row>
    <row r="101" spans="18:142" ht="3.75" customHeight="1" x14ac:dyDescent="0.25">
      <c r="R101" s="1106"/>
      <c r="S101" s="1106"/>
      <c r="T101" s="1106"/>
      <c r="U101" s="1106"/>
      <c r="V101" s="1106"/>
      <c r="W101" s="1106"/>
      <c r="Y101" s="1105"/>
      <c r="Z101" s="1105"/>
      <c r="AA101" s="1105"/>
      <c r="AB101" s="1105"/>
      <c r="AC101" s="1105"/>
      <c r="AD101" s="1105"/>
      <c r="AE101" s="1105"/>
      <c r="AF101" s="1105"/>
      <c r="AG101" s="1105"/>
      <c r="AH101" s="1105"/>
      <c r="AI101" s="1105"/>
      <c r="AJ101" s="1105"/>
      <c r="AK101" s="1105"/>
      <c r="AL101" s="1105"/>
      <c r="AM101" s="1105"/>
      <c r="AN101" s="1105"/>
      <c r="AO101" s="1105"/>
      <c r="AP101" s="1105"/>
      <c r="AR101" s="1105"/>
      <c r="AS101" s="1105"/>
      <c r="AT101" s="1105"/>
      <c r="AU101" s="1105"/>
      <c r="AV101" s="1105"/>
      <c r="AW101" s="1105"/>
      <c r="AX101" s="1105"/>
      <c r="AY101" s="1105"/>
      <c r="AZ101" s="1105"/>
      <c r="BA101" s="1105"/>
      <c r="BB101" s="1105"/>
      <c r="BC101" s="1105"/>
      <c r="BD101" s="1105"/>
      <c r="BE101" s="1105"/>
      <c r="BF101" s="1105"/>
      <c r="BG101" s="1105"/>
      <c r="BH101" s="1105"/>
      <c r="BI101" s="1105"/>
      <c r="BK101" s="1106"/>
      <c r="BL101" s="1106"/>
      <c r="BM101" s="1106"/>
      <c r="BN101" s="1106"/>
      <c r="BO101" s="1106"/>
      <c r="BP101" s="1106"/>
      <c r="BQ101" s="1106"/>
      <c r="BR101" s="1106"/>
      <c r="BS101" s="367"/>
      <c r="CL101" s="1106"/>
      <c r="CM101" s="1106"/>
      <c r="CN101" s="1106"/>
      <c r="CO101" s="1106"/>
      <c r="CP101" s="1106"/>
      <c r="CQ101" s="1106"/>
      <c r="CS101" s="1105"/>
      <c r="CT101" s="1105"/>
      <c r="CU101" s="1105"/>
      <c r="CV101" s="1105"/>
      <c r="CW101" s="1105"/>
      <c r="CX101" s="1105"/>
      <c r="CY101" s="1105"/>
      <c r="CZ101" s="1105"/>
      <c r="DA101" s="1105"/>
      <c r="DB101" s="1105"/>
      <c r="DC101" s="1105"/>
      <c r="DD101" s="1105"/>
      <c r="DE101" s="1105"/>
      <c r="DF101" s="1105"/>
      <c r="DG101" s="1105"/>
      <c r="DH101" s="1105"/>
      <c r="DI101" s="1105"/>
      <c r="DJ101" s="1105"/>
      <c r="DL101" s="1105"/>
      <c r="DM101" s="1105"/>
      <c r="DN101" s="1105"/>
      <c r="DO101" s="1105"/>
      <c r="DP101" s="1105"/>
      <c r="DQ101" s="1105"/>
      <c r="DR101" s="1105"/>
      <c r="DS101" s="1105"/>
      <c r="DT101" s="1105"/>
      <c r="DU101" s="1105"/>
      <c r="DV101" s="1105"/>
      <c r="DW101" s="1105"/>
      <c r="DX101" s="1105"/>
      <c r="DY101" s="1105"/>
      <c r="DZ101" s="1105"/>
      <c r="EA101" s="1105"/>
      <c r="EB101" s="1105"/>
      <c r="EC101" s="1105"/>
      <c r="EE101" s="1106"/>
      <c r="EF101" s="1106"/>
      <c r="EG101" s="1106"/>
      <c r="EH101" s="1106"/>
      <c r="EI101" s="1106"/>
      <c r="EJ101" s="1106"/>
      <c r="EK101" s="1106"/>
      <c r="EL101" s="1106"/>
    </row>
    <row r="102" spans="18:142" ht="3.75" customHeight="1" x14ac:dyDescent="0.25">
      <c r="R102" s="1106"/>
      <c r="S102" s="1106"/>
      <c r="T102" s="1106"/>
      <c r="U102" s="1106"/>
      <c r="V102" s="1106"/>
      <c r="W102" s="1106"/>
      <c r="Y102" s="1105"/>
      <c r="Z102" s="1105"/>
      <c r="AA102" s="1105"/>
      <c r="AB102" s="1105"/>
      <c r="AC102" s="1105"/>
      <c r="AD102" s="1105"/>
      <c r="AE102" s="1105"/>
      <c r="AF102" s="1105"/>
      <c r="AG102" s="1105"/>
      <c r="AH102" s="1105"/>
      <c r="AI102" s="1105"/>
      <c r="AJ102" s="1105"/>
      <c r="AK102" s="1105"/>
      <c r="AL102" s="1105"/>
      <c r="AM102" s="1105"/>
      <c r="AN102" s="1105"/>
      <c r="AO102" s="1105"/>
      <c r="AP102" s="1105"/>
      <c r="AR102" s="1105"/>
      <c r="AS102" s="1105"/>
      <c r="AT102" s="1105"/>
      <c r="AU102" s="1105"/>
      <c r="AV102" s="1105"/>
      <c r="AW102" s="1105"/>
      <c r="AX102" s="1105"/>
      <c r="AY102" s="1105"/>
      <c r="AZ102" s="1105"/>
      <c r="BA102" s="1105"/>
      <c r="BB102" s="1105"/>
      <c r="BC102" s="1105"/>
      <c r="BD102" s="1105"/>
      <c r="BE102" s="1105"/>
      <c r="BF102" s="1105"/>
      <c r="BG102" s="1105"/>
      <c r="BH102" s="1105"/>
      <c r="BI102" s="1105"/>
      <c r="BK102" s="1106"/>
      <c r="BL102" s="1106"/>
      <c r="BM102" s="1106"/>
      <c r="BN102" s="1106"/>
      <c r="BO102" s="1106"/>
      <c r="BP102" s="1106"/>
      <c r="BQ102" s="1106"/>
      <c r="BR102" s="1106"/>
      <c r="BS102" s="367"/>
      <c r="CL102" s="1106"/>
      <c r="CM102" s="1106"/>
      <c r="CN102" s="1106"/>
      <c r="CO102" s="1106"/>
      <c r="CP102" s="1106"/>
      <c r="CQ102" s="1106"/>
      <c r="CS102" s="1105"/>
      <c r="CT102" s="1105"/>
      <c r="CU102" s="1105"/>
      <c r="CV102" s="1105"/>
      <c r="CW102" s="1105"/>
      <c r="CX102" s="1105"/>
      <c r="CY102" s="1105"/>
      <c r="CZ102" s="1105"/>
      <c r="DA102" s="1105"/>
      <c r="DB102" s="1105"/>
      <c r="DC102" s="1105"/>
      <c r="DD102" s="1105"/>
      <c r="DE102" s="1105"/>
      <c r="DF102" s="1105"/>
      <c r="DG102" s="1105"/>
      <c r="DH102" s="1105"/>
      <c r="DI102" s="1105"/>
      <c r="DJ102" s="1105"/>
      <c r="DL102" s="1105"/>
      <c r="DM102" s="1105"/>
      <c r="DN102" s="1105"/>
      <c r="DO102" s="1105"/>
      <c r="DP102" s="1105"/>
      <c r="DQ102" s="1105"/>
      <c r="DR102" s="1105"/>
      <c r="DS102" s="1105"/>
      <c r="DT102" s="1105"/>
      <c r="DU102" s="1105"/>
      <c r="DV102" s="1105"/>
      <c r="DW102" s="1105"/>
      <c r="DX102" s="1105"/>
      <c r="DY102" s="1105"/>
      <c r="DZ102" s="1105"/>
      <c r="EA102" s="1105"/>
      <c r="EB102" s="1105"/>
      <c r="EC102" s="1105"/>
      <c r="EE102" s="1106"/>
      <c r="EF102" s="1106"/>
      <c r="EG102" s="1106"/>
      <c r="EH102" s="1106"/>
      <c r="EI102" s="1106"/>
      <c r="EJ102" s="1106"/>
      <c r="EK102" s="1106"/>
      <c r="EL102" s="1106"/>
    </row>
    <row r="103" spans="18:142" ht="3.75" customHeight="1" x14ac:dyDescent="0.25">
      <c r="R103" s="1106"/>
      <c r="S103" s="1106"/>
      <c r="T103" s="1106"/>
      <c r="U103" s="1106"/>
      <c r="V103" s="1106"/>
      <c r="W103" s="1106"/>
      <c r="Y103" s="1105"/>
      <c r="Z103" s="1105"/>
      <c r="AA103" s="1105"/>
      <c r="AB103" s="1105"/>
      <c r="AC103" s="1105"/>
      <c r="AD103" s="1105"/>
      <c r="AE103" s="1105"/>
      <c r="AF103" s="1105"/>
      <c r="AG103" s="1105"/>
      <c r="AH103" s="1105"/>
      <c r="AI103" s="1105"/>
      <c r="AJ103" s="1105"/>
      <c r="AK103" s="1105"/>
      <c r="AL103" s="1105"/>
      <c r="AM103" s="1105"/>
      <c r="AN103" s="1105"/>
      <c r="AO103" s="1105"/>
      <c r="AP103" s="1105"/>
      <c r="AR103" s="1105"/>
      <c r="AS103" s="1105"/>
      <c r="AT103" s="1105"/>
      <c r="AU103" s="1105"/>
      <c r="AV103" s="1105"/>
      <c r="AW103" s="1105"/>
      <c r="AX103" s="1105"/>
      <c r="AY103" s="1105"/>
      <c r="AZ103" s="1105"/>
      <c r="BA103" s="1105"/>
      <c r="BB103" s="1105"/>
      <c r="BC103" s="1105"/>
      <c r="BD103" s="1105"/>
      <c r="BE103" s="1105"/>
      <c r="BF103" s="1105"/>
      <c r="BG103" s="1105"/>
      <c r="BH103" s="1105"/>
      <c r="BI103" s="1105"/>
      <c r="BK103" s="1106" t="s">
        <v>590</v>
      </c>
      <c r="BL103" s="1106"/>
      <c r="BM103" s="1106"/>
      <c r="BN103" s="1106"/>
      <c r="BO103" s="1106" t="s">
        <v>589</v>
      </c>
      <c r="BP103" s="1106"/>
      <c r="BQ103" s="1106"/>
      <c r="BR103" s="1106"/>
      <c r="BS103" s="367"/>
      <c r="CL103" s="1106"/>
      <c r="CM103" s="1106"/>
      <c r="CN103" s="1106"/>
      <c r="CO103" s="1106"/>
      <c r="CP103" s="1106"/>
      <c r="CQ103" s="1106"/>
      <c r="CS103" s="1105"/>
      <c r="CT103" s="1105"/>
      <c r="CU103" s="1105"/>
      <c r="CV103" s="1105"/>
      <c r="CW103" s="1105"/>
      <c r="CX103" s="1105"/>
      <c r="CY103" s="1105"/>
      <c r="CZ103" s="1105"/>
      <c r="DA103" s="1105"/>
      <c r="DB103" s="1105"/>
      <c r="DC103" s="1105"/>
      <c r="DD103" s="1105"/>
      <c r="DE103" s="1105"/>
      <c r="DF103" s="1105"/>
      <c r="DG103" s="1105"/>
      <c r="DH103" s="1105"/>
      <c r="DI103" s="1105"/>
      <c r="DJ103" s="1105"/>
      <c r="DL103" s="1105"/>
      <c r="DM103" s="1105"/>
      <c r="DN103" s="1105"/>
      <c r="DO103" s="1105"/>
      <c r="DP103" s="1105"/>
      <c r="DQ103" s="1105"/>
      <c r="DR103" s="1105"/>
      <c r="DS103" s="1105"/>
      <c r="DT103" s="1105"/>
      <c r="DU103" s="1105"/>
      <c r="DV103" s="1105"/>
      <c r="DW103" s="1105"/>
      <c r="DX103" s="1105"/>
      <c r="DY103" s="1105"/>
      <c r="DZ103" s="1105"/>
      <c r="EA103" s="1105"/>
      <c r="EB103" s="1105"/>
      <c r="EC103" s="1105"/>
      <c r="EE103" s="1106" t="s">
        <v>590</v>
      </c>
      <c r="EF103" s="1106"/>
      <c r="EG103" s="1106"/>
      <c r="EH103" s="1106"/>
      <c r="EI103" s="1106" t="s">
        <v>589</v>
      </c>
      <c r="EJ103" s="1106"/>
      <c r="EK103" s="1106"/>
      <c r="EL103" s="1106"/>
    </row>
    <row r="104" spans="18:142" ht="3.75" customHeight="1" x14ac:dyDescent="0.25">
      <c r="R104" s="1106"/>
      <c r="S104" s="1106"/>
      <c r="T104" s="1106"/>
      <c r="U104" s="1106"/>
      <c r="V104" s="1106"/>
      <c r="W104" s="1106"/>
      <c r="Y104" s="1105"/>
      <c r="Z104" s="1105"/>
      <c r="AA104" s="1105"/>
      <c r="AB104" s="1105"/>
      <c r="AC104" s="1105"/>
      <c r="AD104" s="1105"/>
      <c r="AE104" s="1105"/>
      <c r="AF104" s="1105"/>
      <c r="AG104" s="1105"/>
      <c r="AH104" s="1105"/>
      <c r="AI104" s="1105"/>
      <c r="AJ104" s="1105"/>
      <c r="AK104" s="1105"/>
      <c r="AL104" s="1105"/>
      <c r="AM104" s="1105"/>
      <c r="AN104" s="1105"/>
      <c r="AO104" s="1105"/>
      <c r="AP104" s="1105"/>
      <c r="AR104" s="1105"/>
      <c r="AS104" s="1105"/>
      <c r="AT104" s="1105"/>
      <c r="AU104" s="1105"/>
      <c r="AV104" s="1105"/>
      <c r="AW104" s="1105"/>
      <c r="AX104" s="1105"/>
      <c r="AY104" s="1105"/>
      <c r="AZ104" s="1105"/>
      <c r="BA104" s="1105"/>
      <c r="BB104" s="1105"/>
      <c r="BC104" s="1105"/>
      <c r="BD104" s="1105"/>
      <c r="BE104" s="1105"/>
      <c r="BF104" s="1105"/>
      <c r="BG104" s="1105"/>
      <c r="BH104" s="1105"/>
      <c r="BI104" s="1105"/>
      <c r="BK104" s="1106"/>
      <c r="BL104" s="1106"/>
      <c r="BM104" s="1106"/>
      <c r="BN104" s="1106"/>
      <c r="BO104" s="1106"/>
      <c r="BP104" s="1106"/>
      <c r="BQ104" s="1106"/>
      <c r="BR104" s="1106"/>
      <c r="BS104" s="367"/>
      <c r="CL104" s="1106"/>
      <c r="CM104" s="1106"/>
      <c r="CN104" s="1106"/>
      <c r="CO104" s="1106"/>
      <c r="CP104" s="1106"/>
      <c r="CQ104" s="1106"/>
      <c r="CS104" s="1105"/>
      <c r="CT104" s="1105"/>
      <c r="CU104" s="1105"/>
      <c r="CV104" s="1105"/>
      <c r="CW104" s="1105"/>
      <c r="CX104" s="1105"/>
      <c r="CY104" s="1105"/>
      <c r="CZ104" s="1105"/>
      <c r="DA104" s="1105"/>
      <c r="DB104" s="1105"/>
      <c r="DC104" s="1105"/>
      <c r="DD104" s="1105"/>
      <c r="DE104" s="1105"/>
      <c r="DF104" s="1105"/>
      <c r="DG104" s="1105"/>
      <c r="DH104" s="1105"/>
      <c r="DI104" s="1105"/>
      <c r="DJ104" s="1105"/>
      <c r="DL104" s="1105"/>
      <c r="DM104" s="1105"/>
      <c r="DN104" s="1105"/>
      <c r="DO104" s="1105"/>
      <c r="DP104" s="1105"/>
      <c r="DQ104" s="1105"/>
      <c r="DR104" s="1105"/>
      <c r="DS104" s="1105"/>
      <c r="DT104" s="1105"/>
      <c r="DU104" s="1105"/>
      <c r="DV104" s="1105"/>
      <c r="DW104" s="1105"/>
      <c r="DX104" s="1105"/>
      <c r="DY104" s="1105"/>
      <c r="DZ104" s="1105"/>
      <c r="EA104" s="1105"/>
      <c r="EB104" s="1105"/>
      <c r="EC104" s="1105"/>
      <c r="EE104" s="1106"/>
      <c r="EF104" s="1106"/>
      <c r="EG104" s="1106"/>
      <c r="EH104" s="1106"/>
      <c r="EI104" s="1106"/>
      <c r="EJ104" s="1106"/>
      <c r="EK104" s="1106"/>
      <c r="EL104" s="1106"/>
    </row>
    <row r="105" spans="18:142" ht="3.75" customHeight="1" x14ac:dyDescent="0.25">
      <c r="R105" s="1106"/>
      <c r="S105" s="1106"/>
      <c r="T105" s="1106"/>
      <c r="U105" s="1106"/>
      <c r="V105" s="1106"/>
      <c r="W105" s="1106"/>
      <c r="Y105" s="1105"/>
      <c r="Z105" s="1105"/>
      <c r="AA105" s="1105"/>
      <c r="AB105" s="1105"/>
      <c r="AC105" s="1105"/>
      <c r="AD105" s="1105"/>
      <c r="AE105" s="1105"/>
      <c r="AF105" s="1105"/>
      <c r="AG105" s="1105"/>
      <c r="AH105" s="1105"/>
      <c r="AI105" s="1105"/>
      <c r="AJ105" s="1105"/>
      <c r="AK105" s="1105"/>
      <c r="AL105" s="1105"/>
      <c r="AM105" s="1105"/>
      <c r="AN105" s="1105"/>
      <c r="AO105" s="1105"/>
      <c r="AP105" s="1105"/>
      <c r="AR105" s="1105"/>
      <c r="AS105" s="1105"/>
      <c r="AT105" s="1105"/>
      <c r="AU105" s="1105"/>
      <c r="AV105" s="1105"/>
      <c r="AW105" s="1105"/>
      <c r="AX105" s="1105"/>
      <c r="AY105" s="1105"/>
      <c r="AZ105" s="1105"/>
      <c r="BA105" s="1105"/>
      <c r="BB105" s="1105"/>
      <c r="BC105" s="1105"/>
      <c r="BD105" s="1105"/>
      <c r="BE105" s="1105"/>
      <c r="BF105" s="1105"/>
      <c r="BG105" s="1105"/>
      <c r="BH105" s="1105"/>
      <c r="BI105" s="1105"/>
      <c r="BK105" s="1106"/>
      <c r="BL105" s="1106"/>
      <c r="BM105" s="1106"/>
      <c r="BN105" s="1106"/>
      <c r="BO105" s="1106"/>
      <c r="BP105" s="1106"/>
      <c r="BQ105" s="1106"/>
      <c r="BR105" s="1106"/>
      <c r="BS105" s="367"/>
      <c r="CL105" s="1106"/>
      <c r="CM105" s="1106"/>
      <c r="CN105" s="1106"/>
      <c r="CO105" s="1106"/>
      <c r="CP105" s="1106"/>
      <c r="CQ105" s="1106"/>
      <c r="CS105" s="1105"/>
      <c r="CT105" s="1105"/>
      <c r="CU105" s="1105"/>
      <c r="CV105" s="1105"/>
      <c r="CW105" s="1105"/>
      <c r="CX105" s="1105"/>
      <c r="CY105" s="1105"/>
      <c r="CZ105" s="1105"/>
      <c r="DA105" s="1105"/>
      <c r="DB105" s="1105"/>
      <c r="DC105" s="1105"/>
      <c r="DD105" s="1105"/>
      <c r="DE105" s="1105"/>
      <c r="DF105" s="1105"/>
      <c r="DG105" s="1105"/>
      <c r="DH105" s="1105"/>
      <c r="DI105" s="1105"/>
      <c r="DJ105" s="1105"/>
      <c r="DL105" s="1105"/>
      <c r="DM105" s="1105"/>
      <c r="DN105" s="1105"/>
      <c r="DO105" s="1105"/>
      <c r="DP105" s="1105"/>
      <c r="DQ105" s="1105"/>
      <c r="DR105" s="1105"/>
      <c r="DS105" s="1105"/>
      <c r="DT105" s="1105"/>
      <c r="DU105" s="1105"/>
      <c r="DV105" s="1105"/>
      <c r="DW105" s="1105"/>
      <c r="DX105" s="1105"/>
      <c r="DY105" s="1105"/>
      <c r="DZ105" s="1105"/>
      <c r="EA105" s="1105"/>
      <c r="EB105" s="1105"/>
      <c r="EC105" s="1105"/>
      <c r="EE105" s="1106"/>
      <c r="EF105" s="1106"/>
      <c r="EG105" s="1106"/>
      <c r="EH105" s="1106"/>
      <c r="EI105" s="1106"/>
      <c r="EJ105" s="1106"/>
      <c r="EK105" s="1106"/>
      <c r="EL105" s="1106"/>
    </row>
    <row r="106" spans="18:142" ht="3.75" customHeight="1" x14ac:dyDescent="0.25">
      <c r="R106" s="1106"/>
      <c r="S106" s="1106"/>
      <c r="T106" s="1106"/>
      <c r="U106" s="1106"/>
      <c r="V106" s="1106"/>
      <c r="W106" s="1106"/>
      <c r="Y106" s="1105"/>
      <c r="Z106" s="1105"/>
      <c r="AA106" s="1105"/>
      <c r="AB106" s="1105"/>
      <c r="AC106" s="1105"/>
      <c r="AD106" s="1105"/>
      <c r="AE106" s="1105"/>
      <c r="AF106" s="1105"/>
      <c r="AG106" s="1105"/>
      <c r="AH106" s="1105"/>
      <c r="AI106" s="1105"/>
      <c r="AJ106" s="1105"/>
      <c r="AK106" s="1105"/>
      <c r="AL106" s="1105"/>
      <c r="AM106" s="1105"/>
      <c r="AN106" s="1105"/>
      <c r="AO106" s="1105"/>
      <c r="AP106" s="1105"/>
      <c r="AR106" s="1105"/>
      <c r="AS106" s="1105"/>
      <c r="AT106" s="1105"/>
      <c r="AU106" s="1105"/>
      <c r="AV106" s="1105"/>
      <c r="AW106" s="1105"/>
      <c r="AX106" s="1105"/>
      <c r="AY106" s="1105"/>
      <c r="AZ106" s="1105"/>
      <c r="BA106" s="1105"/>
      <c r="BB106" s="1105"/>
      <c r="BC106" s="1105"/>
      <c r="BD106" s="1105"/>
      <c r="BE106" s="1105"/>
      <c r="BF106" s="1105"/>
      <c r="BG106" s="1105"/>
      <c r="BH106" s="1105"/>
      <c r="BI106" s="1105"/>
      <c r="BK106" s="1106"/>
      <c r="BL106" s="1106"/>
      <c r="BM106" s="1106"/>
      <c r="BN106" s="1106"/>
      <c r="BO106" s="1106"/>
      <c r="BP106" s="1106"/>
      <c r="BQ106" s="1106"/>
      <c r="BR106" s="1106"/>
      <c r="BS106" s="367"/>
      <c r="CL106" s="1106"/>
      <c r="CM106" s="1106"/>
      <c r="CN106" s="1106"/>
      <c r="CO106" s="1106"/>
      <c r="CP106" s="1106"/>
      <c r="CQ106" s="1106"/>
      <c r="CS106" s="1105"/>
      <c r="CT106" s="1105"/>
      <c r="CU106" s="1105"/>
      <c r="CV106" s="1105"/>
      <c r="CW106" s="1105"/>
      <c r="CX106" s="1105"/>
      <c r="CY106" s="1105"/>
      <c r="CZ106" s="1105"/>
      <c r="DA106" s="1105"/>
      <c r="DB106" s="1105"/>
      <c r="DC106" s="1105"/>
      <c r="DD106" s="1105"/>
      <c r="DE106" s="1105"/>
      <c r="DF106" s="1105"/>
      <c r="DG106" s="1105"/>
      <c r="DH106" s="1105"/>
      <c r="DI106" s="1105"/>
      <c r="DJ106" s="1105"/>
      <c r="DL106" s="1105"/>
      <c r="DM106" s="1105"/>
      <c r="DN106" s="1105"/>
      <c r="DO106" s="1105"/>
      <c r="DP106" s="1105"/>
      <c r="DQ106" s="1105"/>
      <c r="DR106" s="1105"/>
      <c r="DS106" s="1105"/>
      <c r="DT106" s="1105"/>
      <c r="DU106" s="1105"/>
      <c r="DV106" s="1105"/>
      <c r="DW106" s="1105"/>
      <c r="DX106" s="1105"/>
      <c r="DY106" s="1105"/>
      <c r="DZ106" s="1105"/>
      <c r="EA106" s="1105"/>
      <c r="EB106" s="1105"/>
      <c r="EC106" s="1105"/>
      <c r="EE106" s="1106"/>
      <c r="EF106" s="1106"/>
      <c r="EG106" s="1106"/>
      <c r="EH106" s="1106"/>
      <c r="EI106" s="1106"/>
      <c r="EJ106" s="1106"/>
      <c r="EK106" s="1106"/>
      <c r="EL106" s="1106"/>
    </row>
    <row r="107" spans="18:142" ht="3.75" customHeight="1" x14ac:dyDescent="0.25">
      <c r="R107" s="1106"/>
      <c r="S107" s="1106"/>
      <c r="T107" s="1106"/>
      <c r="U107" s="1106"/>
      <c r="V107" s="1106"/>
      <c r="W107" s="1106"/>
      <c r="Y107" s="1105"/>
      <c r="Z107" s="1105"/>
      <c r="AA107" s="1105"/>
      <c r="AB107" s="1105"/>
      <c r="AC107" s="1105"/>
      <c r="AD107" s="1105"/>
      <c r="AE107" s="1105"/>
      <c r="AF107" s="1105"/>
      <c r="AG107" s="1105"/>
      <c r="AH107" s="1105"/>
      <c r="AI107" s="1105"/>
      <c r="AJ107" s="1105"/>
      <c r="AK107" s="1105"/>
      <c r="AL107" s="1105"/>
      <c r="AM107" s="1105"/>
      <c r="AN107" s="1105"/>
      <c r="AO107" s="1105"/>
      <c r="AP107" s="1105"/>
      <c r="AR107" s="1105"/>
      <c r="AS107" s="1105"/>
      <c r="AT107" s="1105"/>
      <c r="AU107" s="1105"/>
      <c r="AV107" s="1105"/>
      <c r="AW107" s="1105"/>
      <c r="AX107" s="1105"/>
      <c r="AY107" s="1105"/>
      <c r="AZ107" s="1105"/>
      <c r="BA107" s="1105"/>
      <c r="BB107" s="1105"/>
      <c r="BC107" s="1105"/>
      <c r="BD107" s="1105"/>
      <c r="BE107" s="1105"/>
      <c r="BF107" s="1105"/>
      <c r="BG107" s="1105"/>
      <c r="BH107" s="1105"/>
      <c r="BI107" s="1105"/>
      <c r="BK107" s="1106"/>
      <c r="BL107" s="1106"/>
      <c r="BM107" s="1106"/>
      <c r="BN107" s="1106"/>
      <c r="BO107" s="1106"/>
      <c r="BP107" s="1106"/>
      <c r="BQ107" s="1106"/>
      <c r="BR107" s="1106"/>
      <c r="BS107" s="367"/>
      <c r="CL107" s="1106"/>
      <c r="CM107" s="1106"/>
      <c r="CN107" s="1106"/>
      <c r="CO107" s="1106"/>
      <c r="CP107" s="1106"/>
      <c r="CQ107" s="1106"/>
      <c r="CS107" s="1105"/>
      <c r="CT107" s="1105"/>
      <c r="CU107" s="1105"/>
      <c r="CV107" s="1105"/>
      <c r="CW107" s="1105"/>
      <c r="CX107" s="1105"/>
      <c r="CY107" s="1105"/>
      <c r="CZ107" s="1105"/>
      <c r="DA107" s="1105"/>
      <c r="DB107" s="1105"/>
      <c r="DC107" s="1105"/>
      <c r="DD107" s="1105"/>
      <c r="DE107" s="1105"/>
      <c r="DF107" s="1105"/>
      <c r="DG107" s="1105"/>
      <c r="DH107" s="1105"/>
      <c r="DI107" s="1105"/>
      <c r="DJ107" s="1105"/>
      <c r="DL107" s="1105"/>
      <c r="DM107" s="1105"/>
      <c r="DN107" s="1105"/>
      <c r="DO107" s="1105"/>
      <c r="DP107" s="1105"/>
      <c r="DQ107" s="1105"/>
      <c r="DR107" s="1105"/>
      <c r="DS107" s="1105"/>
      <c r="DT107" s="1105"/>
      <c r="DU107" s="1105"/>
      <c r="DV107" s="1105"/>
      <c r="DW107" s="1105"/>
      <c r="DX107" s="1105"/>
      <c r="DY107" s="1105"/>
      <c r="DZ107" s="1105"/>
      <c r="EA107" s="1105"/>
      <c r="EB107" s="1105"/>
      <c r="EC107" s="1105"/>
      <c r="EE107" s="1106"/>
      <c r="EF107" s="1106"/>
      <c r="EG107" s="1106"/>
      <c r="EH107" s="1106"/>
      <c r="EI107" s="1106"/>
      <c r="EJ107" s="1106"/>
      <c r="EK107" s="1106"/>
      <c r="EL107" s="1106"/>
    </row>
    <row r="108" spans="18:142" ht="3.75" customHeight="1" x14ac:dyDescent="0.25">
      <c r="R108" s="1106"/>
      <c r="S108" s="1106"/>
      <c r="T108" s="1106"/>
      <c r="U108" s="1106"/>
      <c r="V108" s="1106"/>
      <c r="W108" s="1106"/>
      <c r="Y108" s="1105"/>
      <c r="Z108" s="1105"/>
      <c r="AA108" s="1105"/>
      <c r="AB108" s="1105"/>
      <c r="AC108" s="1105"/>
      <c r="AD108" s="1105"/>
      <c r="AE108" s="1105"/>
      <c r="AF108" s="1105"/>
      <c r="AG108" s="1105"/>
      <c r="AH108" s="1105"/>
      <c r="AI108" s="1105"/>
      <c r="AJ108" s="1105"/>
      <c r="AK108" s="1105"/>
      <c r="AL108" s="1105"/>
      <c r="AM108" s="1105"/>
      <c r="AN108" s="1105"/>
      <c r="AO108" s="1105"/>
      <c r="AP108" s="1105"/>
      <c r="AR108" s="1105"/>
      <c r="AS108" s="1105"/>
      <c r="AT108" s="1105"/>
      <c r="AU108" s="1105"/>
      <c r="AV108" s="1105"/>
      <c r="AW108" s="1105"/>
      <c r="AX108" s="1105"/>
      <c r="AY108" s="1105"/>
      <c r="AZ108" s="1105"/>
      <c r="BA108" s="1105"/>
      <c r="BB108" s="1105"/>
      <c r="BC108" s="1105"/>
      <c r="BD108" s="1105"/>
      <c r="BE108" s="1105"/>
      <c r="BF108" s="1105"/>
      <c r="BG108" s="1105"/>
      <c r="BH108" s="1105"/>
      <c r="BI108" s="1105"/>
      <c r="BK108" s="1106"/>
      <c r="BL108" s="1106"/>
      <c r="BM108" s="1106"/>
      <c r="BN108" s="1106"/>
      <c r="BO108" s="1106"/>
      <c r="BP108" s="1106"/>
      <c r="BQ108" s="1106"/>
      <c r="BR108" s="1106"/>
      <c r="BS108" s="367"/>
      <c r="CL108" s="1106"/>
      <c r="CM108" s="1106"/>
      <c r="CN108" s="1106"/>
      <c r="CO108" s="1106"/>
      <c r="CP108" s="1106"/>
      <c r="CQ108" s="1106"/>
      <c r="CS108" s="1105"/>
      <c r="CT108" s="1105"/>
      <c r="CU108" s="1105"/>
      <c r="CV108" s="1105"/>
      <c r="CW108" s="1105"/>
      <c r="CX108" s="1105"/>
      <c r="CY108" s="1105"/>
      <c r="CZ108" s="1105"/>
      <c r="DA108" s="1105"/>
      <c r="DB108" s="1105"/>
      <c r="DC108" s="1105"/>
      <c r="DD108" s="1105"/>
      <c r="DE108" s="1105"/>
      <c r="DF108" s="1105"/>
      <c r="DG108" s="1105"/>
      <c r="DH108" s="1105"/>
      <c r="DI108" s="1105"/>
      <c r="DJ108" s="1105"/>
      <c r="DL108" s="1105"/>
      <c r="DM108" s="1105"/>
      <c r="DN108" s="1105"/>
      <c r="DO108" s="1105"/>
      <c r="DP108" s="1105"/>
      <c r="DQ108" s="1105"/>
      <c r="DR108" s="1105"/>
      <c r="DS108" s="1105"/>
      <c r="DT108" s="1105"/>
      <c r="DU108" s="1105"/>
      <c r="DV108" s="1105"/>
      <c r="DW108" s="1105"/>
      <c r="DX108" s="1105"/>
      <c r="DY108" s="1105"/>
      <c r="DZ108" s="1105"/>
      <c r="EA108" s="1105"/>
      <c r="EB108" s="1105"/>
      <c r="EC108" s="1105"/>
      <c r="EE108" s="1106"/>
      <c r="EF108" s="1106"/>
      <c r="EG108" s="1106"/>
      <c r="EH108" s="1106"/>
      <c r="EI108" s="1106"/>
      <c r="EJ108" s="1106"/>
      <c r="EK108" s="1106"/>
      <c r="EL108" s="1106"/>
    </row>
    <row r="109" spans="18:142" ht="3.75" customHeight="1" x14ac:dyDescent="0.25">
      <c r="R109" s="1106"/>
      <c r="S109" s="1106"/>
      <c r="T109" s="1106"/>
      <c r="U109" s="1106"/>
      <c r="V109" s="1106"/>
      <c r="W109" s="1106"/>
      <c r="Y109" s="1105"/>
      <c r="Z109" s="1105"/>
      <c r="AA109" s="1105"/>
      <c r="AB109" s="1105"/>
      <c r="AC109" s="1105"/>
      <c r="AD109" s="1105"/>
      <c r="AE109" s="1105"/>
      <c r="AF109" s="1105"/>
      <c r="AG109" s="1105"/>
      <c r="AH109" s="1105"/>
      <c r="AI109" s="1105"/>
      <c r="AJ109" s="1105"/>
      <c r="AK109" s="1105"/>
      <c r="AL109" s="1105"/>
      <c r="AM109" s="1105"/>
      <c r="AN109" s="1105"/>
      <c r="AO109" s="1105"/>
      <c r="AP109" s="1105"/>
      <c r="AR109" s="1105"/>
      <c r="AS109" s="1105"/>
      <c r="AT109" s="1105"/>
      <c r="AU109" s="1105"/>
      <c r="AV109" s="1105"/>
      <c r="AW109" s="1105"/>
      <c r="AX109" s="1105"/>
      <c r="AY109" s="1105"/>
      <c r="AZ109" s="1105"/>
      <c r="BA109" s="1105"/>
      <c r="BB109" s="1105"/>
      <c r="BC109" s="1105"/>
      <c r="BD109" s="1105"/>
      <c r="BE109" s="1105"/>
      <c r="BF109" s="1105"/>
      <c r="BG109" s="1105"/>
      <c r="BH109" s="1105"/>
      <c r="BI109" s="1105"/>
      <c r="BK109" s="1106" t="s">
        <v>590</v>
      </c>
      <c r="BL109" s="1106"/>
      <c r="BM109" s="1106"/>
      <c r="BN109" s="1106"/>
      <c r="BO109" s="1106" t="s">
        <v>589</v>
      </c>
      <c r="BP109" s="1106"/>
      <c r="BQ109" s="1106"/>
      <c r="BR109" s="1106"/>
      <c r="BS109" s="367"/>
      <c r="CL109" s="1106"/>
      <c r="CM109" s="1106"/>
      <c r="CN109" s="1106"/>
      <c r="CO109" s="1106"/>
      <c r="CP109" s="1106"/>
      <c r="CQ109" s="1106"/>
      <c r="CS109" s="1105"/>
      <c r="CT109" s="1105"/>
      <c r="CU109" s="1105"/>
      <c r="CV109" s="1105"/>
      <c r="CW109" s="1105"/>
      <c r="CX109" s="1105"/>
      <c r="CY109" s="1105"/>
      <c r="CZ109" s="1105"/>
      <c r="DA109" s="1105"/>
      <c r="DB109" s="1105"/>
      <c r="DC109" s="1105"/>
      <c r="DD109" s="1105"/>
      <c r="DE109" s="1105"/>
      <c r="DF109" s="1105"/>
      <c r="DG109" s="1105"/>
      <c r="DH109" s="1105"/>
      <c r="DI109" s="1105"/>
      <c r="DJ109" s="1105"/>
      <c r="DL109" s="1105"/>
      <c r="DM109" s="1105"/>
      <c r="DN109" s="1105"/>
      <c r="DO109" s="1105"/>
      <c r="DP109" s="1105"/>
      <c r="DQ109" s="1105"/>
      <c r="DR109" s="1105"/>
      <c r="DS109" s="1105"/>
      <c r="DT109" s="1105"/>
      <c r="DU109" s="1105"/>
      <c r="DV109" s="1105"/>
      <c r="DW109" s="1105"/>
      <c r="DX109" s="1105"/>
      <c r="DY109" s="1105"/>
      <c r="DZ109" s="1105"/>
      <c r="EA109" s="1105"/>
      <c r="EB109" s="1105"/>
      <c r="EC109" s="1105"/>
      <c r="EE109" s="1106" t="s">
        <v>590</v>
      </c>
      <c r="EF109" s="1106"/>
      <c r="EG109" s="1106"/>
      <c r="EH109" s="1106"/>
      <c r="EI109" s="1106" t="s">
        <v>589</v>
      </c>
      <c r="EJ109" s="1106"/>
      <c r="EK109" s="1106"/>
      <c r="EL109" s="1106"/>
    </row>
    <row r="110" spans="18:142" ht="3.75" customHeight="1" x14ac:dyDescent="0.25">
      <c r="R110" s="1106"/>
      <c r="S110" s="1106"/>
      <c r="T110" s="1106"/>
      <c r="U110" s="1106"/>
      <c r="V110" s="1106"/>
      <c r="W110" s="1106"/>
      <c r="Y110" s="1105"/>
      <c r="Z110" s="1105"/>
      <c r="AA110" s="1105"/>
      <c r="AB110" s="1105"/>
      <c r="AC110" s="1105"/>
      <c r="AD110" s="1105"/>
      <c r="AE110" s="1105"/>
      <c r="AF110" s="1105"/>
      <c r="AG110" s="1105"/>
      <c r="AH110" s="1105"/>
      <c r="AI110" s="1105"/>
      <c r="AJ110" s="1105"/>
      <c r="AK110" s="1105"/>
      <c r="AL110" s="1105"/>
      <c r="AM110" s="1105"/>
      <c r="AN110" s="1105"/>
      <c r="AO110" s="1105"/>
      <c r="AP110" s="1105"/>
      <c r="AR110" s="1105"/>
      <c r="AS110" s="1105"/>
      <c r="AT110" s="1105"/>
      <c r="AU110" s="1105"/>
      <c r="AV110" s="1105"/>
      <c r="AW110" s="1105"/>
      <c r="AX110" s="1105"/>
      <c r="AY110" s="1105"/>
      <c r="AZ110" s="1105"/>
      <c r="BA110" s="1105"/>
      <c r="BB110" s="1105"/>
      <c r="BC110" s="1105"/>
      <c r="BD110" s="1105"/>
      <c r="BE110" s="1105"/>
      <c r="BF110" s="1105"/>
      <c r="BG110" s="1105"/>
      <c r="BH110" s="1105"/>
      <c r="BI110" s="1105"/>
      <c r="BK110" s="1106"/>
      <c r="BL110" s="1106"/>
      <c r="BM110" s="1106"/>
      <c r="BN110" s="1106"/>
      <c r="BO110" s="1106"/>
      <c r="BP110" s="1106"/>
      <c r="BQ110" s="1106"/>
      <c r="BR110" s="1106"/>
      <c r="BS110" s="367"/>
      <c r="CL110" s="1106"/>
      <c r="CM110" s="1106"/>
      <c r="CN110" s="1106"/>
      <c r="CO110" s="1106"/>
      <c r="CP110" s="1106"/>
      <c r="CQ110" s="1106"/>
      <c r="CS110" s="1105"/>
      <c r="CT110" s="1105"/>
      <c r="CU110" s="1105"/>
      <c r="CV110" s="1105"/>
      <c r="CW110" s="1105"/>
      <c r="CX110" s="1105"/>
      <c r="CY110" s="1105"/>
      <c r="CZ110" s="1105"/>
      <c r="DA110" s="1105"/>
      <c r="DB110" s="1105"/>
      <c r="DC110" s="1105"/>
      <c r="DD110" s="1105"/>
      <c r="DE110" s="1105"/>
      <c r="DF110" s="1105"/>
      <c r="DG110" s="1105"/>
      <c r="DH110" s="1105"/>
      <c r="DI110" s="1105"/>
      <c r="DJ110" s="1105"/>
      <c r="DL110" s="1105"/>
      <c r="DM110" s="1105"/>
      <c r="DN110" s="1105"/>
      <c r="DO110" s="1105"/>
      <c r="DP110" s="1105"/>
      <c r="DQ110" s="1105"/>
      <c r="DR110" s="1105"/>
      <c r="DS110" s="1105"/>
      <c r="DT110" s="1105"/>
      <c r="DU110" s="1105"/>
      <c r="DV110" s="1105"/>
      <c r="DW110" s="1105"/>
      <c r="DX110" s="1105"/>
      <c r="DY110" s="1105"/>
      <c r="DZ110" s="1105"/>
      <c r="EA110" s="1105"/>
      <c r="EB110" s="1105"/>
      <c r="EC110" s="1105"/>
      <c r="EE110" s="1106"/>
      <c r="EF110" s="1106"/>
      <c r="EG110" s="1106"/>
      <c r="EH110" s="1106"/>
      <c r="EI110" s="1106"/>
      <c r="EJ110" s="1106"/>
      <c r="EK110" s="1106"/>
      <c r="EL110" s="1106"/>
    </row>
    <row r="111" spans="18:142" ht="3.75" customHeight="1" x14ac:dyDescent="0.25">
      <c r="R111" s="1106"/>
      <c r="S111" s="1106"/>
      <c r="T111" s="1106"/>
      <c r="U111" s="1106"/>
      <c r="V111" s="1106"/>
      <c r="W111" s="1106"/>
      <c r="Y111" s="1105"/>
      <c r="Z111" s="1105"/>
      <c r="AA111" s="1105"/>
      <c r="AB111" s="1105"/>
      <c r="AC111" s="1105"/>
      <c r="AD111" s="1105"/>
      <c r="AE111" s="1105"/>
      <c r="AF111" s="1105"/>
      <c r="AG111" s="1105"/>
      <c r="AH111" s="1105"/>
      <c r="AI111" s="1105"/>
      <c r="AJ111" s="1105"/>
      <c r="AK111" s="1105"/>
      <c r="AL111" s="1105"/>
      <c r="AM111" s="1105"/>
      <c r="AN111" s="1105"/>
      <c r="AO111" s="1105"/>
      <c r="AP111" s="1105"/>
      <c r="AR111" s="1105"/>
      <c r="AS111" s="1105"/>
      <c r="AT111" s="1105"/>
      <c r="AU111" s="1105"/>
      <c r="AV111" s="1105"/>
      <c r="AW111" s="1105"/>
      <c r="AX111" s="1105"/>
      <c r="AY111" s="1105"/>
      <c r="AZ111" s="1105"/>
      <c r="BA111" s="1105"/>
      <c r="BB111" s="1105"/>
      <c r="BC111" s="1105"/>
      <c r="BD111" s="1105"/>
      <c r="BE111" s="1105"/>
      <c r="BF111" s="1105"/>
      <c r="BG111" s="1105"/>
      <c r="BH111" s="1105"/>
      <c r="BI111" s="1105"/>
      <c r="BK111" s="1106"/>
      <c r="BL111" s="1106"/>
      <c r="BM111" s="1106"/>
      <c r="BN111" s="1106"/>
      <c r="BO111" s="1106"/>
      <c r="BP111" s="1106"/>
      <c r="BQ111" s="1106"/>
      <c r="BR111" s="1106"/>
      <c r="BS111" s="367"/>
      <c r="CL111" s="1106"/>
      <c r="CM111" s="1106"/>
      <c r="CN111" s="1106"/>
      <c r="CO111" s="1106"/>
      <c r="CP111" s="1106"/>
      <c r="CQ111" s="1106"/>
      <c r="CS111" s="1105"/>
      <c r="CT111" s="1105"/>
      <c r="CU111" s="1105"/>
      <c r="CV111" s="1105"/>
      <c r="CW111" s="1105"/>
      <c r="CX111" s="1105"/>
      <c r="CY111" s="1105"/>
      <c r="CZ111" s="1105"/>
      <c r="DA111" s="1105"/>
      <c r="DB111" s="1105"/>
      <c r="DC111" s="1105"/>
      <c r="DD111" s="1105"/>
      <c r="DE111" s="1105"/>
      <c r="DF111" s="1105"/>
      <c r="DG111" s="1105"/>
      <c r="DH111" s="1105"/>
      <c r="DI111" s="1105"/>
      <c r="DJ111" s="1105"/>
      <c r="DL111" s="1105"/>
      <c r="DM111" s="1105"/>
      <c r="DN111" s="1105"/>
      <c r="DO111" s="1105"/>
      <c r="DP111" s="1105"/>
      <c r="DQ111" s="1105"/>
      <c r="DR111" s="1105"/>
      <c r="DS111" s="1105"/>
      <c r="DT111" s="1105"/>
      <c r="DU111" s="1105"/>
      <c r="DV111" s="1105"/>
      <c r="DW111" s="1105"/>
      <c r="DX111" s="1105"/>
      <c r="DY111" s="1105"/>
      <c r="DZ111" s="1105"/>
      <c r="EA111" s="1105"/>
      <c r="EB111" s="1105"/>
      <c r="EC111" s="1105"/>
      <c r="EE111" s="1106"/>
      <c r="EF111" s="1106"/>
      <c r="EG111" s="1106"/>
      <c r="EH111" s="1106"/>
      <c r="EI111" s="1106"/>
      <c r="EJ111" s="1106"/>
      <c r="EK111" s="1106"/>
      <c r="EL111" s="1106"/>
    </row>
    <row r="112" spans="18:142" ht="3.75" customHeight="1" x14ac:dyDescent="0.25">
      <c r="R112" s="1106"/>
      <c r="S112" s="1106"/>
      <c r="T112" s="1106"/>
      <c r="U112" s="1106"/>
      <c r="V112" s="1106"/>
      <c r="W112" s="1106"/>
      <c r="Y112" s="1105"/>
      <c r="Z112" s="1105"/>
      <c r="AA112" s="1105"/>
      <c r="AB112" s="1105"/>
      <c r="AC112" s="1105"/>
      <c r="AD112" s="1105"/>
      <c r="AE112" s="1105"/>
      <c r="AF112" s="1105"/>
      <c r="AG112" s="1105"/>
      <c r="AH112" s="1105"/>
      <c r="AI112" s="1105"/>
      <c r="AJ112" s="1105"/>
      <c r="AK112" s="1105"/>
      <c r="AL112" s="1105"/>
      <c r="AM112" s="1105"/>
      <c r="AN112" s="1105"/>
      <c r="AO112" s="1105"/>
      <c r="AP112" s="1105"/>
      <c r="AR112" s="1105"/>
      <c r="AS112" s="1105"/>
      <c r="AT112" s="1105"/>
      <c r="AU112" s="1105"/>
      <c r="AV112" s="1105"/>
      <c r="AW112" s="1105"/>
      <c r="AX112" s="1105"/>
      <c r="AY112" s="1105"/>
      <c r="AZ112" s="1105"/>
      <c r="BA112" s="1105"/>
      <c r="BB112" s="1105"/>
      <c r="BC112" s="1105"/>
      <c r="BD112" s="1105"/>
      <c r="BE112" s="1105"/>
      <c r="BF112" s="1105"/>
      <c r="BG112" s="1105"/>
      <c r="BH112" s="1105"/>
      <c r="BI112" s="1105"/>
      <c r="BK112" s="1106"/>
      <c r="BL112" s="1106"/>
      <c r="BM112" s="1106"/>
      <c r="BN112" s="1106"/>
      <c r="BO112" s="1106"/>
      <c r="BP112" s="1106"/>
      <c r="BQ112" s="1106"/>
      <c r="BR112" s="1106"/>
      <c r="BS112" s="367"/>
      <c r="CL112" s="1106"/>
      <c r="CM112" s="1106"/>
      <c r="CN112" s="1106"/>
      <c r="CO112" s="1106"/>
      <c r="CP112" s="1106"/>
      <c r="CQ112" s="1106"/>
      <c r="CS112" s="1105"/>
      <c r="CT112" s="1105"/>
      <c r="CU112" s="1105"/>
      <c r="CV112" s="1105"/>
      <c r="CW112" s="1105"/>
      <c r="CX112" s="1105"/>
      <c r="CY112" s="1105"/>
      <c r="CZ112" s="1105"/>
      <c r="DA112" s="1105"/>
      <c r="DB112" s="1105"/>
      <c r="DC112" s="1105"/>
      <c r="DD112" s="1105"/>
      <c r="DE112" s="1105"/>
      <c r="DF112" s="1105"/>
      <c r="DG112" s="1105"/>
      <c r="DH112" s="1105"/>
      <c r="DI112" s="1105"/>
      <c r="DJ112" s="1105"/>
      <c r="DL112" s="1105"/>
      <c r="DM112" s="1105"/>
      <c r="DN112" s="1105"/>
      <c r="DO112" s="1105"/>
      <c r="DP112" s="1105"/>
      <c r="DQ112" s="1105"/>
      <c r="DR112" s="1105"/>
      <c r="DS112" s="1105"/>
      <c r="DT112" s="1105"/>
      <c r="DU112" s="1105"/>
      <c r="DV112" s="1105"/>
      <c r="DW112" s="1105"/>
      <c r="DX112" s="1105"/>
      <c r="DY112" s="1105"/>
      <c r="DZ112" s="1105"/>
      <c r="EA112" s="1105"/>
      <c r="EB112" s="1105"/>
      <c r="EC112" s="1105"/>
      <c r="EE112" s="1106"/>
      <c r="EF112" s="1106"/>
      <c r="EG112" s="1106"/>
      <c r="EH112" s="1106"/>
      <c r="EI112" s="1106"/>
      <c r="EJ112" s="1106"/>
      <c r="EK112" s="1106"/>
      <c r="EL112" s="1106"/>
    </row>
    <row r="113" spans="1:142" ht="3.75" customHeight="1" x14ac:dyDescent="0.25">
      <c r="R113" s="1106"/>
      <c r="S113" s="1106"/>
      <c r="T113" s="1106"/>
      <c r="U113" s="1106"/>
      <c r="V113" s="1106"/>
      <c r="W113" s="1106"/>
      <c r="Y113" s="1105"/>
      <c r="Z113" s="1105"/>
      <c r="AA113" s="1105"/>
      <c r="AB113" s="1105"/>
      <c r="AC113" s="1105"/>
      <c r="AD113" s="1105"/>
      <c r="AE113" s="1105"/>
      <c r="AF113" s="1105"/>
      <c r="AG113" s="1105"/>
      <c r="AH113" s="1105"/>
      <c r="AI113" s="1105"/>
      <c r="AJ113" s="1105"/>
      <c r="AK113" s="1105"/>
      <c r="AL113" s="1105"/>
      <c r="AM113" s="1105"/>
      <c r="AN113" s="1105"/>
      <c r="AO113" s="1105"/>
      <c r="AP113" s="1105"/>
      <c r="AR113" s="1105"/>
      <c r="AS113" s="1105"/>
      <c r="AT113" s="1105"/>
      <c r="AU113" s="1105"/>
      <c r="AV113" s="1105"/>
      <c r="AW113" s="1105"/>
      <c r="AX113" s="1105"/>
      <c r="AY113" s="1105"/>
      <c r="AZ113" s="1105"/>
      <c r="BA113" s="1105"/>
      <c r="BB113" s="1105"/>
      <c r="BC113" s="1105"/>
      <c r="BD113" s="1105"/>
      <c r="BE113" s="1105"/>
      <c r="BF113" s="1105"/>
      <c r="BG113" s="1105"/>
      <c r="BH113" s="1105"/>
      <c r="BI113" s="1105"/>
      <c r="BK113" s="1106"/>
      <c r="BL113" s="1106"/>
      <c r="BM113" s="1106"/>
      <c r="BN113" s="1106"/>
      <c r="BO113" s="1106"/>
      <c r="BP113" s="1106"/>
      <c r="BQ113" s="1106"/>
      <c r="BR113" s="1106"/>
      <c r="BS113" s="367"/>
      <c r="CL113" s="1106"/>
      <c r="CM113" s="1106"/>
      <c r="CN113" s="1106"/>
      <c r="CO113" s="1106"/>
      <c r="CP113" s="1106"/>
      <c r="CQ113" s="1106"/>
      <c r="CS113" s="1105"/>
      <c r="CT113" s="1105"/>
      <c r="CU113" s="1105"/>
      <c r="CV113" s="1105"/>
      <c r="CW113" s="1105"/>
      <c r="CX113" s="1105"/>
      <c r="CY113" s="1105"/>
      <c r="CZ113" s="1105"/>
      <c r="DA113" s="1105"/>
      <c r="DB113" s="1105"/>
      <c r="DC113" s="1105"/>
      <c r="DD113" s="1105"/>
      <c r="DE113" s="1105"/>
      <c r="DF113" s="1105"/>
      <c r="DG113" s="1105"/>
      <c r="DH113" s="1105"/>
      <c r="DI113" s="1105"/>
      <c r="DJ113" s="1105"/>
      <c r="DL113" s="1105"/>
      <c r="DM113" s="1105"/>
      <c r="DN113" s="1105"/>
      <c r="DO113" s="1105"/>
      <c r="DP113" s="1105"/>
      <c r="DQ113" s="1105"/>
      <c r="DR113" s="1105"/>
      <c r="DS113" s="1105"/>
      <c r="DT113" s="1105"/>
      <c r="DU113" s="1105"/>
      <c r="DV113" s="1105"/>
      <c r="DW113" s="1105"/>
      <c r="DX113" s="1105"/>
      <c r="DY113" s="1105"/>
      <c r="DZ113" s="1105"/>
      <c r="EA113" s="1105"/>
      <c r="EB113" s="1105"/>
      <c r="EC113" s="1105"/>
      <c r="EE113" s="1106"/>
      <c r="EF113" s="1106"/>
      <c r="EG113" s="1106"/>
      <c r="EH113" s="1106"/>
      <c r="EI113" s="1106"/>
      <c r="EJ113" s="1106"/>
      <c r="EK113" s="1106"/>
      <c r="EL113" s="1106"/>
    </row>
    <row r="114" spans="1:142" ht="3.75" customHeight="1" x14ac:dyDescent="0.25">
      <c r="R114" s="1106"/>
      <c r="S114" s="1106"/>
      <c r="T114" s="1106"/>
      <c r="U114" s="1106"/>
      <c r="V114" s="1106"/>
      <c r="W114" s="1106"/>
      <c r="Y114" s="1105"/>
      <c r="Z114" s="1105"/>
      <c r="AA114" s="1105"/>
      <c r="AB114" s="1105"/>
      <c r="AC114" s="1105"/>
      <c r="AD114" s="1105"/>
      <c r="AE114" s="1105"/>
      <c r="AF114" s="1105"/>
      <c r="AG114" s="1105"/>
      <c r="AH114" s="1105"/>
      <c r="AI114" s="1105"/>
      <c r="AJ114" s="1105"/>
      <c r="AK114" s="1105"/>
      <c r="AL114" s="1105"/>
      <c r="AM114" s="1105"/>
      <c r="AN114" s="1105"/>
      <c r="AO114" s="1105"/>
      <c r="AP114" s="1105"/>
      <c r="AR114" s="1105"/>
      <c r="AS114" s="1105"/>
      <c r="AT114" s="1105"/>
      <c r="AU114" s="1105"/>
      <c r="AV114" s="1105"/>
      <c r="AW114" s="1105"/>
      <c r="AX114" s="1105"/>
      <c r="AY114" s="1105"/>
      <c r="AZ114" s="1105"/>
      <c r="BA114" s="1105"/>
      <c r="BB114" s="1105"/>
      <c r="BC114" s="1105"/>
      <c r="BD114" s="1105"/>
      <c r="BE114" s="1105"/>
      <c r="BF114" s="1105"/>
      <c r="BG114" s="1105"/>
      <c r="BH114" s="1105"/>
      <c r="BI114" s="1105"/>
      <c r="BK114" s="1106"/>
      <c r="BL114" s="1106"/>
      <c r="BM114" s="1106"/>
      <c r="BN114" s="1106"/>
      <c r="BO114" s="1106"/>
      <c r="BP114" s="1106"/>
      <c r="BQ114" s="1106"/>
      <c r="BR114" s="1106"/>
      <c r="BS114" s="367"/>
      <c r="CL114" s="1106"/>
      <c r="CM114" s="1106"/>
      <c r="CN114" s="1106"/>
      <c r="CO114" s="1106"/>
      <c r="CP114" s="1106"/>
      <c r="CQ114" s="1106"/>
      <c r="CS114" s="1105"/>
      <c r="CT114" s="1105"/>
      <c r="CU114" s="1105"/>
      <c r="CV114" s="1105"/>
      <c r="CW114" s="1105"/>
      <c r="CX114" s="1105"/>
      <c r="CY114" s="1105"/>
      <c r="CZ114" s="1105"/>
      <c r="DA114" s="1105"/>
      <c r="DB114" s="1105"/>
      <c r="DC114" s="1105"/>
      <c r="DD114" s="1105"/>
      <c r="DE114" s="1105"/>
      <c r="DF114" s="1105"/>
      <c r="DG114" s="1105"/>
      <c r="DH114" s="1105"/>
      <c r="DI114" s="1105"/>
      <c r="DJ114" s="1105"/>
      <c r="DL114" s="1105"/>
      <c r="DM114" s="1105"/>
      <c r="DN114" s="1105"/>
      <c r="DO114" s="1105"/>
      <c r="DP114" s="1105"/>
      <c r="DQ114" s="1105"/>
      <c r="DR114" s="1105"/>
      <c r="DS114" s="1105"/>
      <c r="DT114" s="1105"/>
      <c r="DU114" s="1105"/>
      <c r="DV114" s="1105"/>
      <c r="DW114" s="1105"/>
      <c r="DX114" s="1105"/>
      <c r="DY114" s="1105"/>
      <c r="DZ114" s="1105"/>
      <c r="EA114" s="1105"/>
      <c r="EB114" s="1105"/>
      <c r="EC114" s="1105"/>
      <c r="EE114" s="1106"/>
      <c r="EF114" s="1106"/>
      <c r="EG114" s="1106"/>
      <c r="EH114" s="1106"/>
      <c r="EI114" s="1106"/>
      <c r="EJ114" s="1106"/>
      <c r="EK114" s="1106"/>
      <c r="EL114" s="1106"/>
    </row>
    <row r="115" spans="1:142" ht="3.75" customHeight="1" thickBot="1" x14ac:dyDescent="0.3">
      <c r="A115" s="355"/>
      <c r="B115" s="355"/>
      <c r="C115" s="355"/>
      <c r="D115" s="355"/>
      <c r="E115" s="355"/>
      <c r="F115" s="355"/>
      <c r="G115" s="355"/>
      <c r="H115" s="355"/>
      <c r="I115" s="355"/>
      <c r="J115" s="355"/>
      <c r="K115" s="355"/>
      <c r="L115" s="355"/>
      <c r="M115" s="355"/>
      <c r="N115" s="355"/>
      <c r="O115" s="355"/>
      <c r="P115" s="355"/>
      <c r="Q115" s="355"/>
      <c r="R115" s="355"/>
      <c r="S115" s="355"/>
      <c r="T115" s="355"/>
      <c r="U115" s="355"/>
      <c r="V115" s="355"/>
      <c r="W115" s="355"/>
      <c r="X115" s="355"/>
      <c r="Y115" s="355"/>
      <c r="Z115" s="355"/>
      <c r="AA115" s="355"/>
      <c r="AB115" s="355"/>
      <c r="AC115" s="355"/>
      <c r="AD115" s="355"/>
      <c r="AE115" s="355"/>
      <c r="AF115" s="355"/>
      <c r="AG115" s="355"/>
      <c r="AH115" s="355"/>
      <c r="AI115" s="355"/>
      <c r="AJ115" s="355"/>
      <c r="AK115" s="355"/>
      <c r="AL115" s="355"/>
      <c r="AM115" s="355"/>
      <c r="AN115" s="355"/>
      <c r="AO115" s="355"/>
      <c r="AP115" s="355"/>
      <c r="AQ115" s="355"/>
      <c r="AR115" s="355"/>
      <c r="AS115" s="355"/>
      <c r="AT115" s="355"/>
      <c r="AU115" s="355"/>
      <c r="AV115" s="355"/>
      <c r="AW115" s="355"/>
      <c r="AX115" s="355"/>
      <c r="AY115" s="355"/>
      <c r="AZ115" s="355"/>
      <c r="BA115" s="355"/>
      <c r="BB115" s="355"/>
      <c r="BC115" s="355"/>
      <c r="BD115" s="355"/>
      <c r="BE115" s="355"/>
      <c r="BF115" s="355"/>
      <c r="BG115" s="355"/>
      <c r="BH115" s="355"/>
      <c r="BI115" s="355"/>
      <c r="BJ115" s="355"/>
      <c r="BK115" s="355"/>
      <c r="BL115" s="355"/>
      <c r="BM115" s="355"/>
      <c r="BN115" s="355"/>
      <c r="BO115" s="355"/>
      <c r="BP115" s="355"/>
      <c r="BQ115" s="355"/>
      <c r="BR115" s="355"/>
      <c r="BS115" s="360"/>
      <c r="BT115" s="355"/>
      <c r="BU115" s="355"/>
      <c r="BV115" s="355"/>
      <c r="BW115" s="355"/>
      <c r="BX115" s="355"/>
      <c r="BY115" s="355"/>
      <c r="BZ115" s="355"/>
      <c r="CA115" s="355"/>
      <c r="CB115" s="355"/>
      <c r="CC115" s="355"/>
      <c r="CD115" s="355"/>
      <c r="CE115" s="355"/>
      <c r="CF115" s="355"/>
      <c r="CG115" s="355"/>
      <c r="CH115" s="355"/>
      <c r="CI115" s="355"/>
      <c r="CJ115" s="355"/>
      <c r="CK115" s="355"/>
      <c r="CL115" s="355"/>
      <c r="CM115" s="355"/>
      <c r="CN115" s="355"/>
      <c r="CO115" s="355"/>
      <c r="CP115" s="355"/>
      <c r="CQ115" s="355"/>
      <c r="CR115" s="355"/>
      <c r="CS115" s="355"/>
      <c r="CT115" s="355"/>
      <c r="CU115" s="355"/>
      <c r="CV115" s="355"/>
      <c r="CW115" s="355"/>
      <c r="CX115" s="355"/>
      <c r="CY115" s="355"/>
      <c r="CZ115" s="355"/>
      <c r="DA115" s="355"/>
      <c r="DB115" s="355"/>
      <c r="DC115" s="355"/>
      <c r="DD115" s="355"/>
      <c r="DE115" s="355"/>
      <c r="DF115" s="355"/>
      <c r="DG115" s="355"/>
      <c r="DH115" s="355"/>
      <c r="DI115" s="355"/>
      <c r="DJ115" s="355"/>
      <c r="DK115" s="355"/>
      <c r="DL115" s="355"/>
      <c r="DM115" s="355"/>
      <c r="DN115" s="355"/>
      <c r="DO115" s="355"/>
      <c r="DP115" s="355"/>
      <c r="DQ115" s="355"/>
      <c r="DR115" s="355"/>
      <c r="DS115" s="355"/>
      <c r="DT115" s="355"/>
      <c r="DU115" s="355"/>
      <c r="DV115" s="355"/>
      <c r="DW115" s="355"/>
      <c r="DX115" s="355"/>
      <c r="DY115" s="355"/>
      <c r="DZ115" s="355"/>
      <c r="EA115" s="355"/>
      <c r="EB115" s="355"/>
      <c r="EC115" s="355"/>
      <c r="ED115" s="355"/>
      <c r="EE115" s="355"/>
      <c r="EF115" s="355"/>
      <c r="EG115" s="355"/>
      <c r="EH115" s="355"/>
      <c r="EI115" s="355"/>
      <c r="EJ115" s="355"/>
      <c r="EK115" s="355"/>
      <c r="EL115" s="355"/>
    </row>
    <row r="116" spans="1:142" ht="3.75" customHeight="1" x14ac:dyDescent="0.25">
      <c r="BS116" s="73"/>
    </row>
    <row r="117" spans="1:142" ht="3.75" customHeight="1" x14ac:dyDescent="0.25">
      <c r="A117" s="1103" t="s">
        <v>623</v>
      </c>
      <c r="B117" s="1103"/>
      <c r="C117" s="1103"/>
      <c r="D117" s="1103"/>
      <c r="E117" s="1103"/>
      <c r="F117" s="1103"/>
      <c r="G117" s="1103"/>
      <c r="H117" s="1103"/>
      <c r="I117" s="1103"/>
      <c r="J117" s="1103"/>
      <c r="K117" s="1103"/>
      <c r="L117" s="1103"/>
      <c r="M117" s="1103"/>
      <c r="N117" s="1103"/>
      <c r="O117" s="1103"/>
      <c r="P117" s="1103"/>
      <c r="AA117" s="1076" t="s">
        <v>134</v>
      </c>
      <c r="AB117" s="1076"/>
      <c r="AC117" s="1076"/>
      <c r="AD117" s="1076"/>
      <c r="AE117" s="1076"/>
      <c r="AF117" s="1076"/>
      <c r="AH117" s="1076" t="s">
        <v>141</v>
      </c>
      <c r="AI117" s="1076"/>
      <c r="AJ117" s="1076"/>
      <c r="AK117" s="1076"/>
      <c r="AL117" s="1076"/>
      <c r="AM117" s="1076"/>
      <c r="AN117" s="1076"/>
      <c r="AO117" s="1076"/>
      <c r="AP117" s="1076"/>
      <c r="AQ117" s="1076"/>
      <c r="AR117" s="1076"/>
      <c r="AS117" s="1076"/>
      <c r="AT117" s="1076"/>
      <c r="AU117" s="1076"/>
      <c r="AV117" s="1076"/>
      <c r="AW117" s="1076"/>
      <c r="AX117" s="1076"/>
      <c r="AY117" s="1076"/>
      <c r="BA117" s="1076" t="s">
        <v>142</v>
      </c>
      <c r="BB117" s="1076"/>
      <c r="BC117" s="1076"/>
      <c r="BD117" s="1076"/>
      <c r="BE117" s="1076"/>
      <c r="BF117" s="1076"/>
      <c r="BG117" s="1076"/>
      <c r="BH117" s="1076"/>
      <c r="BI117" s="1076"/>
      <c r="BJ117" s="1076"/>
      <c r="BK117" s="1076"/>
      <c r="BL117" s="1076"/>
      <c r="BM117" s="1076"/>
      <c r="BN117" s="1076"/>
      <c r="BO117" s="1076"/>
      <c r="BP117" s="1076"/>
      <c r="BQ117" s="1076"/>
      <c r="BR117" s="1076"/>
      <c r="BS117" s="73"/>
      <c r="BU117" s="1103" t="s">
        <v>623</v>
      </c>
      <c r="BV117" s="1103"/>
      <c r="BW117" s="1103"/>
      <c r="BX117" s="1103"/>
      <c r="BY117" s="1103"/>
      <c r="BZ117" s="1103"/>
      <c r="CA117" s="1103"/>
      <c r="CB117" s="1103"/>
      <c r="CC117" s="1103"/>
      <c r="CD117" s="1103"/>
      <c r="CE117" s="1103"/>
      <c r="CF117" s="1103"/>
      <c r="CG117" s="1103"/>
      <c r="CH117" s="1103"/>
      <c r="CI117" s="1103"/>
      <c r="CJ117" s="1103"/>
      <c r="CU117" s="1076" t="s">
        <v>134</v>
      </c>
      <c r="CV117" s="1076"/>
      <c r="CW117" s="1076"/>
      <c r="CX117" s="1076"/>
      <c r="CY117" s="1076"/>
      <c r="CZ117" s="1076"/>
      <c r="DB117" s="1076" t="s">
        <v>141</v>
      </c>
      <c r="DC117" s="1076"/>
      <c r="DD117" s="1076"/>
      <c r="DE117" s="1076"/>
      <c r="DF117" s="1076"/>
      <c r="DG117" s="1076"/>
      <c r="DH117" s="1076"/>
      <c r="DI117" s="1076"/>
      <c r="DJ117" s="1076"/>
      <c r="DK117" s="1076"/>
      <c r="DL117" s="1076"/>
      <c r="DM117" s="1076"/>
      <c r="DN117" s="1076"/>
      <c r="DO117" s="1076"/>
      <c r="DP117" s="1076"/>
      <c r="DQ117" s="1076"/>
      <c r="DR117" s="1076"/>
      <c r="DS117" s="1076"/>
      <c r="DU117" s="1076" t="s">
        <v>142</v>
      </c>
      <c r="DV117" s="1076"/>
      <c r="DW117" s="1076"/>
      <c r="DX117" s="1076"/>
      <c r="DY117" s="1076"/>
      <c r="DZ117" s="1076"/>
      <c r="EA117" s="1076"/>
      <c r="EB117" s="1076"/>
      <c r="EC117" s="1076"/>
      <c r="ED117" s="1076"/>
      <c r="EE117" s="1076"/>
      <c r="EF117" s="1076"/>
      <c r="EG117" s="1076"/>
      <c r="EH117" s="1076"/>
      <c r="EI117" s="1076"/>
      <c r="EJ117" s="1076"/>
      <c r="EK117" s="1076"/>
      <c r="EL117" s="1076"/>
    </row>
    <row r="118" spans="1:142" ht="3.75" customHeight="1" x14ac:dyDescent="0.25">
      <c r="A118" s="1103"/>
      <c r="B118" s="1103"/>
      <c r="C118" s="1103"/>
      <c r="D118" s="1103"/>
      <c r="E118" s="1103"/>
      <c r="F118" s="1103"/>
      <c r="G118" s="1103"/>
      <c r="H118" s="1103"/>
      <c r="I118" s="1103"/>
      <c r="J118" s="1103"/>
      <c r="K118" s="1103"/>
      <c r="L118" s="1103"/>
      <c r="M118" s="1103"/>
      <c r="N118" s="1103"/>
      <c r="O118" s="1103"/>
      <c r="P118" s="1103"/>
      <c r="AA118" s="1076"/>
      <c r="AB118" s="1076"/>
      <c r="AC118" s="1076"/>
      <c r="AD118" s="1076"/>
      <c r="AE118" s="1076"/>
      <c r="AF118" s="1076"/>
      <c r="AH118" s="1076"/>
      <c r="AI118" s="1076"/>
      <c r="AJ118" s="1076"/>
      <c r="AK118" s="1076"/>
      <c r="AL118" s="1076"/>
      <c r="AM118" s="1076"/>
      <c r="AN118" s="1076"/>
      <c r="AO118" s="1076"/>
      <c r="AP118" s="1076"/>
      <c r="AQ118" s="1076"/>
      <c r="AR118" s="1076"/>
      <c r="AS118" s="1076"/>
      <c r="AT118" s="1076"/>
      <c r="AU118" s="1076"/>
      <c r="AV118" s="1076"/>
      <c r="AW118" s="1076"/>
      <c r="AX118" s="1076"/>
      <c r="AY118" s="1076"/>
      <c r="BA118" s="1076"/>
      <c r="BB118" s="1076"/>
      <c r="BC118" s="1076"/>
      <c r="BD118" s="1076"/>
      <c r="BE118" s="1076"/>
      <c r="BF118" s="1076"/>
      <c r="BG118" s="1076"/>
      <c r="BH118" s="1076"/>
      <c r="BI118" s="1076"/>
      <c r="BJ118" s="1076"/>
      <c r="BK118" s="1076"/>
      <c r="BL118" s="1076"/>
      <c r="BM118" s="1076"/>
      <c r="BN118" s="1076"/>
      <c r="BO118" s="1076"/>
      <c r="BP118" s="1076"/>
      <c r="BQ118" s="1076"/>
      <c r="BR118" s="1076"/>
      <c r="BS118" s="73"/>
      <c r="BU118" s="1103"/>
      <c r="BV118" s="1103"/>
      <c r="BW118" s="1103"/>
      <c r="BX118" s="1103"/>
      <c r="BY118" s="1103"/>
      <c r="BZ118" s="1103"/>
      <c r="CA118" s="1103"/>
      <c r="CB118" s="1103"/>
      <c r="CC118" s="1103"/>
      <c r="CD118" s="1103"/>
      <c r="CE118" s="1103"/>
      <c r="CF118" s="1103"/>
      <c r="CG118" s="1103"/>
      <c r="CH118" s="1103"/>
      <c r="CI118" s="1103"/>
      <c r="CJ118" s="1103"/>
      <c r="CU118" s="1076"/>
      <c r="CV118" s="1076"/>
      <c r="CW118" s="1076"/>
      <c r="CX118" s="1076"/>
      <c r="CY118" s="1076"/>
      <c r="CZ118" s="1076"/>
      <c r="DB118" s="1076"/>
      <c r="DC118" s="1076"/>
      <c r="DD118" s="1076"/>
      <c r="DE118" s="1076"/>
      <c r="DF118" s="1076"/>
      <c r="DG118" s="1076"/>
      <c r="DH118" s="1076"/>
      <c r="DI118" s="1076"/>
      <c r="DJ118" s="1076"/>
      <c r="DK118" s="1076"/>
      <c r="DL118" s="1076"/>
      <c r="DM118" s="1076"/>
      <c r="DN118" s="1076"/>
      <c r="DO118" s="1076"/>
      <c r="DP118" s="1076"/>
      <c r="DQ118" s="1076"/>
      <c r="DR118" s="1076"/>
      <c r="DS118" s="1076"/>
      <c r="DU118" s="1076"/>
      <c r="DV118" s="1076"/>
      <c r="DW118" s="1076"/>
      <c r="DX118" s="1076"/>
      <c r="DY118" s="1076"/>
      <c r="DZ118" s="1076"/>
      <c r="EA118" s="1076"/>
      <c r="EB118" s="1076"/>
      <c r="EC118" s="1076"/>
      <c r="ED118" s="1076"/>
      <c r="EE118" s="1076"/>
      <c r="EF118" s="1076"/>
      <c r="EG118" s="1076"/>
      <c r="EH118" s="1076"/>
      <c r="EI118" s="1076"/>
      <c r="EJ118" s="1076"/>
      <c r="EK118" s="1076"/>
      <c r="EL118" s="1076"/>
    </row>
    <row r="119" spans="1:142" ht="3.75" customHeight="1" x14ac:dyDescent="0.25">
      <c r="A119" s="1103"/>
      <c r="B119" s="1103"/>
      <c r="C119" s="1103"/>
      <c r="D119" s="1103"/>
      <c r="E119" s="1103"/>
      <c r="F119" s="1103"/>
      <c r="G119" s="1103"/>
      <c r="H119" s="1103"/>
      <c r="I119" s="1103"/>
      <c r="J119" s="1103"/>
      <c r="K119" s="1103"/>
      <c r="L119" s="1103"/>
      <c r="M119" s="1103"/>
      <c r="N119" s="1103"/>
      <c r="O119" s="1103"/>
      <c r="P119" s="1103"/>
      <c r="AA119" s="1076"/>
      <c r="AB119" s="1076"/>
      <c r="AC119" s="1076"/>
      <c r="AD119" s="1076"/>
      <c r="AE119" s="1076"/>
      <c r="AF119" s="1076"/>
      <c r="AH119" s="1076"/>
      <c r="AI119" s="1076"/>
      <c r="AJ119" s="1076"/>
      <c r="AK119" s="1076"/>
      <c r="AL119" s="1076"/>
      <c r="AM119" s="1076"/>
      <c r="AN119" s="1076"/>
      <c r="AO119" s="1076"/>
      <c r="AP119" s="1076"/>
      <c r="AQ119" s="1076"/>
      <c r="AR119" s="1076"/>
      <c r="AS119" s="1076"/>
      <c r="AT119" s="1076"/>
      <c r="AU119" s="1076"/>
      <c r="AV119" s="1076"/>
      <c r="AW119" s="1076"/>
      <c r="AX119" s="1076"/>
      <c r="AY119" s="1076"/>
      <c r="BA119" s="1076"/>
      <c r="BB119" s="1076"/>
      <c r="BC119" s="1076"/>
      <c r="BD119" s="1076"/>
      <c r="BE119" s="1076"/>
      <c r="BF119" s="1076"/>
      <c r="BG119" s="1076"/>
      <c r="BH119" s="1076"/>
      <c r="BI119" s="1076"/>
      <c r="BJ119" s="1076"/>
      <c r="BK119" s="1076"/>
      <c r="BL119" s="1076"/>
      <c r="BM119" s="1076"/>
      <c r="BN119" s="1076"/>
      <c r="BO119" s="1076"/>
      <c r="BP119" s="1076"/>
      <c r="BQ119" s="1076"/>
      <c r="BR119" s="1076"/>
      <c r="BS119" s="73"/>
      <c r="BU119" s="1103"/>
      <c r="BV119" s="1103"/>
      <c r="BW119" s="1103"/>
      <c r="BX119" s="1103"/>
      <c r="BY119" s="1103"/>
      <c r="BZ119" s="1103"/>
      <c r="CA119" s="1103"/>
      <c r="CB119" s="1103"/>
      <c r="CC119" s="1103"/>
      <c r="CD119" s="1103"/>
      <c r="CE119" s="1103"/>
      <c r="CF119" s="1103"/>
      <c r="CG119" s="1103"/>
      <c r="CH119" s="1103"/>
      <c r="CI119" s="1103"/>
      <c r="CJ119" s="1103"/>
      <c r="CU119" s="1076"/>
      <c r="CV119" s="1076"/>
      <c r="CW119" s="1076"/>
      <c r="CX119" s="1076"/>
      <c r="CY119" s="1076"/>
      <c r="CZ119" s="1076"/>
      <c r="DB119" s="1076"/>
      <c r="DC119" s="1076"/>
      <c r="DD119" s="1076"/>
      <c r="DE119" s="1076"/>
      <c r="DF119" s="1076"/>
      <c r="DG119" s="1076"/>
      <c r="DH119" s="1076"/>
      <c r="DI119" s="1076"/>
      <c r="DJ119" s="1076"/>
      <c r="DK119" s="1076"/>
      <c r="DL119" s="1076"/>
      <c r="DM119" s="1076"/>
      <c r="DN119" s="1076"/>
      <c r="DO119" s="1076"/>
      <c r="DP119" s="1076"/>
      <c r="DQ119" s="1076"/>
      <c r="DR119" s="1076"/>
      <c r="DS119" s="1076"/>
      <c r="DU119" s="1076"/>
      <c r="DV119" s="1076"/>
      <c r="DW119" s="1076"/>
      <c r="DX119" s="1076"/>
      <c r="DY119" s="1076"/>
      <c r="DZ119" s="1076"/>
      <c r="EA119" s="1076"/>
      <c r="EB119" s="1076"/>
      <c r="EC119" s="1076"/>
      <c r="ED119" s="1076"/>
      <c r="EE119" s="1076"/>
      <c r="EF119" s="1076"/>
      <c r="EG119" s="1076"/>
      <c r="EH119" s="1076"/>
      <c r="EI119" s="1076"/>
      <c r="EJ119" s="1076"/>
      <c r="EK119" s="1076"/>
      <c r="EL119" s="1076"/>
    </row>
    <row r="120" spans="1:142" ht="3.75" customHeight="1" x14ac:dyDescent="0.25">
      <c r="A120" s="1103" t="s">
        <v>622</v>
      </c>
      <c r="B120" s="1103"/>
      <c r="C120" s="1103"/>
      <c r="D120" s="1103"/>
      <c r="E120" s="1103"/>
      <c r="F120" s="1103"/>
      <c r="G120" s="1103"/>
      <c r="H120" s="1103"/>
      <c r="I120" s="1103"/>
      <c r="J120" s="1103"/>
      <c r="K120" s="1103"/>
      <c r="L120" s="1103"/>
      <c r="M120" s="1103"/>
      <c r="N120" s="1103"/>
      <c r="O120" s="1103"/>
      <c r="P120" s="1103"/>
      <c r="R120" s="1071" t="s">
        <v>621</v>
      </c>
      <c r="S120" s="1071"/>
      <c r="T120" s="1071"/>
      <c r="U120" s="1071"/>
      <c r="V120" s="1071"/>
      <c r="W120" s="1071"/>
      <c r="X120" s="1071"/>
      <c r="Y120" s="1071"/>
      <c r="BS120" s="73"/>
      <c r="BU120" s="1103" t="s">
        <v>622</v>
      </c>
      <c r="BV120" s="1103"/>
      <c r="BW120" s="1103"/>
      <c r="BX120" s="1103"/>
      <c r="BY120" s="1103"/>
      <c r="BZ120" s="1103"/>
      <c r="CA120" s="1103"/>
      <c r="CB120" s="1103"/>
      <c r="CC120" s="1103"/>
      <c r="CD120" s="1103"/>
      <c r="CE120" s="1103"/>
      <c r="CF120" s="1103"/>
      <c r="CG120" s="1103"/>
      <c r="CH120" s="1103"/>
      <c r="CI120" s="1103"/>
      <c r="CJ120" s="1103"/>
      <c r="CL120" s="1071" t="s">
        <v>621</v>
      </c>
      <c r="CM120" s="1071"/>
      <c r="CN120" s="1071"/>
      <c r="CO120" s="1071"/>
      <c r="CP120" s="1071"/>
      <c r="CQ120" s="1071"/>
      <c r="CR120" s="1071"/>
      <c r="CS120" s="1071"/>
    </row>
    <row r="121" spans="1:142" ht="3.75" customHeight="1" x14ac:dyDescent="0.25">
      <c r="A121" s="1103"/>
      <c r="B121" s="1103"/>
      <c r="C121" s="1103"/>
      <c r="D121" s="1103"/>
      <c r="E121" s="1103"/>
      <c r="F121" s="1103"/>
      <c r="G121" s="1103"/>
      <c r="H121" s="1103"/>
      <c r="I121" s="1103"/>
      <c r="J121" s="1103"/>
      <c r="K121" s="1103"/>
      <c r="L121" s="1103"/>
      <c r="M121" s="1103"/>
      <c r="N121" s="1103"/>
      <c r="O121" s="1103"/>
      <c r="P121" s="1103"/>
      <c r="R121" s="1071"/>
      <c r="S121" s="1071"/>
      <c r="T121" s="1071"/>
      <c r="U121" s="1071"/>
      <c r="V121" s="1071"/>
      <c r="W121" s="1071"/>
      <c r="X121" s="1071"/>
      <c r="Y121" s="1071"/>
      <c r="AA121" s="1106"/>
      <c r="AB121" s="1106"/>
      <c r="AC121" s="1106"/>
      <c r="AD121" s="1106"/>
      <c r="AE121" s="1106"/>
      <c r="AF121" s="1106"/>
      <c r="AH121" s="1105"/>
      <c r="AI121" s="1105"/>
      <c r="AJ121" s="1105"/>
      <c r="AK121" s="1105"/>
      <c r="AL121" s="1105"/>
      <c r="AM121" s="1105"/>
      <c r="AN121" s="1105"/>
      <c r="AO121" s="1105"/>
      <c r="AP121" s="1105"/>
      <c r="AQ121" s="1105"/>
      <c r="AR121" s="1105"/>
      <c r="AS121" s="1105"/>
      <c r="AT121" s="1105"/>
      <c r="AU121" s="1105"/>
      <c r="AV121" s="1105"/>
      <c r="AW121" s="1105"/>
      <c r="AX121" s="1105"/>
      <c r="AY121" s="1105"/>
      <c r="BA121" s="1105"/>
      <c r="BB121" s="1105"/>
      <c r="BC121" s="1105"/>
      <c r="BD121" s="1105"/>
      <c r="BE121" s="1105"/>
      <c r="BF121" s="1105"/>
      <c r="BG121" s="1105"/>
      <c r="BH121" s="1105"/>
      <c r="BI121" s="1105"/>
      <c r="BJ121" s="1105"/>
      <c r="BK121" s="1105"/>
      <c r="BL121" s="1105"/>
      <c r="BM121" s="1105"/>
      <c r="BN121" s="1105"/>
      <c r="BO121" s="1105"/>
      <c r="BP121" s="1105"/>
      <c r="BQ121" s="1105"/>
      <c r="BR121" s="1105"/>
      <c r="BS121" s="73"/>
      <c r="BU121" s="1103"/>
      <c r="BV121" s="1103"/>
      <c r="BW121" s="1103"/>
      <c r="BX121" s="1103"/>
      <c r="BY121" s="1103"/>
      <c r="BZ121" s="1103"/>
      <c r="CA121" s="1103"/>
      <c r="CB121" s="1103"/>
      <c r="CC121" s="1103"/>
      <c r="CD121" s="1103"/>
      <c r="CE121" s="1103"/>
      <c r="CF121" s="1103"/>
      <c r="CG121" s="1103"/>
      <c r="CH121" s="1103"/>
      <c r="CI121" s="1103"/>
      <c r="CJ121" s="1103"/>
      <c r="CL121" s="1071"/>
      <c r="CM121" s="1071"/>
      <c r="CN121" s="1071"/>
      <c r="CO121" s="1071"/>
      <c r="CP121" s="1071"/>
      <c r="CQ121" s="1071"/>
      <c r="CR121" s="1071"/>
      <c r="CS121" s="1071"/>
      <c r="CU121" s="1106"/>
      <c r="CV121" s="1106"/>
      <c r="CW121" s="1106"/>
      <c r="CX121" s="1106"/>
      <c r="CY121" s="1106"/>
      <c r="CZ121" s="1106"/>
      <c r="DB121" s="1105"/>
      <c r="DC121" s="1105"/>
      <c r="DD121" s="1105"/>
      <c r="DE121" s="1105"/>
      <c r="DF121" s="1105"/>
      <c r="DG121" s="1105"/>
      <c r="DH121" s="1105"/>
      <c r="DI121" s="1105"/>
      <c r="DJ121" s="1105"/>
      <c r="DK121" s="1105"/>
      <c r="DL121" s="1105"/>
      <c r="DM121" s="1105"/>
      <c r="DN121" s="1105"/>
      <c r="DO121" s="1105"/>
      <c r="DP121" s="1105"/>
      <c r="DQ121" s="1105"/>
      <c r="DR121" s="1105"/>
      <c r="DS121" s="1105"/>
      <c r="DU121" s="1105"/>
      <c r="DV121" s="1105"/>
      <c r="DW121" s="1105"/>
      <c r="DX121" s="1105"/>
      <c r="DY121" s="1105"/>
      <c r="DZ121" s="1105"/>
      <c r="EA121" s="1105"/>
      <c r="EB121" s="1105"/>
      <c r="EC121" s="1105"/>
      <c r="ED121" s="1105"/>
      <c r="EE121" s="1105"/>
      <c r="EF121" s="1105"/>
      <c r="EG121" s="1105"/>
      <c r="EH121" s="1105"/>
      <c r="EI121" s="1105"/>
      <c r="EJ121" s="1105"/>
      <c r="EK121" s="1105"/>
      <c r="EL121" s="1105"/>
    </row>
    <row r="122" spans="1:142" ht="3.75" customHeight="1" x14ac:dyDescent="0.25">
      <c r="A122" s="1103"/>
      <c r="B122" s="1103"/>
      <c r="C122" s="1103"/>
      <c r="D122" s="1103"/>
      <c r="E122" s="1103"/>
      <c r="F122" s="1103"/>
      <c r="G122" s="1103"/>
      <c r="H122" s="1103"/>
      <c r="I122" s="1103"/>
      <c r="J122" s="1103"/>
      <c r="K122" s="1103"/>
      <c r="L122" s="1103"/>
      <c r="M122" s="1103"/>
      <c r="N122" s="1103"/>
      <c r="O122" s="1103"/>
      <c r="P122" s="1103"/>
      <c r="R122" s="363"/>
      <c r="S122" s="1071" t="s">
        <v>620</v>
      </c>
      <c r="T122" s="1071"/>
      <c r="U122" s="363"/>
      <c r="V122" s="363"/>
      <c r="W122" s="1071" t="s">
        <v>619</v>
      </c>
      <c r="X122" s="1071"/>
      <c r="AA122" s="1106"/>
      <c r="AB122" s="1106"/>
      <c r="AC122" s="1106"/>
      <c r="AD122" s="1106"/>
      <c r="AE122" s="1106"/>
      <c r="AF122" s="1106"/>
      <c r="AH122" s="1105"/>
      <c r="AI122" s="1105"/>
      <c r="AJ122" s="1105"/>
      <c r="AK122" s="1105"/>
      <c r="AL122" s="1105"/>
      <c r="AM122" s="1105"/>
      <c r="AN122" s="1105"/>
      <c r="AO122" s="1105"/>
      <c r="AP122" s="1105"/>
      <c r="AQ122" s="1105"/>
      <c r="AR122" s="1105"/>
      <c r="AS122" s="1105"/>
      <c r="AT122" s="1105"/>
      <c r="AU122" s="1105"/>
      <c r="AV122" s="1105"/>
      <c r="AW122" s="1105"/>
      <c r="AX122" s="1105"/>
      <c r="AY122" s="1105"/>
      <c r="BA122" s="1105"/>
      <c r="BB122" s="1105"/>
      <c r="BC122" s="1105"/>
      <c r="BD122" s="1105"/>
      <c r="BE122" s="1105"/>
      <c r="BF122" s="1105"/>
      <c r="BG122" s="1105"/>
      <c r="BH122" s="1105"/>
      <c r="BI122" s="1105"/>
      <c r="BJ122" s="1105"/>
      <c r="BK122" s="1105"/>
      <c r="BL122" s="1105"/>
      <c r="BM122" s="1105"/>
      <c r="BN122" s="1105"/>
      <c r="BO122" s="1105"/>
      <c r="BP122" s="1105"/>
      <c r="BQ122" s="1105"/>
      <c r="BR122" s="1105"/>
      <c r="BS122" s="73"/>
      <c r="BU122" s="1103"/>
      <c r="BV122" s="1103"/>
      <c r="BW122" s="1103"/>
      <c r="BX122" s="1103"/>
      <c r="BY122" s="1103"/>
      <c r="BZ122" s="1103"/>
      <c r="CA122" s="1103"/>
      <c r="CB122" s="1103"/>
      <c r="CC122" s="1103"/>
      <c r="CD122" s="1103"/>
      <c r="CE122" s="1103"/>
      <c r="CF122" s="1103"/>
      <c r="CG122" s="1103"/>
      <c r="CH122" s="1103"/>
      <c r="CI122" s="1103"/>
      <c r="CJ122" s="1103"/>
      <c r="CL122" s="363"/>
      <c r="CM122" s="1071" t="s">
        <v>620</v>
      </c>
      <c r="CN122" s="1071"/>
      <c r="CO122" s="363"/>
      <c r="CP122" s="363"/>
      <c r="CQ122" s="1071" t="s">
        <v>619</v>
      </c>
      <c r="CR122" s="1071"/>
      <c r="CU122" s="1106"/>
      <c r="CV122" s="1106"/>
      <c r="CW122" s="1106"/>
      <c r="CX122" s="1106"/>
      <c r="CY122" s="1106"/>
      <c r="CZ122" s="1106"/>
      <c r="DB122" s="1105"/>
      <c r="DC122" s="1105"/>
      <c r="DD122" s="1105"/>
      <c r="DE122" s="1105"/>
      <c r="DF122" s="1105"/>
      <c r="DG122" s="1105"/>
      <c r="DH122" s="1105"/>
      <c r="DI122" s="1105"/>
      <c r="DJ122" s="1105"/>
      <c r="DK122" s="1105"/>
      <c r="DL122" s="1105"/>
      <c r="DM122" s="1105"/>
      <c r="DN122" s="1105"/>
      <c r="DO122" s="1105"/>
      <c r="DP122" s="1105"/>
      <c r="DQ122" s="1105"/>
      <c r="DR122" s="1105"/>
      <c r="DS122" s="1105"/>
      <c r="DU122" s="1105"/>
      <c r="DV122" s="1105"/>
      <c r="DW122" s="1105"/>
      <c r="DX122" s="1105"/>
      <c r="DY122" s="1105"/>
      <c r="DZ122" s="1105"/>
      <c r="EA122" s="1105"/>
      <c r="EB122" s="1105"/>
      <c r="EC122" s="1105"/>
      <c r="ED122" s="1105"/>
      <c r="EE122" s="1105"/>
      <c r="EF122" s="1105"/>
      <c r="EG122" s="1105"/>
      <c r="EH122" s="1105"/>
      <c r="EI122" s="1105"/>
      <c r="EJ122" s="1105"/>
      <c r="EK122" s="1105"/>
      <c r="EL122" s="1105"/>
    </row>
    <row r="123" spans="1:142" ht="3.75" customHeight="1" x14ac:dyDescent="0.25">
      <c r="S123" s="1071"/>
      <c r="T123" s="1071"/>
      <c r="W123" s="1071"/>
      <c r="X123" s="1071"/>
      <c r="AA123" s="1106"/>
      <c r="AB123" s="1106"/>
      <c r="AC123" s="1106"/>
      <c r="AD123" s="1106"/>
      <c r="AE123" s="1106"/>
      <c r="AF123" s="1106"/>
      <c r="AH123" s="1105"/>
      <c r="AI123" s="1105"/>
      <c r="AJ123" s="1105"/>
      <c r="AK123" s="1105"/>
      <c r="AL123" s="1105"/>
      <c r="AM123" s="1105"/>
      <c r="AN123" s="1105"/>
      <c r="AO123" s="1105"/>
      <c r="AP123" s="1105"/>
      <c r="AQ123" s="1105"/>
      <c r="AR123" s="1105"/>
      <c r="AS123" s="1105"/>
      <c r="AT123" s="1105"/>
      <c r="AU123" s="1105"/>
      <c r="AV123" s="1105"/>
      <c r="AW123" s="1105"/>
      <c r="AX123" s="1105"/>
      <c r="AY123" s="1105"/>
      <c r="BA123" s="1105"/>
      <c r="BB123" s="1105"/>
      <c r="BC123" s="1105"/>
      <c r="BD123" s="1105"/>
      <c r="BE123" s="1105"/>
      <c r="BF123" s="1105"/>
      <c r="BG123" s="1105"/>
      <c r="BH123" s="1105"/>
      <c r="BI123" s="1105"/>
      <c r="BJ123" s="1105"/>
      <c r="BK123" s="1105"/>
      <c r="BL123" s="1105"/>
      <c r="BM123" s="1105"/>
      <c r="BN123" s="1105"/>
      <c r="BO123" s="1105"/>
      <c r="BP123" s="1105"/>
      <c r="BQ123" s="1105"/>
      <c r="BR123" s="1105"/>
      <c r="BS123" s="73"/>
      <c r="CM123" s="1071"/>
      <c r="CN123" s="1071"/>
      <c r="CQ123" s="1071"/>
      <c r="CR123" s="1071"/>
      <c r="CU123" s="1106"/>
      <c r="CV123" s="1106"/>
      <c r="CW123" s="1106"/>
      <c r="CX123" s="1106"/>
      <c r="CY123" s="1106"/>
      <c r="CZ123" s="1106"/>
      <c r="DB123" s="1105"/>
      <c r="DC123" s="1105"/>
      <c r="DD123" s="1105"/>
      <c r="DE123" s="1105"/>
      <c r="DF123" s="1105"/>
      <c r="DG123" s="1105"/>
      <c r="DH123" s="1105"/>
      <c r="DI123" s="1105"/>
      <c r="DJ123" s="1105"/>
      <c r="DK123" s="1105"/>
      <c r="DL123" s="1105"/>
      <c r="DM123" s="1105"/>
      <c r="DN123" s="1105"/>
      <c r="DO123" s="1105"/>
      <c r="DP123" s="1105"/>
      <c r="DQ123" s="1105"/>
      <c r="DR123" s="1105"/>
      <c r="DS123" s="1105"/>
      <c r="DU123" s="1105"/>
      <c r="DV123" s="1105"/>
      <c r="DW123" s="1105"/>
      <c r="DX123" s="1105"/>
      <c r="DY123" s="1105"/>
      <c r="DZ123" s="1105"/>
      <c r="EA123" s="1105"/>
      <c r="EB123" s="1105"/>
      <c r="EC123" s="1105"/>
      <c r="ED123" s="1105"/>
      <c r="EE123" s="1105"/>
      <c r="EF123" s="1105"/>
      <c r="EG123" s="1105"/>
      <c r="EH123" s="1105"/>
      <c r="EI123" s="1105"/>
      <c r="EJ123" s="1105"/>
      <c r="EK123" s="1105"/>
      <c r="EL123" s="1105"/>
    </row>
    <row r="124" spans="1:142" ht="3.75" customHeight="1" x14ac:dyDescent="0.25">
      <c r="A124" s="1097"/>
      <c r="B124" s="1097"/>
      <c r="C124" s="1097"/>
      <c r="D124" s="1097"/>
      <c r="AA124" s="1106"/>
      <c r="AB124" s="1106"/>
      <c r="AC124" s="1106"/>
      <c r="AD124" s="1106"/>
      <c r="AE124" s="1106"/>
      <c r="AF124" s="1106"/>
      <c r="AH124" s="1105"/>
      <c r="AI124" s="1105"/>
      <c r="AJ124" s="1105"/>
      <c r="AK124" s="1105"/>
      <c r="AL124" s="1105"/>
      <c r="AM124" s="1105"/>
      <c r="AN124" s="1105"/>
      <c r="AO124" s="1105"/>
      <c r="AP124" s="1105"/>
      <c r="AQ124" s="1105"/>
      <c r="AR124" s="1105"/>
      <c r="AS124" s="1105"/>
      <c r="AT124" s="1105"/>
      <c r="AU124" s="1105"/>
      <c r="AV124" s="1105"/>
      <c r="AW124" s="1105"/>
      <c r="AX124" s="1105"/>
      <c r="AY124" s="1105"/>
      <c r="BA124" s="1105"/>
      <c r="BB124" s="1105"/>
      <c r="BC124" s="1105"/>
      <c r="BD124" s="1105"/>
      <c r="BE124" s="1105"/>
      <c r="BF124" s="1105"/>
      <c r="BG124" s="1105"/>
      <c r="BH124" s="1105"/>
      <c r="BI124" s="1105"/>
      <c r="BJ124" s="1105"/>
      <c r="BK124" s="1105"/>
      <c r="BL124" s="1105"/>
      <c r="BM124" s="1105"/>
      <c r="BN124" s="1105"/>
      <c r="BO124" s="1105"/>
      <c r="BP124" s="1105"/>
      <c r="BQ124" s="1105"/>
      <c r="BR124" s="1105"/>
      <c r="BS124" s="73"/>
      <c r="BU124" s="1097"/>
      <c r="BV124" s="1097"/>
      <c r="BW124" s="1097"/>
      <c r="BX124" s="1097"/>
      <c r="CU124" s="1106"/>
      <c r="CV124" s="1106"/>
      <c r="CW124" s="1106"/>
      <c r="CX124" s="1106"/>
      <c r="CY124" s="1106"/>
      <c r="CZ124" s="1106"/>
      <c r="DB124" s="1105"/>
      <c r="DC124" s="1105"/>
      <c r="DD124" s="1105"/>
      <c r="DE124" s="1105"/>
      <c r="DF124" s="1105"/>
      <c r="DG124" s="1105"/>
      <c r="DH124" s="1105"/>
      <c r="DI124" s="1105"/>
      <c r="DJ124" s="1105"/>
      <c r="DK124" s="1105"/>
      <c r="DL124" s="1105"/>
      <c r="DM124" s="1105"/>
      <c r="DN124" s="1105"/>
      <c r="DO124" s="1105"/>
      <c r="DP124" s="1105"/>
      <c r="DQ124" s="1105"/>
      <c r="DR124" s="1105"/>
      <c r="DS124" s="1105"/>
      <c r="DU124" s="1105"/>
      <c r="DV124" s="1105"/>
      <c r="DW124" s="1105"/>
      <c r="DX124" s="1105"/>
      <c r="DY124" s="1105"/>
      <c r="DZ124" s="1105"/>
      <c r="EA124" s="1105"/>
      <c r="EB124" s="1105"/>
      <c r="EC124" s="1105"/>
      <c r="ED124" s="1105"/>
      <c r="EE124" s="1105"/>
      <c r="EF124" s="1105"/>
      <c r="EG124" s="1105"/>
      <c r="EH124" s="1105"/>
      <c r="EI124" s="1105"/>
      <c r="EJ124" s="1105"/>
      <c r="EK124" s="1105"/>
      <c r="EL124" s="1105"/>
    </row>
    <row r="125" spans="1:142" ht="3.75" customHeight="1" x14ac:dyDescent="0.25">
      <c r="A125" s="1097"/>
      <c r="B125" s="1097"/>
      <c r="C125" s="1097"/>
      <c r="D125" s="1097"/>
      <c r="F125" s="1104" t="s">
        <v>618</v>
      </c>
      <c r="G125" s="1104"/>
      <c r="H125" s="1104"/>
      <c r="I125" s="1104"/>
      <c r="J125" s="1104"/>
      <c r="K125" s="1104"/>
      <c r="L125" s="1104"/>
      <c r="M125" s="1104"/>
      <c r="N125" s="1104"/>
      <c r="O125" s="1104"/>
      <c r="P125" s="1104"/>
      <c r="Q125" s="1104"/>
      <c r="R125" s="1104"/>
      <c r="S125" s="1053"/>
      <c r="T125" s="1053"/>
      <c r="U125" s="1053"/>
      <c r="W125" s="1053"/>
      <c r="X125" s="1053"/>
      <c r="Y125" s="1053"/>
      <c r="AA125" s="1106"/>
      <c r="AB125" s="1106"/>
      <c r="AC125" s="1106"/>
      <c r="AD125" s="1106"/>
      <c r="AE125" s="1106"/>
      <c r="AF125" s="1106"/>
      <c r="AH125" s="1105"/>
      <c r="AI125" s="1105"/>
      <c r="AJ125" s="1105"/>
      <c r="AK125" s="1105"/>
      <c r="AL125" s="1105"/>
      <c r="AM125" s="1105"/>
      <c r="AN125" s="1105"/>
      <c r="AO125" s="1105"/>
      <c r="AP125" s="1105"/>
      <c r="AQ125" s="1105"/>
      <c r="AR125" s="1105"/>
      <c r="AS125" s="1105"/>
      <c r="AT125" s="1105"/>
      <c r="AU125" s="1105"/>
      <c r="AV125" s="1105"/>
      <c r="AW125" s="1105"/>
      <c r="AX125" s="1105"/>
      <c r="AY125" s="1105"/>
      <c r="BA125" s="1105"/>
      <c r="BB125" s="1105"/>
      <c r="BC125" s="1105"/>
      <c r="BD125" s="1105"/>
      <c r="BE125" s="1105"/>
      <c r="BF125" s="1105"/>
      <c r="BG125" s="1105"/>
      <c r="BH125" s="1105"/>
      <c r="BI125" s="1105"/>
      <c r="BJ125" s="1105"/>
      <c r="BK125" s="1105"/>
      <c r="BL125" s="1105"/>
      <c r="BM125" s="1105"/>
      <c r="BN125" s="1105"/>
      <c r="BO125" s="1105"/>
      <c r="BP125" s="1105"/>
      <c r="BQ125" s="1105"/>
      <c r="BR125" s="1105"/>
      <c r="BS125" s="73"/>
      <c r="BU125" s="1097"/>
      <c r="BV125" s="1097"/>
      <c r="BW125" s="1097"/>
      <c r="BX125" s="1097"/>
      <c r="BZ125" s="1104" t="s">
        <v>618</v>
      </c>
      <c r="CA125" s="1104"/>
      <c r="CB125" s="1104"/>
      <c r="CC125" s="1104"/>
      <c r="CD125" s="1104"/>
      <c r="CE125" s="1104"/>
      <c r="CF125" s="1104"/>
      <c r="CG125" s="1104"/>
      <c r="CH125" s="1104"/>
      <c r="CI125" s="1104"/>
      <c r="CJ125" s="1104"/>
      <c r="CK125" s="1104"/>
      <c r="CL125" s="1104"/>
      <c r="CM125" s="1053"/>
      <c r="CN125" s="1053"/>
      <c r="CO125" s="1053"/>
      <c r="CQ125" s="1053"/>
      <c r="CR125" s="1053"/>
      <c r="CS125" s="1053"/>
      <c r="CU125" s="1106"/>
      <c r="CV125" s="1106"/>
      <c r="CW125" s="1106"/>
      <c r="CX125" s="1106"/>
      <c r="CY125" s="1106"/>
      <c r="CZ125" s="1106"/>
      <c r="DB125" s="1105"/>
      <c r="DC125" s="1105"/>
      <c r="DD125" s="1105"/>
      <c r="DE125" s="1105"/>
      <c r="DF125" s="1105"/>
      <c r="DG125" s="1105"/>
      <c r="DH125" s="1105"/>
      <c r="DI125" s="1105"/>
      <c r="DJ125" s="1105"/>
      <c r="DK125" s="1105"/>
      <c r="DL125" s="1105"/>
      <c r="DM125" s="1105"/>
      <c r="DN125" s="1105"/>
      <c r="DO125" s="1105"/>
      <c r="DP125" s="1105"/>
      <c r="DQ125" s="1105"/>
      <c r="DR125" s="1105"/>
      <c r="DS125" s="1105"/>
      <c r="DU125" s="1105"/>
      <c r="DV125" s="1105"/>
      <c r="DW125" s="1105"/>
      <c r="DX125" s="1105"/>
      <c r="DY125" s="1105"/>
      <c r="DZ125" s="1105"/>
      <c r="EA125" s="1105"/>
      <c r="EB125" s="1105"/>
      <c r="EC125" s="1105"/>
      <c r="ED125" s="1105"/>
      <c r="EE125" s="1105"/>
      <c r="EF125" s="1105"/>
      <c r="EG125" s="1105"/>
      <c r="EH125" s="1105"/>
      <c r="EI125" s="1105"/>
      <c r="EJ125" s="1105"/>
      <c r="EK125" s="1105"/>
      <c r="EL125" s="1105"/>
    </row>
    <row r="126" spans="1:142" ht="3.75" customHeight="1" x14ac:dyDescent="0.25">
      <c r="A126" s="1097"/>
      <c r="B126" s="1097"/>
      <c r="C126" s="1097"/>
      <c r="D126" s="1097"/>
      <c r="F126" s="1104"/>
      <c r="G126" s="1104"/>
      <c r="H126" s="1104"/>
      <c r="I126" s="1104"/>
      <c r="J126" s="1104"/>
      <c r="K126" s="1104"/>
      <c r="L126" s="1104"/>
      <c r="M126" s="1104"/>
      <c r="N126" s="1104"/>
      <c r="O126" s="1104"/>
      <c r="P126" s="1104"/>
      <c r="Q126" s="1104"/>
      <c r="R126" s="1104"/>
      <c r="S126" s="1053"/>
      <c r="T126" s="1053"/>
      <c r="U126" s="1053"/>
      <c r="W126" s="1053"/>
      <c r="X126" s="1053"/>
      <c r="Y126" s="1053"/>
      <c r="AA126" s="1106"/>
      <c r="AB126" s="1106"/>
      <c r="AC126" s="1106"/>
      <c r="AD126" s="1106"/>
      <c r="AE126" s="1106"/>
      <c r="AF126" s="1106"/>
      <c r="AH126" s="1105"/>
      <c r="AI126" s="1105"/>
      <c r="AJ126" s="1105"/>
      <c r="AK126" s="1105"/>
      <c r="AL126" s="1105"/>
      <c r="AM126" s="1105"/>
      <c r="AN126" s="1105"/>
      <c r="AO126" s="1105"/>
      <c r="AP126" s="1105"/>
      <c r="AQ126" s="1105"/>
      <c r="AR126" s="1105"/>
      <c r="AS126" s="1105"/>
      <c r="AT126" s="1105"/>
      <c r="AU126" s="1105"/>
      <c r="AV126" s="1105"/>
      <c r="AW126" s="1105"/>
      <c r="AX126" s="1105"/>
      <c r="AY126" s="1105"/>
      <c r="BA126" s="1105"/>
      <c r="BB126" s="1105"/>
      <c r="BC126" s="1105"/>
      <c r="BD126" s="1105"/>
      <c r="BE126" s="1105"/>
      <c r="BF126" s="1105"/>
      <c r="BG126" s="1105"/>
      <c r="BH126" s="1105"/>
      <c r="BI126" s="1105"/>
      <c r="BJ126" s="1105"/>
      <c r="BK126" s="1105"/>
      <c r="BL126" s="1105"/>
      <c r="BM126" s="1105"/>
      <c r="BN126" s="1105"/>
      <c r="BO126" s="1105"/>
      <c r="BP126" s="1105"/>
      <c r="BQ126" s="1105"/>
      <c r="BR126" s="1105"/>
      <c r="BS126" s="73"/>
      <c r="BU126" s="1097"/>
      <c r="BV126" s="1097"/>
      <c r="BW126" s="1097"/>
      <c r="BX126" s="1097"/>
      <c r="BZ126" s="1104"/>
      <c r="CA126" s="1104"/>
      <c r="CB126" s="1104"/>
      <c r="CC126" s="1104"/>
      <c r="CD126" s="1104"/>
      <c r="CE126" s="1104"/>
      <c r="CF126" s="1104"/>
      <c r="CG126" s="1104"/>
      <c r="CH126" s="1104"/>
      <c r="CI126" s="1104"/>
      <c r="CJ126" s="1104"/>
      <c r="CK126" s="1104"/>
      <c r="CL126" s="1104"/>
      <c r="CM126" s="1053"/>
      <c r="CN126" s="1053"/>
      <c r="CO126" s="1053"/>
      <c r="CQ126" s="1053"/>
      <c r="CR126" s="1053"/>
      <c r="CS126" s="1053"/>
      <c r="CU126" s="1106"/>
      <c r="CV126" s="1106"/>
      <c r="CW126" s="1106"/>
      <c r="CX126" s="1106"/>
      <c r="CY126" s="1106"/>
      <c r="CZ126" s="1106"/>
      <c r="DB126" s="1105"/>
      <c r="DC126" s="1105"/>
      <c r="DD126" s="1105"/>
      <c r="DE126" s="1105"/>
      <c r="DF126" s="1105"/>
      <c r="DG126" s="1105"/>
      <c r="DH126" s="1105"/>
      <c r="DI126" s="1105"/>
      <c r="DJ126" s="1105"/>
      <c r="DK126" s="1105"/>
      <c r="DL126" s="1105"/>
      <c r="DM126" s="1105"/>
      <c r="DN126" s="1105"/>
      <c r="DO126" s="1105"/>
      <c r="DP126" s="1105"/>
      <c r="DQ126" s="1105"/>
      <c r="DR126" s="1105"/>
      <c r="DS126" s="1105"/>
      <c r="DU126" s="1105"/>
      <c r="DV126" s="1105"/>
      <c r="DW126" s="1105"/>
      <c r="DX126" s="1105"/>
      <c r="DY126" s="1105"/>
      <c r="DZ126" s="1105"/>
      <c r="EA126" s="1105"/>
      <c r="EB126" s="1105"/>
      <c r="EC126" s="1105"/>
      <c r="ED126" s="1105"/>
      <c r="EE126" s="1105"/>
      <c r="EF126" s="1105"/>
      <c r="EG126" s="1105"/>
      <c r="EH126" s="1105"/>
      <c r="EI126" s="1105"/>
      <c r="EJ126" s="1105"/>
      <c r="EK126" s="1105"/>
      <c r="EL126" s="1105"/>
    </row>
    <row r="127" spans="1:142" ht="3.75" customHeight="1" x14ac:dyDescent="0.25">
      <c r="A127" s="1097"/>
      <c r="B127" s="1097"/>
      <c r="C127" s="1097"/>
      <c r="D127" s="1097"/>
      <c r="F127" s="1104"/>
      <c r="G127" s="1104"/>
      <c r="H127" s="1104"/>
      <c r="I127" s="1104"/>
      <c r="J127" s="1104"/>
      <c r="K127" s="1104"/>
      <c r="L127" s="1104"/>
      <c r="M127" s="1104"/>
      <c r="N127" s="1104"/>
      <c r="O127" s="1104"/>
      <c r="P127" s="1104"/>
      <c r="Q127" s="1104"/>
      <c r="R127" s="1104"/>
      <c r="S127" s="1053"/>
      <c r="T127" s="1053"/>
      <c r="U127" s="1053"/>
      <c r="W127" s="1053"/>
      <c r="X127" s="1053"/>
      <c r="Y127" s="1053"/>
      <c r="AA127" s="1106"/>
      <c r="AB127" s="1106"/>
      <c r="AC127" s="1106"/>
      <c r="AD127" s="1106"/>
      <c r="AE127" s="1106"/>
      <c r="AF127" s="1106"/>
      <c r="AH127" s="1105"/>
      <c r="AI127" s="1105"/>
      <c r="AJ127" s="1105"/>
      <c r="AK127" s="1105"/>
      <c r="AL127" s="1105"/>
      <c r="AM127" s="1105"/>
      <c r="AN127" s="1105"/>
      <c r="AO127" s="1105"/>
      <c r="AP127" s="1105"/>
      <c r="AQ127" s="1105"/>
      <c r="AR127" s="1105"/>
      <c r="AS127" s="1105"/>
      <c r="AT127" s="1105"/>
      <c r="AU127" s="1105"/>
      <c r="AV127" s="1105"/>
      <c r="AW127" s="1105"/>
      <c r="AX127" s="1105"/>
      <c r="AY127" s="1105"/>
      <c r="BA127" s="1105"/>
      <c r="BB127" s="1105"/>
      <c r="BC127" s="1105"/>
      <c r="BD127" s="1105"/>
      <c r="BE127" s="1105"/>
      <c r="BF127" s="1105"/>
      <c r="BG127" s="1105"/>
      <c r="BH127" s="1105"/>
      <c r="BI127" s="1105"/>
      <c r="BJ127" s="1105"/>
      <c r="BK127" s="1105"/>
      <c r="BL127" s="1105"/>
      <c r="BM127" s="1105"/>
      <c r="BN127" s="1105"/>
      <c r="BO127" s="1105"/>
      <c r="BP127" s="1105"/>
      <c r="BQ127" s="1105"/>
      <c r="BR127" s="1105"/>
      <c r="BS127" s="73"/>
      <c r="BU127" s="1097"/>
      <c r="BV127" s="1097"/>
      <c r="BW127" s="1097"/>
      <c r="BX127" s="1097"/>
      <c r="BZ127" s="1104"/>
      <c r="CA127" s="1104"/>
      <c r="CB127" s="1104"/>
      <c r="CC127" s="1104"/>
      <c r="CD127" s="1104"/>
      <c r="CE127" s="1104"/>
      <c r="CF127" s="1104"/>
      <c r="CG127" s="1104"/>
      <c r="CH127" s="1104"/>
      <c r="CI127" s="1104"/>
      <c r="CJ127" s="1104"/>
      <c r="CK127" s="1104"/>
      <c r="CL127" s="1104"/>
      <c r="CM127" s="1053"/>
      <c r="CN127" s="1053"/>
      <c r="CO127" s="1053"/>
      <c r="CQ127" s="1053"/>
      <c r="CR127" s="1053"/>
      <c r="CS127" s="1053"/>
      <c r="CU127" s="1106"/>
      <c r="CV127" s="1106"/>
      <c r="CW127" s="1106"/>
      <c r="CX127" s="1106"/>
      <c r="CY127" s="1106"/>
      <c r="CZ127" s="1106"/>
      <c r="DB127" s="1105"/>
      <c r="DC127" s="1105"/>
      <c r="DD127" s="1105"/>
      <c r="DE127" s="1105"/>
      <c r="DF127" s="1105"/>
      <c r="DG127" s="1105"/>
      <c r="DH127" s="1105"/>
      <c r="DI127" s="1105"/>
      <c r="DJ127" s="1105"/>
      <c r="DK127" s="1105"/>
      <c r="DL127" s="1105"/>
      <c r="DM127" s="1105"/>
      <c r="DN127" s="1105"/>
      <c r="DO127" s="1105"/>
      <c r="DP127" s="1105"/>
      <c r="DQ127" s="1105"/>
      <c r="DR127" s="1105"/>
      <c r="DS127" s="1105"/>
      <c r="DU127" s="1105"/>
      <c r="DV127" s="1105"/>
      <c r="DW127" s="1105"/>
      <c r="DX127" s="1105"/>
      <c r="DY127" s="1105"/>
      <c r="DZ127" s="1105"/>
      <c r="EA127" s="1105"/>
      <c r="EB127" s="1105"/>
      <c r="EC127" s="1105"/>
      <c r="ED127" s="1105"/>
      <c r="EE127" s="1105"/>
      <c r="EF127" s="1105"/>
      <c r="EG127" s="1105"/>
      <c r="EH127" s="1105"/>
      <c r="EI127" s="1105"/>
      <c r="EJ127" s="1105"/>
      <c r="EK127" s="1105"/>
      <c r="EL127" s="1105"/>
    </row>
    <row r="128" spans="1:142" ht="3.75" customHeight="1" x14ac:dyDescent="0.25">
      <c r="A128" s="1097"/>
      <c r="B128" s="1097"/>
      <c r="C128" s="1097"/>
      <c r="D128" s="1097"/>
      <c r="AA128" s="1106"/>
      <c r="AB128" s="1106"/>
      <c r="AC128" s="1106"/>
      <c r="AD128" s="1106"/>
      <c r="AE128" s="1106"/>
      <c r="AF128" s="1106"/>
      <c r="AH128" s="1105"/>
      <c r="AI128" s="1105"/>
      <c r="AJ128" s="1105"/>
      <c r="AK128" s="1105"/>
      <c r="AL128" s="1105"/>
      <c r="AM128" s="1105"/>
      <c r="AN128" s="1105"/>
      <c r="AO128" s="1105"/>
      <c r="AP128" s="1105"/>
      <c r="AQ128" s="1105"/>
      <c r="AR128" s="1105"/>
      <c r="AS128" s="1105"/>
      <c r="AT128" s="1105"/>
      <c r="AU128" s="1105"/>
      <c r="AV128" s="1105"/>
      <c r="AW128" s="1105"/>
      <c r="AX128" s="1105"/>
      <c r="AY128" s="1105"/>
      <c r="BA128" s="1105"/>
      <c r="BB128" s="1105"/>
      <c r="BC128" s="1105"/>
      <c r="BD128" s="1105"/>
      <c r="BE128" s="1105"/>
      <c r="BF128" s="1105"/>
      <c r="BG128" s="1105"/>
      <c r="BH128" s="1105"/>
      <c r="BI128" s="1105"/>
      <c r="BJ128" s="1105"/>
      <c r="BK128" s="1105"/>
      <c r="BL128" s="1105"/>
      <c r="BM128" s="1105"/>
      <c r="BN128" s="1105"/>
      <c r="BO128" s="1105"/>
      <c r="BP128" s="1105"/>
      <c r="BQ128" s="1105"/>
      <c r="BR128" s="1105"/>
      <c r="BS128" s="73"/>
      <c r="BU128" s="1097"/>
      <c r="BV128" s="1097"/>
      <c r="BW128" s="1097"/>
      <c r="BX128" s="1097"/>
      <c r="CU128" s="1106"/>
      <c r="CV128" s="1106"/>
      <c r="CW128" s="1106"/>
      <c r="CX128" s="1106"/>
      <c r="CY128" s="1106"/>
      <c r="CZ128" s="1106"/>
      <c r="DB128" s="1105"/>
      <c r="DC128" s="1105"/>
      <c r="DD128" s="1105"/>
      <c r="DE128" s="1105"/>
      <c r="DF128" s="1105"/>
      <c r="DG128" s="1105"/>
      <c r="DH128" s="1105"/>
      <c r="DI128" s="1105"/>
      <c r="DJ128" s="1105"/>
      <c r="DK128" s="1105"/>
      <c r="DL128" s="1105"/>
      <c r="DM128" s="1105"/>
      <c r="DN128" s="1105"/>
      <c r="DO128" s="1105"/>
      <c r="DP128" s="1105"/>
      <c r="DQ128" s="1105"/>
      <c r="DR128" s="1105"/>
      <c r="DS128" s="1105"/>
      <c r="DU128" s="1105"/>
      <c r="DV128" s="1105"/>
      <c r="DW128" s="1105"/>
      <c r="DX128" s="1105"/>
      <c r="DY128" s="1105"/>
      <c r="DZ128" s="1105"/>
      <c r="EA128" s="1105"/>
      <c r="EB128" s="1105"/>
      <c r="EC128" s="1105"/>
      <c r="ED128" s="1105"/>
      <c r="EE128" s="1105"/>
      <c r="EF128" s="1105"/>
      <c r="EG128" s="1105"/>
      <c r="EH128" s="1105"/>
      <c r="EI128" s="1105"/>
      <c r="EJ128" s="1105"/>
      <c r="EK128" s="1105"/>
      <c r="EL128" s="1105"/>
    </row>
    <row r="129" spans="1:142" ht="3.75" customHeight="1" x14ac:dyDescent="0.25">
      <c r="A129" s="1097"/>
      <c r="B129" s="1097"/>
      <c r="C129" s="1097"/>
      <c r="D129" s="1097"/>
      <c r="F129" s="1104" t="s">
        <v>617</v>
      </c>
      <c r="G129" s="1104"/>
      <c r="H129" s="1104"/>
      <c r="I129" s="1104"/>
      <c r="J129" s="1104"/>
      <c r="K129" s="1104"/>
      <c r="L129" s="1104"/>
      <c r="M129" s="1104"/>
      <c r="N129" s="1104"/>
      <c r="O129" s="1104"/>
      <c r="P129" s="1104"/>
      <c r="Q129" s="1104"/>
      <c r="R129" s="1104"/>
      <c r="S129" s="1053"/>
      <c r="T129" s="1053"/>
      <c r="U129" s="1053"/>
      <c r="W129" s="1053"/>
      <c r="X129" s="1053"/>
      <c r="Y129" s="1053"/>
      <c r="AA129" s="1106"/>
      <c r="AB129" s="1106"/>
      <c r="AC129" s="1106"/>
      <c r="AD129" s="1106"/>
      <c r="AE129" s="1106"/>
      <c r="AF129" s="1106"/>
      <c r="AH129" s="1105"/>
      <c r="AI129" s="1105"/>
      <c r="AJ129" s="1105"/>
      <c r="AK129" s="1105"/>
      <c r="AL129" s="1105"/>
      <c r="AM129" s="1105"/>
      <c r="AN129" s="1105"/>
      <c r="AO129" s="1105"/>
      <c r="AP129" s="1105"/>
      <c r="AQ129" s="1105"/>
      <c r="AR129" s="1105"/>
      <c r="AS129" s="1105"/>
      <c r="AT129" s="1105"/>
      <c r="AU129" s="1105"/>
      <c r="AV129" s="1105"/>
      <c r="AW129" s="1105"/>
      <c r="AX129" s="1105"/>
      <c r="AY129" s="1105"/>
      <c r="BA129" s="1105"/>
      <c r="BB129" s="1105"/>
      <c r="BC129" s="1105"/>
      <c r="BD129" s="1105"/>
      <c r="BE129" s="1105"/>
      <c r="BF129" s="1105"/>
      <c r="BG129" s="1105"/>
      <c r="BH129" s="1105"/>
      <c r="BI129" s="1105"/>
      <c r="BJ129" s="1105"/>
      <c r="BK129" s="1105"/>
      <c r="BL129" s="1105"/>
      <c r="BM129" s="1105"/>
      <c r="BN129" s="1105"/>
      <c r="BO129" s="1105"/>
      <c r="BP129" s="1105"/>
      <c r="BQ129" s="1105"/>
      <c r="BR129" s="1105"/>
      <c r="BS129" s="73"/>
      <c r="BU129" s="1097"/>
      <c r="BV129" s="1097"/>
      <c r="BW129" s="1097"/>
      <c r="BX129" s="1097"/>
      <c r="BZ129" s="1104" t="s">
        <v>617</v>
      </c>
      <c r="CA129" s="1104"/>
      <c r="CB129" s="1104"/>
      <c r="CC129" s="1104"/>
      <c r="CD129" s="1104"/>
      <c r="CE129" s="1104"/>
      <c r="CF129" s="1104"/>
      <c r="CG129" s="1104"/>
      <c r="CH129" s="1104"/>
      <c r="CI129" s="1104"/>
      <c r="CJ129" s="1104"/>
      <c r="CK129" s="1104"/>
      <c r="CL129" s="1104"/>
      <c r="CM129" s="1053"/>
      <c r="CN129" s="1053"/>
      <c r="CO129" s="1053"/>
      <c r="CQ129" s="1053"/>
      <c r="CR129" s="1053"/>
      <c r="CS129" s="1053"/>
      <c r="CU129" s="1106"/>
      <c r="CV129" s="1106"/>
      <c r="CW129" s="1106"/>
      <c r="CX129" s="1106"/>
      <c r="CY129" s="1106"/>
      <c r="CZ129" s="1106"/>
      <c r="DB129" s="1105"/>
      <c r="DC129" s="1105"/>
      <c r="DD129" s="1105"/>
      <c r="DE129" s="1105"/>
      <c r="DF129" s="1105"/>
      <c r="DG129" s="1105"/>
      <c r="DH129" s="1105"/>
      <c r="DI129" s="1105"/>
      <c r="DJ129" s="1105"/>
      <c r="DK129" s="1105"/>
      <c r="DL129" s="1105"/>
      <c r="DM129" s="1105"/>
      <c r="DN129" s="1105"/>
      <c r="DO129" s="1105"/>
      <c r="DP129" s="1105"/>
      <c r="DQ129" s="1105"/>
      <c r="DR129" s="1105"/>
      <c r="DS129" s="1105"/>
      <c r="DU129" s="1105"/>
      <c r="DV129" s="1105"/>
      <c r="DW129" s="1105"/>
      <c r="DX129" s="1105"/>
      <c r="DY129" s="1105"/>
      <c r="DZ129" s="1105"/>
      <c r="EA129" s="1105"/>
      <c r="EB129" s="1105"/>
      <c r="EC129" s="1105"/>
      <c r="ED129" s="1105"/>
      <c r="EE129" s="1105"/>
      <c r="EF129" s="1105"/>
      <c r="EG129" s="1105"/>
      <c r="EH129" s="1105"/>
      <c r="EI129" s="1105"/>
      <c r="EJ129" s="1105"/>
      <c r="EK129" s="1105"/>
      <c r="EL129" s="1105"/>
    </row>
    <row r="130" spans="1:142" ht="3.75" customHeight="1" x14ac:dyDescent="0.25">
      <c r="A130" s="1097"/>
      <c r="B130" s="1097"/>
      <c r="C130" s="1097"/>
      <c r="D130" s="1097"/>
      <c r="F130" s="1104"/>
      <c r="G130" s="1104"/>
      <c r="H130" s="1104"/>
      <c r="I130" s="1104"/>
      <c r="J130" s="1104"/>
      <c r="K130" s="1104"/>
      <c r="L130" s="1104"/>
      <c r="M130" s="1104"/>
      <c r="N130" s="1104"/>
      <c r="O130" s="1104"/>
      <c r="P130" s="1104"/>
      <c r="Q130" s="1104"/>
      <c r="R130" s="1104"/>
      <c r="S130" s="1053"/>
      <c r="T130" s="1053"/>
      <c r="U130" s="1053"/>
      <c r="W130" s="1053"/>
      <c r="X130" s="1053"/>
      <c r="Y130" s="1053"/>
      <c r="AA130" s="1106"/>
      <c r="AB130" s="1106"/>
      <c r="AC130" s="1106"/>
      <c r="AD130" s="1106"/>
      <c r="AE130" s="1106"/>
      <c r="AF130" s="1106"/>
      <c r="AH130" s="1105"/>
      <c r="AI130" s="1105"/>
      <c r="AJ130" s="1105"/>
      <c r="AK130" s="1105"/>
      <c r="AL130" s="1105"/>
      <c r="AM130" s="1105"/>
      <c r="AN130" s="1105"/>
      <c r="AO130" s="1105"/>
      <c r="AP130" s="1105"/>
      <c r="AQ130" s="1105"/>
      <c r="AR130" s="1105"/>
      <c r="AS130" s="1105"/>
      <c r="AT130" s="1105"/>
      <c r="AU130" s="1105"/>
      <c r="AV130" s="1105"/>
      <c r="AW130" s="1105"/>
      <c r="AX130" s="1105"/>
      <c r="AY130" s="1105"/>
      <c r="BA130" s="1105"/>
      <c r="BB130" s="1105"/>
      <c r="BC130" s="1105"/>
      <c r="BD130" s="1105"/>
      <c r="BE130" s="1105"/>
      <c r="BF130" s="1105"/>
      <c r="BG130" s="1105"/>
      <c r="BH130" s="1105"/>
      <c r="BI130" s="1105"/>
      <c r="BJ130" s="1105"/>
      <c r="BK130" s="1105"/>
      <c r="BL130" s="1105"/>
      <c r="BM130" s="1105"/>
      <c r="BN130" s="1105"/>
      <c r="BO130" s="1105"/>
      <c r="BP130" s="1105"/>
      <c r="BQ130" s="1105"/>
      <c r="BR130" s="1105"/>
      <c r="BS130" s="73"/>
      <c r="BU130" s="1097"/>
      <c r="BV130" s="1097"/>
      <c r="BW130" s="1097"/>
      <c r="BX130" s="1097"/>
      <c r="BZ130" s="1104"/>
      <c r="CA130" s="1104"/>
      <c r="CB130" s="1104"/>
      <c r="CC130" s="1104"/>
      <c r="CD130" s="1104"/>
      <c r="CE130" s="1104"/>
      <c r="CF130" s="1104"/>
      <c r="CG130" s="1104"/>
      <c r="CH130" s="1104"/>
      <c r="CI130" s="1104"/>
      <c r="CJ130" s="1104"/>
      <c r="CK130" s="1104"/>
      <c r="CL130" s="1104"/>
      <c r="CM130" s="1053"/>
      <c r="CN130" s="1053"/>
      <c r="CO130" s="1053"/>
      <c r="CQ130" s="1053"/>
      <c r="CR130" s="1053"/>
      <c r="CS130" s="1053"/>
      <c r="CU130" s="1106"/>
      <c r="CV130" s="1106"/>
      <c r="CW130" s="1106"/>
      <c r="CX130" s="1106"/>
      <c r="CY130" s="1106"/>
      <c r="CZ130" s="1106"/>
      <c r="DB130" s="1105"/>
      <c r="DC130" s="1105"/>
      <c r="DD130" s="1105"/>
      <c r="DE130" s="1105"/>
      <c r="DF130" s="1105"/>
      <c r="DG130" s="1105"/>
      <c r="DH130" s="1105"/>
      <c r="DI130" s="1105"/>
      <c r="DJ130" s="1105"/>
      <c r="DK130" s="1105"/>
      <c r="DL130" s="1105"/>
      <c r="DM130" s="1105"/>
      <c r="DN130" s="1105"/>
      <c r="DO130" s="1105"/>
      <c r="DP130" s="1105"/>
      <c r="DQ130" s="1105"/>
      <c r="DR130" s="1105"/>
      <c r="DS130" s="1105"/>
      <c r="DU130" s="1105"/>
      <c r="DV130" s="1105"/>
      <c r="DW130" s="1105"/>
      <c r="DX130" s="1105"/>
      <c r="DY130" s="1105"/>
      <c r="DZ130" s="1105"/>
      <c r="EA130" s="1105"/>
      <c r="EB130" s="1105"/>
      <c r="EC130" s="1105"/>
      <c r="ED130" s="1105"/>
      <c r="EE130" s="1105"/>
      <c r="EF130" s="1105"/>
      <c r="EG130" s="1105"/>
      <c r="EH130" s="1105"/>
      <c r="EI130" s="1105"/>
      <c r="EJ130" s="1105"/>
      <c r="EK130" s="1105"/>
      <c r="EL130" s="1105"/>
    </row>
    <row r="131" spans="1:142" ht="3.75" customHeight="1" x14ac:dyDescent="0.25">
      <c r="A131" s="1097"/>
      <c r="B131" s="1097"/>
      <c r="C131" s="1097"/>
      <c r="D131" s="1097"/>
      <c r="F131" s="1104"/>
      <c r="G131" s="1104"/>
      <c r="H131" s="1104"/>
      <c r="I131" s="1104"/>
      <c r="J131" s="1104"/>
      <c r="K131" s="1104"/>
      <c r="L131" s="1104"/>
      <c r="M131" s="1104"/>
      <c r="N131" s="1104"/>
      <c r="O131" s="1104"/>
      <c r="P131" s="1104"/>
      <c r="Q131" s="1104"/>
      <c r="R131" s="1104"/>
      <c r="S131" s="1053"/>
      <c r="T131" s="1053"/>
      <c r="U131" s="1053"/>
      <c r="W131" s="1053"/>
      <c r="X131" s="1053"/>
      <c r="Y131" s="1053"/>
      <c r="AA131" s="1106"/>
      <c r="AB131" s="1106"/>
      <c r="AC131" s="1106"/>
      <c r="AD131" s="1106"/>
      <c r="AE131" s="1106"/>
      <c r="AF131" s="1106"/>
      <c r="AH131" s="1105"/>
      <c r="AI131" s="1105"/>
      <c r="AJ131" s="1105"/>
      <c r="AK131" s="1105"/>
      <c r="AL131" s="1105"/>
      <c r="AM131" s="1105"/>
      <c r="AN131" s="1105"/>
      <c r="AO131" s="1105"/>
      <c r="AP131" s="1105"/>
      <c r="AQ131" s="1105"/>
      <c r="AR131" s="1105"/>
      <c r="AS131" s="1105"/>
      <c r="AT131" s="1105"/>
      <c r="AU131" s="1105"/>
      <c r="AV131" s="1105"/>
      <c r="AW131" s="1105"/>
      <c r="AX131" s="1105"/>
      <c r="AY131" s="1105"/>
      <c r="BA131" s="1105"/>
      <c r="BB131" s="1105"/>
      <c r="BC131" s="1105"/>
      <c r="BD131" s="1105"/>
      <c r="BE131" s="1105"/>
      <c r="BF131" s="1105"/>
      <c r="BG131" s="1105"/>
      <c r="BH131" s="1105"/>
      <c r="BI131" s="1105"/>
      <c r="BJ131" s="1105"/>
      <c r="BK131" s="1105"/>
      <c r="BL131" s="1105"/>
      <c r="BM131" s="1105"/>
      <c r="BN131" s="1105"/>
      <c r="BO131" s="1105"/>
      <c r="BP131" s="1105"/>
      <c r="BQ131" s="1105"/>
      <c r="BR131" s="1105"/>
      <c r="BS131" s="73"/>
      <c r="BU131" s="1097"/>
      <c r="BV131" s="1097"/>
      <c r="BW131" s="1097"/>
      <c r="BX131" s="1097"/>
      <c r="BZ131" s="1104"/>
      <c r="CA131" s="1104"/>
      <c r="CB131" s="1104"/>
      <c r="CC131" s="1104"/>
      <c r="CD131" s="1104"/>
      <c r="CE131" s="1104"/>
      <c r="CF131" s="1104"/>
      <c r="CG131" s="1104"/>
      <c r="CH131" s="1104"/>
      <c r="CI131" s="1104"/>
      <c r="CJ131" s="1104"/>
      <c r="CK131" s="1104"/>
      <c r="CL131" s="1104"/>
      <c r="CM131" s="1053"/>
      <c r="CN131" s="1053"/>
      <c r="CO131" s="1053"/>
      <c r="CQ131" s="1053"/>
      <c r="CR131" s="1053"/>
      <c r="CS131" s="1053"/>
      <c r="CU131" s="1106"/>
      <c r="CV131" s="1106"/>
      <c r="CW131" s="1106"/>
      <c r="CX131" s="1106"/>
      <c r="CY131" s="1106"/>
      <c r="CZ131" s="1106"/>
      <c r="DB131" s="1105"/>
      <c r="DC131" s="1105"/>
      <c r="DD131" s="1105"/>
      <c r="DE131" s="1105"/>
      <c r="DF131" s="1105"/>
      <c r="DG131" s="1105"/>
      <c r="DH131" s="1105"/>
      <c r="DI131" s="1105"/>
      <c r="DJ131" s="1105"/>
      <c r="DK131" s="1105"/>
      <c r="DL131" s="1105"/>
      <c r="DM131" s="1105"/>
      <c r="DN131" s="1105"/>
      <c r="DO131" s="1105"/>
      <c r="DP131" s="1105"/>
      <c r="DQ131" s="1105"/>
      <c r="DR131" s="1105"/>
      <c r="DS131" s="1105"/>
      <c r="DU131" s="1105"/>
      <c r="DV131" s="1105"/>
      <c r="DW131" s="1105"/>
      <c r="DX131" s="1105"/>
      <c r="DY131" s="1105"/>
      <c r="DZ131" s="1105"/>
      <c r="EA131" s="1105"/>
      <c r="EB131" s="1105"/>
      <c r="EC131" s="1105"/>
      <c r="ED131" s="1105"/>
      <c r="EE131" s="1105"/>
      <c r="EF131" s="1105"/>
      <c r="EG131" s="1105"/>
      <c r="EH131" s="1105"/>
      <c r="EI131" s="1105"/>
      <c r="EJ131" s="1105"/>
      <c r="EK131" s="1105"/>
      <c r="EL131" s="1105"/>
    </row>
    <row r="132" spans="1:142" ht="3.75" customHeight="1" x14ac:dyDescent="0.25">
      <c r="A132" s="1097"/>
      <c r="B132" s="1097"/>
      <c r="C132" s="1097"/>
      <c r="D132" s="1097"/>
      <c r="AA132" s="1106"/>
      <c r="AB132" s="1106"/>
      <c r="AC132" s="1106"/>
      <c r="AD132" s="1106"/>
      <c r="AE132" s="1106"/>
      <c r="AF132" s="1106"/>
      <c r="AH132" s="1105"/>
      <c r="AI132" s="1105"/>
      <c r="AJ132" s="1105"/>
      <c r="AK132" s="1105"/>
      <c r="AL132" s="1105"/>
      <c r="AM132" s="1105"/>
      <c r="AN132" s="1105"/>
      <c r="AO132" s="1105"/>
      <c r="AP132" s="1105"/>
      <c r="AQ132" s="1105"/>
      <c r="AR132" s="1105"/>
      <c r="AS132" s="1105"/>
      <c r="AT132" s="1105"/>
      <c r="AU132" s="1105"/>
      <c r="AV132" s="1105"/>
      <c r="AW132" s="1105"/>
      <c r="AX132" s="1105"/>
      <c r="AY132" s="1105"/>
      <c r="BA132" s="1105"/>
      <c r="BB132" s="1105"/>
      <c r="BC132" s="1105"/>
      <c r="BD132" s="1105"/>
      <c r="BE132" s="1105"/>
      <c r="BF132" s="1105"/>
      <c r="BG132" s="1105"/>
      <c r="BH132" s="1105"/>
      <c r="BI132" s="1105"/>
      <c r="BJ132" s="1105"/>
      <c r="BK132" s="1105"/>
      <c r="BL132" s="1105"/>
      <c r="BM132" s="1105"/>
      <c r="BN132" s="1105"/>
      <c r="BO132" s="1105"/>
      <c r="BP132" s="1105"/>
      <c r="BQ132" s="1105"/>
      <c r="BR132" s="1105"/>
      <c r="BS132" s="73"/>
      <c r="BU132" s="1097"/>
      <c r="BV132" s="1097"/>
      <c r="BW132" s="1097"/>
      <c r="BX132" s="1097"/>
      <c r="CU132" s="1106"/>
      <c r="CV132" s="1106"/>
      <c r="CW132" s="1106"/>
      <c r="CX132" s="1106"/>
      <c r="CY132" s="1106"/>
      <c r="CZ132" s="1106"/>
      <c r="DB132" s="1105"/>
      <c r="DC132" s="1105"/>
      <c r="DD132" s="1105"/>
      <c r="DE132" s="1105"/>
      <c r="DF132" s="1105"/>
      <c r="DG132" s="1105"/>
      <c r="DH132" s="1105"/>
      <c r="DI132" s="1105"/>
      <c r="DJ132" s="1105"/>
      <c r="DK132" s="1105"/>
      <c r="DL132" s="1105"/>
      <c r="DM132" s="1105"/>
      <c r="DN132" s="1105"/>
      <c r="DO132" s="1105"/>
      <c r="DP132" s="1105"/>
      <c r="DQ132" s="1105"/>
      <c r="DR132" s="1105"/>
      <c r="DS132" s="1105"/>
      <c r="DU132" s="1105"/>
      <c r="DV132" s="1105"/>
      <c r="DW132" s="1105"/>
      <c r="DX132" s="1105"/>
      <c r="DY132" s="1105"/>
      <c r="DZ132" s="1105"/>
      <c r="EA132" s="1105"/>
      <c r="EB132" s="1105"/>
      <c r="EC132" s="1105"/>
      <c r="ED132" s="1105"/>
      <c r="EE132" s="1105"/>
      <c r="EF132" s="1105"/>
      <c r="EG132" s="1105"/>
      <c r="EH132" s="1105"/>
      <c r="EI132" s="1105"/>
      <c r="EJ132" s="1105"/>
      <c r="EK132" s="1105"/>
      <c r="EL132" s="1105"/>
    </row>
    <row r="133" spans="1:142" ht="3.75" customHeight="1" x14ac:dyDescent="0.25">
      <c r="A133" s="1097"/>
      <c r="B133" s="1097"/>
      <c r="C133" s="1097"/>
      <c r="D133" s="1097"/>
      <c r="F133" s="1104" t="s">
        <v>616</v>
      </c>
      <c r="G133" s="1104"/>
      <c r="H133" s="1104"/>
      <c r="I133" s="1104"/>
      <c r="J133" s="1104"/>
      <c r="K133" s="1104"/>
      <c r="L133" s="1104"/>
      <c r="M133" s="1104"/>
      <c r="N133" s="1104"/>
      <c r="O133" s="1104"/>
      <c r="P133" s="1104"/>
      <c r="Q133" s="1104"/>
      <c r="R133" s="1104"/>
      <c r="S133" s="1053"/>
      <c r="T133" s="1053"/>
      <c r="U133" s="1053"/>
      <c r="W133" s="1053"/>
      <c r="X133" s="1053"/>
      <c r="Y133" s="1053"/>
      <c r="AA133" s="1106"/>
      <c r="AB133" s="1106"/>
      <c r="AC133" s="1106"/>
      <c r="AD133" s="1106"/>
      <c r="AE133" s="1106"/>
      <c r="AF133" s="1106"/>
      <c r="AH133" s="1105"/>
      <c r="AI133" s="1105"/>
      <c r="AJ133" s="1105"/>
      <c r="AK133" s="1105"/>
      <c r="AL133" s="1105"/>
      <c r="AM133" s="1105"/>
      <c r="AN133" s="1105"/>
      <c r="AO133" s="1105"/>
      <c r="AP133" s="1105"/>
      <c r="AQ133" s="1105"/>
      <c r="AR133" s="1105"/>
      <c r="AS133" s="1105"/>
      <c r="AT133" s="1105"/>
      <c r="AU133" s="1105"/>
      <c r="AV133" s="1105"/>
      <c r="AW133" s="1105"/>
      <c r="AX133" s="1105"/>
      <c r="AY133" s="1105"/>
      <c r="BA133" s="1105"/>
      <c r="BB133" s="1105"/>
      <c r="BC133" s="1105"/>
      <c r="BD133" s="1105"/>
      <c r="BE133" s="1105"/>
      <c r="BF133" s="1105"/>
      <c r="BG133" s="1105"/>
      <c r="BH133" s="1105"/>
      <c r="BI133" s="1105"/>
      <c r="BJ133" s="1105"/>
      <c r="BK133" s="1105"/>
      <c r="BL133" s="1105"/>
      <c r="BM133" s="1105"/>
      <c r="BN133" s="1105"/>
      <c r="BO133" s="1105"/>
      <c r="BP133" s="1105"/>
      <c r="BQ133" s="1105"/>
      <c r="BR133" s="1105"/>
      <c r="BS133" s="73"/>
      <c r="BU133" s="1097"/>
      <c r="BV133" s="1097"/>
      <c r="BW133" s="1097"/>
      <c r="BX133" s="1097"/>
      <c r="BZ133" s="1104" t="s">
        <v>616</v>
      </c>
      <c r="CA133" s="1104"/>
      <c r="CB133" s="1104"/>
      <c r="CC133" s="1104"/>
      <c r="CD133" s="1104"/>
      <c r="CE133" s="1104"/>
      <c r="CF133" s="1104"/>
      <c r="CG133" s="1104"/>
      <c r="CH133" s="1104"/>
      <c r="CI133" s="1104"/>
      <c r="CJ133" s="1104"/>
      <c r="CK133" s="1104"/>
      <c r="CL133" s="1104"/>
      <c r="CM133" s="1053"/>
      <c r="CN133" s="1053"/>
      <c r="CO133" s="1053"/>
      <c r="CQ133" s="1053"/>
      <c r="CR133" s="1053"/>
      <c r="CS133" s="1053"/>
      <c r="CU133" s="1106"/>
      <c r="CV133" s="1106"/>
      <c r="CW133" s="1106"/>
      <c r="CX133" s="1106"/>
      <c r="CY133" s="1106"/>
      <c r="CZ133" s="1106"/>
      <c r="DB133" s="1105"/>
      <c r="DC133" s="1105"/>
      <c r="DD133" s="1105"/>
      <c r="DE133" s="1105"/>
      <c r="DF133" s="1105"/>
      <c r="DG133" s="1105"/>
      <c r="DH133" s="1105"/>
      <c r="DI133" s="1105"/>
      <c r="DJ133" s="1105"/>
      <c r="DK133" s="1105"/>
      <c r="DL133" s="1105"/>
      <c r="DM133" s="1105"/>
      <c r="DN133" s="1105"/>
      <c r="DO133" s="1105"/>
      <c r="DP133" s="1105"/>
      <c r="DQ133" s="1105"/>
      <c r="DR133" s="1105"/>
      <c r="DS133" s="1105"/>
      <c r="DU133" s="1105"/>
      <c r="DV133" s="1105"/>
      <c r="DW133" s="1105"/>
      <c r="DX133" s="1105"/>
      <c r="DY133" s="1105"/>
      <c r="DZ133" s="1105"/>
      <c r="EA133" s="1105"/>
      <c r="EB133" s="1105"/>
      <c r="EC133" s="1105"/>
      <c r="ED133" s="1105"/>
      <c r="EE133" s="1105"/>
      <c r="EF133" s="1105"/>
      <c r="EG133" s="1105"/>
      <c r="EH133" s="1105"/>
      <c r="EI133" s="1105"/>
      <c r="EJ133" s="1105"/>
      <c r="EK133" s="1105"/>
      <c r="EL133" s="1105"/>
    </row>
    <row r="134" spans="1:142" ht="3.75" customHeight="1" x14ac:dyDescent="0.25">
      <c r="A134" s="1097"/>
      <c r="B134" s="1097"/>
      <c r="C134" s="1097"/>
      <c r="D134" s="1097"/>
      <c r="F134" s="1104"/>
      <c r="G134" s="1104"/>
      <c r="H134" s="1104"/>
      <c r="I134" s="1104"/>
      <c r="J134" s="1104"/>
      <c r="K134" s="1104"/>
      <c r="L134" s="1104"/>
      <c r="M134" s="1104"/>
      <c r="N134" s="1104"/>
      <c r="O134" s="1104"/>
      <c r="P134" s="1104"/>
      <c r="Q134" s="1104"/>
      <c r="R134" s="1104"/>
      <c r="S134" s="1053"/>
      <c r="T134" s="1053"/>
      <c r="U134" s="1053"/>
      <c r="W134" s="1053"/>
      <c r="X134" s="1053"/>
      <c r="Y134" s="1053"/>
      <c r="AA134" s="1106"/>
      <c r="AB134" s="1106"/>
      <c r="AC134" s="1106"/>
      <c r="AD134" s="1106"/>
      <c r="AE134" s="1106"/>
      <c r="AF134" s="1106"/>
      <c r="AH134" s="1105"/>
      <c r="AI134" s="1105"/>
      <c r="AJ134" s="1105"/>
      <c r="AK134" s="1105"/>
      <c r="AL134" s="1105"/>
      <c r="AM134" s="1105"/>
      <c r="AN134" s="1105"/>
      <c r="AO134" s="1105"/>
      <c r="AP134" s="1105"/>
      <c r="AQ134" s="1105"/>
      <c r="AR134" s="1105"/>
      <c r="AS134" s="1105"/>
      <c r="AT134" s="1105"/>
      <c r="AU134" s="1105"/>
      <c r="AV134" s="1105"/>
      <c r="AW134" s="1105"/>
      <c r="AX134" s="1105"/>
      <c r="AY134" s="1105"/>
      <c r="BA134" s="1105"/>
      <c r="BB134" s="1105"/>
      <c r="BC134" s="1105"/>
      <c r="BD134" s="1105"/>
      <c r="BE134" s="1105"/>
      <c r="BF134" s="1105"/>
      <c r="BG134" s="1105"/>
      <c r="BH134" s="1105"/>
      <c r="BI134" s="1105"/>
      <c r="BJ134" s="1105"/>
      <c r="BK134" s="1105"/>
      <c r="BL134" s="1105"/>
      <c r="BM134" s="1105"/>
      <c r="BN134" s="1105"/>
      <c r="BO134" s="1105"/>
      <c r="BP134" s="1105"/>
      <c r="BQ134" s="1105"/>
      <c r="BR134" s="1105"/>
      <c r="BS134" s="73"/>
      <c r="BU134" s="1097"/>
      <c r="BV134" s="1097"/>
      <c r="BW134" s="1097"/>
      <c r="BX134" s="1097"/>
      <c r="BZ134" s="1104"/>
      <c r="CA134" s="1104"/>
      <c r="CB134" s="1104"/>
      <c r="CC134" s="1104"/>
      <c r="CD134" s="1104"/>
      <c r="CE134" s="1104"/>
      <c r="CF134" s="1104"/>
      <c r="CG134" s="1104"/>
      <c r="CH134" s="1104"/>
      <c r="CI134" s="1104"/>
      <c r="CJ134" s="1104"/>
      <c r="CK134" s="1104"/>
      <c r="CL134" s="1104"/>
      <c r="CM134" s="1053"/>
      <c r="CN134" s="1053"/>
      <c r="CO134" s="1053"/>
      <c r="CQ134" s="1053"/>
      <c r="CR134" s="1053"/>
      <c r="CS134" s="1053"/>
      <c r="CU134" s="1106"/>
      <c r="CV134" s="1106"/>
      <c r="CW134" s="1106"/>
      <c r="CX134" s="1106"/>
      <c r="CY134" s="1106"/>
      <c r="CZ134" s="1106"/>
      <c r="DB134" s="1105"/>
      <c r="DC134" s="1105"/>
      <c r="DD134" s="1105"/>
      <c r="DE134" s="1105"/>
      <c r="DF134" s="1105"/>
      <c r="DG134" s="1105"/>
      <c r="DH134" s="1105"/>
      <c r="DI134" s="1105"/>
      <c r="DJ134" s="1105"/>
      <c r="DK134" s="1105"/>
      <c r="DL134" s="1105"/>
      <c r="DM134" s="1105"/>
      <c r="DN134" s="1105"/>
      <c r="DO134" s="1105"/>
      <c r="DP134" s="1105"/>
      <c r="DQ134" s="1105"/>
      <c r="DR134" s="1105"/>
      <c r="DS134" s="1105"/>
      <c r="DU134" s="1105"/>
      <c r="DV134" s="1105"/>
      <c r="DW134" s="1105"/>
      <c r="DX134" s="1105"/>
      <c r="DY134" s="1105"/>
      <c r="DZ134" s="1105"/>
      <c r="EA134" s="1105"/>
      <c r="EB134" s="1105"/>
      <c r="EC134" s="1105"/>
      <c r="ED134" s="1105"/>
      <c r="EE134" s="1105"/>
      <c r="EF134" s="1105"/>
      <c r="EG134" s="1105"/>
      <c r="EH134" s="1105"/>
      <c r="EI134" s="1105"/>
      <c r="EJ134" s="1105"/>
      <c r="EK134" s="1105"/>
      <c r="EL134" s="1105"/>
    </row>
    <row r="135" spans="1:142" ht="3.75" customHeight="1" x14ac:dyDescent="0.25">
      <c r="A135" s="1097"/>
      <c r="B135" s="1097"/>
      <c r="C135" s="1097"/>
      <c r="D135" s="1097"/>
      <c r="F135" s="1104"/>
      <c r="G135" s="1104"/>
      <c r="H135" s="1104"/>
      <c r="I135" s="1104"/>
      <c r="J135" s="1104"/>
      <c r="K135" s="1104"/>
      <c r="L135" s="1104"/>
      <c r="M135" s="1104"/>
      <c r="N135" s="1104"/>
      <c r="O135" s="1104"/>
      <c r="P135" s="1104"/>
      <c r="Q135" s="1104"/>
      <c r="R135" s="1104"/>
      <c r="S135" s="1053"/>
      <c r="T135" s="1053"/>
      <c r="U135" s="1053"/>
      <c r="W135" s="1053"/>
      <c r="X135" s="1053"/>
      <c r="Y135" s="1053"/>
      <c r="AA135" s="1106"/>
      <c r="AB135" s="1106"/>
      <c r="AC135" s="1106"/>
      <c r="AD135" s="1106"/>
      <c r="AE135" s="1106"/>
      <c r="AF135" s="1106"/>
      <c r="AH135" s="1105"/>
      <c r="AI135" s="1105"/>
      <c r="AJ135" s="1105"/>
      <c r="AK135" s="1105"/>
      <c r="AL135" s="1105"/>
      <c r="AM135" s="1105"/>
      <c r="AN135" s="1105"/>
      <c r="AO135" s="1105"/>
      <c r="AP135" s="1105"/>
      <c r="AQ135" s="1105"/>
      <c r="AR135" s="1105"/>
      <c r="AS135" s="1105"/>
      <c r="AT135" s="1105"/>
      <c r="AU135" s="1105"/>
      <c r="AV135" s="1105"/>
      <c r="AW135" s="1105"/>
      <c r="AX135" s="1105"/>
      <c r="AY135" s="1105"/>
      <c r="BA135" s="1105"/>
      <c r="BB135" s="1105"/>
      <c r="BC135" s="1105"/>
      <c r="BD135" s="1105"/>
      <c r="BE135" s="1105"/>
      <c r="BF135" s="1105"/>
      <c r="BG135" s="1105"/>
      <c r="BH135" s="1105"/>
      <c r="BI135" s="1105"/>
      <c r="BJ135" s="1105"/>
      <c r="BK135" s="1105"/>
      <c r="BL135" s="1105"/>
      <c r="BM135" s="1105"/>
      <c r="BN135" s="1105"/>
      <c r="BO135" s="1105"/>
      <c r="BP135" s="1105"/>
      <c r="BQ135" s="1105"/>
      <c r="BR135" s="1105"/>
      <c r="BS135" s="73"/>
      <c r="BU135" s="1097"/>
      <c r="BV135" s="1097"/>
      <c r="BW135" s="1097"/>
      <c r="BX135" s="1097"/>
      <c r="BZ135" s="1104"/>
      <c r="CA135" s="1104"/>
      <c r="CB135" s="1104"/>
      <c r="CC135" s="1104"/>
      <c r="CD135" s="1104"/>
      <c r="CE135" s="1104"/>
      <c r="CF135" s="1104"/>
      <c r="CG135" s="1104"/>
      <c r="CH135" s="1104"/>
      <c r="CI135" s="1104"/>
      <c r="CJ135" s="1104"/>
      <c r="CK135" s="1104"/>
      <c r="CL135" s="1104"/>
      <c r="CM135" s="1053"/>
      <c r="CN135" s="1053"/>
      <c r="CO135" s="1053"/>
      <c r="CQ135" s="1053"/>
      <c r="CR135" s="1053"/>
      <c r="CS135" s="1053"/>
      <c r="CU135" s="1106"/>
      <c r="CV135" s="1106"/>
      <c r="CW135" s="1106"/>
      <c r="CX135" s="1106"/>
      <c r="CY135" s="1106"/>
      <c r="CZ135" s="1106"/>
      <c r="DB135" s="1105"/>
      <c r="DC135" s="1105"/>
      <c r="DD135" s="1105"/>
      <c r="DE135" s="1105"/>
      <c r="DF135" s="1105"/>
      <c r="DG135" s="1105"/>
      <c r="DH135" s="1105"/>
      <c r="DI135" s="1105"/>
      <c r="DJ135" s="1105"/>
      <c r="DK135" s="1105"/>
      <c r="DL135" s="1105"/>
      <c r="DM135" s="1105"/>
      <c r="DN135" s="1105"/>
      <c r="DO135" s="1105"/>
      <c r="DP135" s="1105"/>
      <c r="DQ135" s="1105"/>
      <c r="DR135" s="1105"/>
      <c r="DS135" s="1105"/>
      <c r="DU135" s="1105"/>
      <c r="DV135" s="1105"/>
      <c r="DW135" s="1105"/>
      <c r="DX135" s="1105"/>
      <c r="DY135" s="1105"/>
      <c r="DZ135" s="1105"/>
      <c r="EA135" s="1105"/>
      <c r="EB135" s="1105"/>
      <c r="EC135" s="1105"/>
      <c r="ED135" s="1105"/>
      <c r="EE135" s="1105"/>
      <c r="EF135" s="1105"/>
      <c r="EG135" s="1105"/>
      <c r="EH135" s="1105"/>
      <c r="EI135" s="1105"/>
      <c r="EJ135" s="1105"/>
      <c r="EK135" s="1105"/>
      <c r="EL135" s="1105"/>
    </row>
    <row r="136" spans="1:142" ht="3.75" customHeight="1" x14ac:dyDescent="0.25">
      <c r="A136" s="1097"/>
      <c r="B136" s="1097"/>
      <c r="C136" s="1097"/>
      <c r="D136" s="1097"/>
      <c r="AA136" s="1106"/>
      <c r="AB136" s="1106"/>
      <c r="AC136" s="1106"/>
      <c r="AD136" s="1106"/>
      <c r="AE136" s="1106"/>
      <c r="AF136" s="1106"/>
      <c r="AH136" s="1105"/>
      <c r="AI136" s="1105"/>
      <c r="AJ136" s="1105"/>
      <c r="AK136" s="1105"/>
      <c r="AL136" s="1105"/>
      <c r="AM136" s="1105"/>
      <c r="AN136" s="1105"/>
      <c r="AO136" s="1105"/>
      <c r="AP136" s="1105"/>
      <c r="AQ136" s="1105"/>
      <c r="AR136" s="1105"/>
      <c r="AS136" s="1105"/>
      <c r="AT136" s="1105"/>
      <c r="AU136" s="1105"/>
      <c r="AV136" s="1105"/>
      <c r="AW136" s="1105"/>
      <c r="AX136" s="1105"/>
      <c r="AY136" s="1105"/>
      <c r="BA136" s="1105"/>
      <c r="BB136" s="1105"/>
      <c r="BC136" s="1105"/>
      <c r="BD136" s="1105"/>
      <c r="BE136" s="1105"/>
      <c r="BF136" s="1105"/>
      <c r="BG136" s="1105"/>
      <c r="BH136" s="1105"/>
      <c r="BI136" s="1105"/>
      <c r="BJ136" s="1105"/>
      <c r="BK136" s="1105"/>
      <c r="BL136" s="1105"/>
      <c r="BM136" s="1105"/>
      <c r="BN136" s="1105"/>
      <c r="BO136" s="1105"/>
      <c r="BP136" s="1105"/>
      <c r="BQ136" s="1105"/>
      <c r="BR136" s="1105"/>
      <c r="BS136" s="73"/>
      <c r="BU136" s="1097"/>
      <c r="BV136" s="1097"/>
      <c r="BW136" s="1097"/>
      <c r="BX136" s="1097"/>
      <c r="CU136" s="1106"/>
      <c r="CV136" s="1106"/>
      <c r="CW136" s="1106"/>
      <c r="CX136" s="1106"/>
      <c r="CY136" s="1106"/>
      <c r="CZ136" s="1106"/>
      <c r="DB136" s="1105"/>
      <c r="DC136" s="1105"/>
      <c r="DD136" s="1105"/>
      <c r="DE136" s="1105"/>
      <c r="DF136" s="1105"/>
      <c r="DG136" s="1105"/>
      <c r="DH136" s="1105"/>
      <c r="DI136" s="1105"/>
      <c r="DJ136" s="1105"/>
      <c r="DK136" s="1105"/>
      <c r="DL136" s="1105"/>
      <c r="DM136" s="1105"/>
      <c r="DN136" s="1105"/>
      <c r="DO136" s="1105"/>
      <c r="DP136" s="1105"/>
      <c r="DQ136" s="1105"/>
      <c r="DR136" s="1105"/>
      <c r="DS136" s="1105"/>
      <c r="DU136" s="1105"/>
      <c r="DV136" s="1105"/>
      <c r="DW136" s="1105"/>
      <c r="DX136" s="1105"/>
      <c r="DY136" s="1105"/>
      <c r="DZ136" s="1105"/>
      <c r="EA136" s="1105"/>
      <c r="EB136" s="1105"/>
      <c r="EC136" s="1105"/>
      <c r="ED136" s="1105"/>
      <c r="EE136" s="1105"/>
      <c r="EF136" s="1105"/>
      <c r="EG136" s="1105"/>
      <c r="EH136" s="1105"/>
      <c r="EI136" s="1105"/>
      <c r="EJ136" s="1105"/>
      <c r="EK136" s="1105"/>
      <c r="EL136" s="1105"/>
    </row>
    <row r="137" spans="1:142" ht="3.75" customHeight="1" x14ac:dyDescent="0.25">
      <c r="A137" s="1097"/>
      <c r="B137" s="1097"/>
      <c r="C137" s="1097"/>
      <c r="D137" s="1097"/>
      <c r="F137" s="1104" t="s">
        <v>615</v>
      </c>
      <c r="G137" s="1104"/>
      <c r="H137" s="1104"/>
      <c r="I137" s="1104"/>
      <c r="J137" s="1104"/>
      <c r="K137" s="1104"/>
      <c r="L137" s="1104"/>
      <c r="M137" s="1104"/>
      <c r="N137" s="1104"/>
      <c r="O137" s="1104"/>
      <c r="P137" s="1104"/>
      <c r="Q137" s="1104"/>
      <c r="R137" s="1104"/>
      <c r="S137" s="1053"/>
      <c r="T137" s="1053"/>
      <c r="U137" s="1053"/>
      <c r="W137" s="1053"/>
      <c r="X137" s="1053"/>
      <c r="Y137" s="1053"/>
      <c r="AA137" s="1106"/>
      <c r="AB137" s="1106"/>
      <c r="AC137" s="1106"/>
      <c r="AD137" s="1106"/>
      <c r="AE137" s="1106"/>
      <c r="AF137" s="1106"/>
      <c r="AH137" s="1105"/>
      <c r="AI137" s="1105"/>
      <c r="AJ137" s="1105"/>
      <c r="AK137" s="1105"/>
      <c r="AL137" s="1105"/>
      <c r="AM137" s="1105"/>
      <c r="AN137" s="1105"/>
      <c r="AO137" s="1105"/>
      <c r="AP137" s="1105"/>
      <c r="AQ137" s="1105"/>
      <c r="AR137" s="1105"/>
      <c r="AS137" s="1105"/>
      <c r="AT137" s="1105"/>
      <c r="AU137" s="1105"/>
      <c r="AV137" s="1105"/>
      <c r="AW137" s="1105"/>
      <c r="AX137" s="1105"/>
      <c r="AY137" s="1105"/>
      <c r="BA137" s="1105"/>
      <c r="BB137" s="1105"/>
      <c r="BC137" s="1105"/>
      <c r="BD137" s="1105"/>
      <c r="BE137" s="1105"/>
      <c r="BF137" s="1105"/>
      <c r="BG137" s="1105"/>
      <c r="BH137" s="1105"/>
      <c r="BI137" s="1105"/>
      <c r="BJ137" s="1105"/>
      <c r="BK137" s="1105"/>
      <c r="BL137" s="1105"/>
      <c r="BM137" s="1105"/>
      <c r="BN137" s="1105"/>
      <c r="BO137" s="1105"/>
      <c r="BP137" s="1105"/>
      <c r="BQ137" s="1105"/>
      <c r="BR137" s="1105"/>
      <c r="BS137" s="73"/>
      <c r="BU137" s="1097"/>
      <c r="BV137" s="1097"/>
      <c r="BW137" s="1097"/>
      <c r="BX137" s="1097"/>
      <c r="BZ137" s="1104" t="s">
        <v>615</v>
      </c>
      <c r="CA137" s="1104"/>
      <c r="CB137" s="1104"/>
      <c r="CC137" s="1104"/>
      <c r="CD137" s="1104"/>
      <c r="CE137" s="1104"/>
      <c r="CF137" s="1104"/>
      <c r="CG137" s="1104"/>
      <c r="CH137" s="1104"/>
      <c r="CI137" s="1104"/>
      <c r="CJ137" s="1104"/>
      <c r="CK137" s="1104"/>
      <c r="CL137" s="1104"/>
      <c r="CM137" s="1053"/>
      <c r="CN137" s="1053"/>
      <c r="CO137" s="1053"/>
      <c r="CQ137" s="1053"/>
      <c r="CR137" s="1053"/>
      <c r="CS137" s="1053"/>
      <c r="CU137" s="1106"/>
      <c r="CV137" s="1106"/>
      <c r="CW137" s="1106"/>
      <c r="CX137" s="1106"/>
      <c r="CY137" s="1106"/>
      <c r="CZ137" s="1106"/>
      <c r="DB137" s="1105"/>
      <c r="DC137" s="1105"/>
      <c r="DD137" s="1105"/>
      <c r="DE137" s="1105"/>
      <c r="DF137" s="1105"/>
      <c r="DG137" s="1105"/>
      <c r="DH137" s="1105"/>
      <c r="DI137" s="1105"/>
      <c r="DJ137" s="1105"/>
      <c r="DK137" s="1105"/>
      <c r="DL137" s="1105"/>
      <c r="DM137" s="1105"/>
      <c r="DN137" s="1105"/>
      <c r="DO137" s="1105"/>
      <c r="DP137" s="1105"/>
      <c r="DQ137" s="1105"/>
      <c r="DR137" s="1105"/>
      <c r="DS137" s="1105"/>
      <c r="DU137" s="1105"/>
      <c r="DV137" s="1105"/>
      <c r="DW137" s="1105"/>
      <c r="DX137" s="1105"/>
      <c r="DY137" s="1105"/>
      <c r="DZ137" s="1105"/>
      <c r="EA137" s="1105"/>
      <c r="EB137" s="1105"/>
      <c r="EC137" s="1105"/>
      <c r="ED137" s="1105"/>
      <c r="EE137" s="1105"/>
      <c r="EF137" s="1105"/>
      <c r="EG137" s="1105"/>
      <c r="EH137" s="1105"/>
      <c r="EI137" s="1105"/>
      <c r="EJ137" s="1105"/>
      <c r="EK137" s="1105"/>
      <c r="EL137" s="1105"/>
    </row>
    <row r="138" spans="1:142" ht="3.75" customHeight="1" x14ac:dyDescent="0.25">
      <c r="A138" s="1097"/>
      <c r="B138" s="1097"/>
      <c r="C138" s="1097"/>
      <c r="D138" s="1097"/>
      <c r="F138" s="1104"/>
      <c r="G138" s="1104"/>
      <c r="H138" s="1104"/>
      <c r="I138" s="1104"/>
      <c r="J138" s="1104"/>
      <c r="K138" s="1104"/>
      <c r="L138" s="1104"/>
      <c r="M138" s="1104"/>
      <c r="N138" s="1104"/>
      <c r="O138" s="1104"/>
      <c r="P138" s="1104"/>
      <c r="Q138" s="1104"/>
      <c r="R138" s="1104"/>
      <c r="S138" s="1053"/>
      <c r="T138" s="1053"/>
      <c r="U138" s="1053"/>
      <c r="W138" s="1053"/>
      <c r="X138" s="1053"/>
      <c r="Y138" s="1053"/>
      <c r="AA138" s="1106"/>
      <c r="AB138" s="1106"/>
      <c r="AC138" s="1106"/>
      <c r="AD138" s="1106"/>
      <c r="AE138" s="1106"/>
      <c r="AF138" s="1106"/>
      <c r="AH138" s="1105"/>
      <c r="AI138" s="1105"/>
      <c r="AJ138" s="1105"/>
      <c r="AK138" s="1105"/>
      <c r="AL138" s="1105"/>
      <c r="AM138" s="1105"/>
      <c r="AN138" s="1105"/>
      <c r="AO138" s="1105"/>
      <c r="AP138" s="1105"/>
      <c r="AQ138" s="1105"/>
      <c r="AR138" s="1105"/>
      <c r="AS138" s="1105"/>
      <c r="AT138" s="1105"/>
      <c r="AU138" s="1105"/>
      <c r="AV138" s="1105"/>
      <c r="AW138" s="1105"/>
      <c r="AX138" s="1105"/>
      <c r="AY138" s="1105"/>
      <c r="BA138" s="1105"/>
      <c r="BB138" s="1105"/>
      <c r="BC138" s="1105"/>
      <c r="BD138" s="1105"/>
      <c r="BE138" s="1105"/>
      <c r="BF138" s="1105"/>
      <c r="BG138" s="1105"/>
      <c r="BH138" s="1105"/>
      <c r="BI138" s="1105"/>
      <c r="BJ138" s="1105"/>
      <c r="BK138" s="1105"/>
      <c r="BL138" s="1105"/>
      <c r="BM138" s="1105"/>
      <c r="BN138" s="1105"/>
      <c r="BO138" s="1105"/>
      <c r="BP138" s="1105"/>
      <c r="BQ138" s="1105"/>
      <c r="BR138" s="1105"/>
      <c r="BS138" s="73"/>
      <c r="BU138" s="1097"/>
      <c r="BV138" s="1097"/>
      <c r="BW138" s="1097"/>
      <c r="BX138" s="1097"/>
      <c r="BZ138" s="1104"/>
      <c r="CA138" s="1104"/>
      <c r="CB138" s="1104"/>
      <c r="CC138" s="1104"/>
      <c r="CD138" s="1104"/>
      <c r="CE138" s="1104"/>
      <c r="CF138" s="1104"/>
      <c r="CG138" s="1104"/>
      <c r="CH138" s="1104"/>
      <c r="CI138" s="1104"/>
      <c r="CJ138" s="1104"/>
      <c r="CK138" s="1104"/>
      <c r="CL138" s="1104"/>
      <c r="CM138" s="1053"/>
      <c r="CN138" s="1053"/>
      <c r="CO138" s="1053"/>
      <c r="CQ138" s="1053"/>
      <c r="CR138" s="1053"/>
      <c r="CS138" s="1053"/>
      <c r="CU138" s="1106"/>
      <c r="CV138" s="1106"/>
      <c r="CW138" s="1106"/>
      <c r="CX138" s="1106"/>
      <c r="CY138" s="1106"/>
      <c r="CZ138" s="1106"/>
      <c r="DB138" s="1105"/>
      <c r="DC138" s="1105"/>
      <c r="DD138" s="1105"/>
      <c r="DE138" s="1105"/>
      <c r="DF138" s="1105"/>
      <c r="DG138" s="1105"/>
      <c r="DH138" s="1105"/>
      <c r="DI138" s="1105"/>
      <c r="DJ138" s="1105"/>
      <c r="DK138" s="1105"/>
      <c r="DL138" s="1105"/>
      <c r="DM138" s="1105"/>
      <c r="DN138" s="1105"/>
      <c r="DO138" s="1105"/>
      <c r="DP138" s="1105"/>
      <c r="DQ138" s="1105"/>
      <c r="DR138" s="1105"/>
      <c r="DS138" s="1105"/>
      <c r="DU138" s="1105"/>
      <c r="DV138" s="1105"/>
      <c r="DW138" s="1105"/>
      <c r="DX138" s="1105"/>
      <c r="DY138" s="1105"/>
      <c r="DZ138" s="1105"/>
      <c r="EA138" s="1105"/>
      <c r="EB138" s="1105"/>
      <c r="EC138" s="1105"/>
      <c r="ED138" s="1105"/>
      <c r="EE138" s="1105"/>
      <c r="EF138" s="1105"/>
      <c r="EG138" s="1105"/>
      <c r="EH138" s="1105"/>
      <c r="EI138" s="1105"/>
      <c r="EJ138" s="1105"/>
      <c r="EK138" s="1105"/>
      <c r="EL138" s="1105"/>
    </row>
    <row r="139" spans="1:142" ht="3.75" customHeight="1" x14ac:dyDescent="0.25">
      <c r="A139" s="1097"/>
      <c r="B139" s="1097"/>
      <c r="C139" s="1097"/>
      <c r="D139" s="1097"/>
      <c r="F139" s="1104"/>
      <c r="G139" s="1104"/>
      <c r="H139" s="1104"/>
      <c r="I139" s="1104"/>
      <c r="J139" s="1104"/>
      <c r="K139" s="1104"/>
      <c r="L139" s="1104"/>
      <c r="M139" s="1104"/>
      <c r="N139" s="1104"/>
      <c r="O139" s="1104"/>
      <c r="P139" s="1104"/>
      <c r="Q139" s="1104"/>
      <c r="R139" s="1104"/>
      <c r="S139" s="1053"/>
      <c r="T139" s="1053"/>
      <c r="U139" s="1053"/>
      <c r="W139" s="1053"/>
      <c r="X139" s="1053"/>
      <c r="Y139" s="1053"/>
      <c r="AA139" s="1106"/>
      <c r="AB139" s="1106"/>
      <c r="AC139" s="1106"/>
      <c r="AD139" s="1106"/>
      <c r="AE139" s="1106"/>
      <c r="AF139" s="1106"/>
      <c r="AH139" s="1105"/>
      <c r="AI139" s="1105"/>
      <c r="AJ139" s="1105"/>
      <c r="AK139" s="1105"/>
      <c r="AL139" s="1105"/>
      <c r="AM139" s="1105"/>
      <c r="AN139" s="1105"/>
      <c r="AO139" s="1105"/>
      <c r="AP139" s="1105"/>
      <c r="AQ139" s="1105"/>
      <c r="AR139" s="1105"/>
      <c r="AS139" s="1105"/>
      <c r="AT139" s="1105"/>
      <c r="AU139" s="1105"/>
      <c r="AV139" s="1105"/>
      <c r="AW139" s="1105"/>
      <c r="AX139" s="1105"/>
      <c r="AY139" s="1105"/>
      <c r="BA139" s="1105"/>
      <c r="BB139" s="1105"/>
      <c r="BC139" s="1105"/>
      <c r="BD139" s="1105"/>
      <c r="BE139" s="1105"/>
      <c r="BF139" s="1105"/>
      <c r="BG139" s="1105"/>
      <c r="BH139" s="1105"/>
      <c r="BI139" s="1105"/>
      <c r="BJ139" s="1105"/>
      <c r="BK139" s="1105"/>
      <c r="BL139" s="1105"/>
      <c r="BM139" s="1105"/>
      <c r="BN139" s="1105"/>
      <c r="BO139" s="1105"/>
      <c r="BP139" s="1105"/>
      <c r="BQ139" s="1105"/>
      <c r="BR139" s="1105"/>
      <c r="BS139" s="73"/>
      <c r="BU139" s="1097"/>
      <c r="BV139" s="1097"/>
      <c r="BW139" s="1097"/>
      <c r="BX139" s="1097"/>
      <c r="BZ139" s="1104"/>
      <c r="CA139" s="1104"/>
      <c r="CB139" s="1104"/>
      <c r="CC139" s="1104"/>
      <c r="CD139" s="1104"/>
      <c r="CE139" s="1104"/>
      <c r="CF139" s="1104"/>
      <c r="CG139" s="1104"/>
      <c r="CH139" s="1104"/>
      <c r="CI139" s="1104"/>
      <c r="CJ139" s="1104"/>
      <c r="CK139" s="1104"/>
      <c r="CL139" s="1104"/>
      <c r="CM139" s="1053"/>
      <c r="CN139" s="1053"/>
      <c r="CO139" s="1053"/>
      <c r="CQ139" s="1053"/>
      <c r="CR139" s="1053"/>
      <c r="CS139" s="1053"/>
      <c r="CU139" s="1106"/>
      <c r="CV139" s="1106"/>
      <c r="CW139" s="1106"/>
      <c r="CX139" s="1106"/>
      <c r="CY139" s="1106"/>
      <c r="CZ139" s="1106"/>
      <c r="DB139" s="1105"/>
      <c r="DC139" s="1105"/>
      <c r="DD139" s="1105"/>
      <c r="DE139" s="1105"/>
      <c r="DF139" s="1105"/>
      <c r="DG139" s="1105"/>
      <c r="DH139" s="1105"/>
      <c r="DI139" s="1105"/>
      <c r="DJ139" s="1105"/>
      <c r="DK139" s="1105"/>
      <c r="DL139" s="1105"/>
      <c r="DM139" s="1105"/>
      <c r="DN139" s="1105"/>
      <c r="DO139" s="1105"/>
      <c r="DP139" s="1105"/>
      <c r="DQ139" s="1105"/>
      <c r="DR139" s="1105"/>
      <c r="DS139" s="1105"/>
      <c r="DU139" s="1105"/>
      <c r="DV139" s="1105"/>
      <c r="DW139" s="1105"/>
      <c r="DX139" s="1105"/>
      <c r="DY139" s="1105"/>
      <c r="DZ139" s="1105"/>
      <c r="EA139" s="1105"/>
      <c r="EB139" s="1105"/>
      <c r="EC139" s="1105"/>
      <c r="ED139" s="1105"/>
      <c r="EE139" s="1105"/>
      <c r="EF139" s="1105"/>
      <c r="EG139" s="1105"/>
      <c r="EH139" s="1105"/>
      <c r="EI139" s="1105"/>
      <c r="EJ139" s="1105"/>
      <c r="EK139" s="1105"/>
      <c r="EL139" s="1105"/>
    </row>
    <row r="140" spans="1:142" ht="3.75" customHeight="1" x14ac:dyDescent="0.25">
      <c r="A140" s="1097"/>
      <c r="B140" s="1097"/>
      <c r="C140" s="1097"/>
      <c r="D140" s="1097"/>
      <c r="AA140" s="1106"/>
      <c r="AB140" s="1106"/>
      <c r="AC140" s="1106"/>
      <c r="AD140" s="1106"/>
      <c r="AE140" s="1106"/>
      <c r="AF140" s="1106"/>
      <c r="AH140" s="1105"/>
      <c r="AI140" s="1105"/>
      <c r="AJ140" s="1105"/>
      <c r="AK140" s="1105"/>
      <c r="AL140" s="1105"/>
      <c r="AM140" s="1105"/>
      <c r="AN140" s="1105"/>
      <c r="AO140" s="1105"/>
      <c r="AP140" s="1105"/>
      <c r="AQ140" s="1105"/>
      <c r="AR140" s="1105"/>
      <c r="AS140" s="1105"/>
      <c r="AT140" s="1105"/>
      <c r="AU140" s="1105"/>
      <c r="AV140" s="1105"/>
      <c r="AW140" s="1105"/>
      <c r="AX140" s="1105"/>
      <c r="AY140" s="1105"/>
      <c r="BA140" s="1105"/>
      <c r="BB140" s="1105"/>
      <c r="BC140" s="1105"/>
      <c r="BD140" s="1105"/>
      <c r="BE140" s="1105"/>
      <c r="BF140" s="1105"/>
      <c r="BG140" s="1105"/>
      <c r="BH140" s="1105"/>
      <c r="BI140" s="1105"/>
      <c r="BJ140" s="1105"/>
      <c r="BK140" s="1105"/>
      <c r="BL140" s="1105"/>
      <c r="BM140" s="1105"/>
      <c r="BN140" s="1105"/>
      <c r="BO140" s="1105"/>
      <c r="BP140" s="1105"/>
      <c r="BQ140" s="1105"/>
      <c r="BR140" s="1105"/>
      <c r="BS140" s="73"/>
      <c r="BU140" s="1097"/>
      <c r="BV140" s="1097"/>
      <c r="BW140" s="1097"/>
      <c r="BX140" s="1097"/>
      <c r="CU140" s="1106"/>
      <c r="CV140" s="1106"/>
      <c r="CW140" s="1106"/>
      <c r="CX140" s="1106"/>
      <c r="CY140" s="1106"/>
      <c r="CZ140" s="1106"/>
      <c r="DB140" s="1105"/>
      <c r="DC140" s="1105"/>
      <c r="DD140" s="1105"/>
      <c r="DE140" s="1105"/>
      <c r="DF140" s="1105"/>
      <c r="DG140" s="1105"/>
      <c r="DH140" s="1105"/>
      <c r="DI140" s="1105"/>
      <c r="DJ140" s="1105"/>
      <c r="DK140" s="1105"/>
      <c r="DL140" s="1105"/>
      <c r="DM140" s="1105"/>
      <c r="DN140" s="1105"/>
      <c r="DO140" s="1105"/>
      <c r="DP140" s="1105"/>
      <c r="DQ140" s="1105"/>
      <c r="DR140" s="1105"/>
      <c r="DS140" s="1105"/>
      <c r="DU140" s="1105"/>
      <c r="DV140" s="1105"/>
      <c r="DW140" s="1105"/>
      <c r="DX140" s="1105"/>
      <c r="DY140" s="1105"/>
      <c r="DZ140" s="1105"/>
      <c r="EA140" s="1105"/>
      <c r="EB140" s="1105"/>
      <c r="EC140" s="1105"/>
      <c r="ED140" s="1105"/>
      <c r="EE140" s="1105"/>
      <c r="EF140" s="1105"/>
      <c r="EG140" s="1105"/>
      <c r="EH140" s="1105"/>
      <c r="EI140" s="1105"/>
      <c r="EJ140" s="1105"/>
      <c r="EK140" s="1105"/>
      <c r="EL140" s="1105"/>
    </row>
    <row r="141" spans="1:142" ht="3.75" customHeight="1" x14ac:dyDescent="0.25">
      <c r="A141" s="1097"/>
      <c r="B141" s="1097"/>
      <c r="C141" s="1097"/>
      <c r="D141" s="1097"/>
      <c r="F141" s="1104" t="s">
        <v>614</v>
      </c>
      <c r="G141" s="1104"/>
      <c r="H141" s="1104"/>
      <c r="I141" s="1104"/>
      <c r="J141" s="1104"/>
      <c r="K141" s="1104"/>
      <c r="L141" s="1104"/>
      <c r="M141" s="1104"/>
      <c r="N141" s="1104"/>
      <c r="O141" s="1104"/>
      <c r="P141" s="1104"/>
      <c r="Q141" s="1104"/>
      <c r="R141" s="1104"/>
      <c r="S141" s="1053"/>
      <c r="T141" s="1053"/>
      <c r="U141" s="1053"/>
      <c r="W141" s="1053"/>
      <c r="X141" s="1053"/>
      <c r="Y141" s="1053"/>
      <c r="AA141" s="1106"/>
      <c r="AB141" s="1106"/>
      <c r="AC141" s="1106"/>
      <c r="AD141" s="1106"/>
      <c r="AE141" s="1106"/>
      <c r="AF141" s="1106"/>
      <c r="AH141" s="1105"/>
      <c r="AI141" s="1105"/>
      <c r="AJ141" s="1105"/>
      <c r="AK141" s="1105"/>
      <c r="AL141" s="1105"/>
      <c r="AM141" s="1105"/>
      <c r="AN141" s="1105"/>
      <c r="AO141" s="1105"/>
      <c r="AP141" s="1105"/>
      <c r="AQ141" s="1105"/>
      <c r="AR141" s="1105"/>
      <c r="AS141" s="1105"/>
      <c r="AT141" s="1105"/>
      <c r="AU141" s="1105"/>
      <c r="AV141" s="1105"/>
      <c r="AW141" s="1105"/>
      <c r="AX141" s="1105"/>
      <c r="AY141" s="1105"/>
      <c r="BA141" s="1105"/>
      <c r="BB141" s="1105"/>
      <c r="BC141" s="1105"/>
      <c r="BD141" s="1105"/>
      <c r="BE141" s="1105"/>
      <c r="BF141" s="1105"/>
      <c r="BG141" s="1105"/>
      <c r="BH141" s="1105"/>
      <c r="BI141" s="1105"/>
      <c r="BJ141" s="1105"/>
      <c r="BK141" s="1105"/>
      <c r="BL141" s="1105"/>
      <c r="BM141" s="1105"/>
      <c r="BN141" s="1105"/>
      <c r="BO141" s="1105"/>
      <c r="BP141" s="1105"/>
      <c r="BQ141" s="1105"/>
      <c r="BR141" s="1105"/>
      <c r="BS141" s="73"/>
      <c r="BU141" s="1097"/>
      <c r="BV141" s="1097"/>
      <c r="BW141" s="1097"/>
      <c r="BX141" s="1097"/>
      <c r="BZ141" s="1104" t="s">
        <v>614</v>
      </c>
      <c r="CA141" s="1104"/>
      <c r="CB141" s="1104"/>
      <c r="CC141" s="1104"/>
      <c r="CD141" s="1104"/>
      <c r="CE141" s="1104"/>
      <c r="CF141" s="1104"/>
      <c r="CG141" s="1104"/>
      <c r="CH141" s="1104"/>
      <c r="CI141" s="1104"/>
      <c r="CJ141" s="1104"/>
      <c r="CK141" s="1104"/>
      <c r="CL141" s="1104"/>
      <c r="CM141" s="1053"/>
      <c r="CN141" s="1053"/>
      <c r="CO141" s="1053"/>
      <c r="CQ141" s="1053"/>
      <c r="CR141" s="1053"/>
      <c r="CS141" s="1053"/>
      <c r="CU141" s="1106"/>
      <c r="CV141" s="1106"/>
      <c r="CW141" s="1106"/>
      <c r="CX141" s="1106"/>
      <c r="CY141" s="1106"/>
      <c r="CZ141" s="1106"/>
      <c r="DB141" s="1105"/>
      <c r="DC141" s="1105"/>
      <c r="DD141" s="1105"/>
      <c r="DE141" s="1105"/>
      <c r="DF141" s="1105"/>
      <c r="DG141" s="1105"/>
      <c r="DH141" s="1105"/>
      <c r="DI141" s="1105"/>
      <c r="DJ141" s="1105"/>
      <c r="DK141" s="1105"/>
      <c r="DL141" s="1105"/>
      <c r="DM141" s="1105"/>
      <c r="DN141" s="1105"/>
      <c r="DO141" s="1105"/>
      <c r="DP141" s="1105"/>
      <c r="DQ141" s="1105"/>
      <c r="DR141" s="1105"/>
      <c r="DS141" s="1105"/>
      <c r="DU141" s="1105"/>
      <c r="DV141" s="1105"/>
      <c r="DW141" s="1105"/>
      <c r="DX141" s="1105"/>
      <c r="DY141" s="1105"/>
      <c r="DZ141" s="1105"/>
      <c r="EA141" s="1105"/>
      <c r="EB141" s="1105"/>
      <c r="EC141" s="1105"/>
      <c r="ED141" s="1105"/>
      <c r="EE141" s="1105"/>
      <c r="EF141" s="1105"/>
      <c r="EG141" s="1105"/>
      <c r="EH141" s="1105"/>
      <c r="EI141" s="1105"/>
      <c r="EJ141" s="1105"/>
      <c r="EK141" s="1105"/>
      <c r="EL141" s="1105"/>
    </row>
    <row r="142" spans="1:142" ht="3.75" customHeight="1" x14ac:dyDescent="0.25">
      <c r="A142" s="1097"/>
      <c r="B142" s="1097"/>
      <c r="C142" s="1097"/>
      <c r="D142" s="1097"/>
      <c r="F142" s="1104"/>
      <c r="G142" s="1104"/>
      <c r="H142" s="1104"/>
      <c r="I142" s="1104"/>
      <c r="J142" s="1104"/>
      <c r="K142" s="1104"/>
      <c r="L142" s="1104"/>
      <c r="M142" s="1104"/>
      <c r="N142" s="1104"/>
      <c r="O142" s="1104"/>
      <c r="P142" s="1104"/>
      <c r="Q142" s="1104"/>
      <c r="R142" s="1104"/>
      <c r="S142" s="1053"/>
      <c r="T142" s="1053"/>
      <c r="U142" s="1053"/>
      <c r="W142" s="1053"/>
      <c r="X142" s="1053"/>
      <c r="Y142" s="1053"/>
      <c r="AA142" s="1106"/>
      <c r="AB142" s="1106"/>
      <c r="AC142" s="1106"/>
      <c r="AD142" s="1106"/>
      <c r="AE142" s="1106"/>
      <c r="AF142" s="1106"/>
      <c r="AH142" s="1105"/>
      <c r="AI142" s="1105"/>
      <c r="AJ142" s="1105"/>
      <c r="AK142" s="1105"/>
      <c r="AL142" s="1105"/>
      <c r="AM142" s="1105"/>
      <c r="AN142" s="1105"/>
      <c r="AO142" s="1105"/>
      <c r="AP142" s="1105"/>
      <c r="AQ142" s="1105"/>
      <c r="AR142" s="1105"/>
      <c r="AS142" s="1105"/>
      <c r="AT142" s="1105"/>
      <c r="AU142" s="1105"/>
      <c r="AV142" s="1105"/>
      <c r="AW142" s="1105"/>
      <c r="AX142" s="1105"/>
      <c r="AY142" s="1105"/>
      <c r="BA142" s="1105"/>
      <c r="BB142" s="1105"/>
      <c r="BC142" s="1105"/>
      <c r="BD142" s="1105"/>
      <c r="BE142" s="1105"/>
      <c r="BF142" s="1105"/>
      <c r="BG142" s="1105"/>
      <c r="BH142" s="1105"/>
      <c r="BI142" s="1105"/>
      <c r="BJ142" s="1105"/>
      <c r="BK142" s="1105"/>
      <c r="BL142" s="1105"/>
      <c r="BM142" s="1105"/>
      <c r="BN142" s="1105"/>
      <c r="BO142" s="1105"/>
      <c r="BP142" s="1105"/>
      <c r="BQ142" s="1105"/>
      <c r="BR142" s="1105"/>
      <c r="BS142" s="73"/>
      <c r="BU142" s="1097"/>
      <c r="BV142" s="1097"/>
      <c r="BW142" s="1097"/>
      <c r="BX142" s="1097"/>
      <c r="BZ142" s="1104"/>
      <c r="CA142" s="1104"/>
      <c r="CB142" s="1104"/>
      <c r="CC142" s="1104"/>
      <c r="CD142" s="1104"/>
      <c r="CE142" s="1104"/>
      <c r="CF142" s="1104"/>
      <c r="CG142" s="1104"/>
      <c r="CH142" s="1104"/>
      <c r="CI142" s="1104"/>
      <c r="CJ142" s="1104"/>
      <c r="CK142" s="1104"/>
      <c r="CL142" s="1104"/>
      <c r="CM142" s="1053"/>
      <c r="CN142" s="1053"/>
      <c r="CO142" s="1053"/>
      <c r="CQ142" s="1053"/>
      <c r="CR142" s="1053"/>
      <c r="CS142" s="1053"/>
      <c r="CU142" s="1106"/>
      <c r="CV142" s="1106"/>
      <c r="CW142" s="1106"/>
      <c r="CX142" s="1106"/>
      <c r="CY142" s="1106"/>
      <c r="CZ142" s="1106"/>
      <c r="DB142" s="1105"/>
      <c r="DC142" s="1105"/>
      <c r="DD142" s="1105"/>
      <c r="DE142" s="1105"/>
      <c r="DF142" s="1105"/>
      <c r="DG142" s="1105"/>
      <c r="DH142" s="1105"/>
      <c r="DI142" s="1105"/>
      <c r="DJ142" s="1105"/>
      <c r="DK142" s="1105"/>
      <c r="DL142" s="1105"/>
      <c r="DM142" s="1105"/>
      <c r="DN142" s="1105"/>
      <c r="DO142" s="1105"/>
      <c r="DP142" s="1105"/>
      <c r="DQ142" s="1105"/>
      <c r="DR142" s="1105"/>
      <c r="DS142" s="1105"/>
      <c r="DU142" s="1105"/>
      <c r="DV142" s="1105"/>
      <c r="DW142" s="1105"/>
      <c r="DX142" s="1105"/>
      <c r="DY142" s="1105"/>
      <c r="DZ142" s="1105"/>
      <c r="EA142" s="1105"/>
      <c r="EB142" s="1105"/>
      <c r="EC142" s="1105"/>
      <c r="ED142" s="1105"/>
      <c r="EE142" s="1105"/>
      <c r="EF142" s="1105"/>
      <c r="EG142" s="1105"/>
      <c r="EH142" s="1105"/>
      <c r="EI142" s="1105"/>
      <c r="EJ142" s="1105"/>
      <c r="EK142" s="1105"/>
      <c r="EL142" s="1105"/>
    </row>
    <row r="143" spans="1:142" ht="3.75" customHeight="1" x14ac:dyDescent="0.25">
      <c r="A143" s="1097"/>
      <c r="B143" s="1097"/>
      <c r="C143" s="1097"/>
      <c r="D143" s="1097"/>
      <c r="F143" s="1104"/>
      <c r="G143" s="1104"/>
      <c r="H143" s="1104"/>
      <c r="I143" s="1104"/>
      <c r="J143" s="1104"/>
      <c r="K143" s="1104"/>
      <c r="L143" s="1104"/>
      <c r="M143" s="1104"/>
      <c r="N143" s="1104"/>
      <c r="O143" s="1104"/>
      <c r="P143" s="1104"/>
      <c r="Q143" s="1104"/>
      <c r="R143" s="1104"/>
      <c r="S143" s="1053"/>
      <c r="T143" s="1053"/>
      <c r="U143" s="1053"/>
      <c r="W143" s="1053"/>
      <c r="X143" s="1053"/>
      <c r="Y143" s="1053"/>
      <c r="AA143" s="1106"/>
      <c r="AB143" s="1106"/>
      <c r="AC143" s="1106"/>
      <c r="AD143" s="1106"/>
      <c r="AE143" s="1106"/>
      <c r="AF143" s="1106"/>
      <c r="AH143" s="1105"/>
      <c r="AI143" s="1105"/>
      <c r="AJ143" s="1105"/>
      <c r="AK143" s="1105"/>
      <c r="AL143" s="1105"/>
      <c r="AM143" s="1105"/>
      <c r="AN143" s="1105"/>
      <c r="AO143" s="1105"/>
      <c r="AP143" s="1105"/>
      <c r="AQ143" s="1105"/>
      <c r="AR143" s="1105"/>
      <c r="AS143" s="1105"/>
      <c r="AT143" s="1105"/>
      <c r="AU143" s="1105"/>
      <c r="AV143" s="1105"/>
      <c r="AW143" s="1105"/>
      <c r="AX143" s="1105"/>
      <c r="AY143" s="1105"/>
      <c r="BA143" s="1105"/>
      <c r="BB143" s="1105"/>
      <c r="BC143" s="1105"/>
      <c r="BD143" s="1105"/>
      <c r="BE143" s="1105"/>
      <c r="BF143" s="1105"/>
      <c r="BG143" s="1105"/>
      <c r="BH143" s="1105"/>
      <c r="BI143" s="1105"/>
      <c r="BJ143" s="1105"/>
      <c r="BK143" s="1105"/>
      <c r="BL143" s="1105"/>
      <c r="BM143" s="1105"/>
      <c r="BN143" s="1105"/>
      <c r="BO143" s="1105"/>
      <c r="BP143" s="1105"/>
      <c r="BQ143" s="1105"/>
      <c r="BR143" s="1105"/>
      <c r="BS143" s="73"/>
      <c r="BU143" s="1097"/>
      <c r="BV143" s="1097"/>
      <c r="BW143" s="1097"/>
      <c r="BX143" s="1097"/>
      <c r="BZ143" s="1104"/>
      <c r="CA143" s="1104"/>
      <c r="CB143" s="1104"/>
      <c r="CC143" s="1104"/>
      <c r="CD143" s="1104"/>
      <c r="CE143" s="1104"/>
      <c r="CF143" s="1104"/>
      <c r="CG143" s="1104"/>
      <c r="CH143" s="1104"/>
      <c r="CI143" s="1104"/>
      <c r="CJ143" s="1104"/>
      <c r="CK143" s="1104"/>
      <c r="CL143" s="1104"/>
      <c r="CM143" s="1053"/>
      <c r="CN143" s="1053"/>
      <c r="CO143" s="1053"/>
      <c r="CQ143" s="1053"/>
      <c r="CR143" s="1053"/>
      <c r="CS143" s="1053"/>
      <c r="CU143" s="1106"/>
      <c r="CV143" s="1106"/>
      <c r="CW143" s="1106"/>
      <c r="CX143" s="1106"/>
      <c r="CY143" s="1106"/>
      <c r="CZ143" s="1106"/>
      <c r="DB143" s="1105"/>
      <c r="DC143" s="1105"/>
      <c r="DD143" s="1105"/>
      <c r="DE143" s="1105"/>
      <c r="DF143" s="1105"/>
      <c r="DG143" s="1105"/>
      <c r="DH143" s="1105"/>
      <c r="DI143" s="1105"/>
      <c r="DJ143" s="1105"/>
      <c r="DK143" s="1105"/>
      <c r="DL143" s="1105"/>
      <c r="DM143" s="1105"/>
      <c r="DN143" s="1105"/>
      <c r="DO143" s="1105"/>
      <c r="DP143" s="1105"/>
      <c r="DQ143" s="1105"/>
      <c r="DR143" s="1105"/>
      <c r="DS143" s="1105"/>
      <c r="DU143" s="1105"/>
      <c r="DV143" s="1105"/>
      <c r="DW143" s="1105"/>
      <c r="DX143" s="1105"/>
      <c r="DY143" s="1105"/>
      <c r="DZ143" s="1105"/>
      <c r="EA143" s="1105"/>
      <c r="EB143" s="1105"/>
      <c r="EC143" s="1105"/>
      <c r="ED143" s="1105"/>
      <c r="EE143" s="1105"/>
      <c r="EF143" s="1105"/>
      <c r="EG143" s="1105"/>
      <c r="EH143" s="1105"/>
      <c r="EI143" s="1105"/>
      <c r="EJ143" s="1105"/>
      <c r="EK143" s="1105"/>
      <c r="EL143" s="1105"/>
    </row>
    <row r="144" spans="1:142" ht="3.75" customHeight="1" x14ac:dyDescent="0.25">
      <c r="A144" s="1097"/>
      <c r="B144" s="1097"/>
      <c r="C144" s="1097"/>
      <c r="D144" s="1097"/>
      <c r="AA144" s="1106"/>
      <c r="AB144" s="1106"/>
      <c r="AC144" s="1106"/>
      <c r="AD144" s="1106"/>
      <c r="AE144" s="1106"/>
      <c r="AF144" s="1106"/>
      <c r="AH144" s="1105"/>
      <c r="AI144" s="1105"/>
      <c r="AJ144" s="1105"/>
      <c r="AK144" s="1105"/>
      <c r="AL144" s="1105"/>
      <c r="AM144" s="1105"/>
      <c r="AN144" s="1105"/>
      <c r="AO144" s="1105"/>
      <c r="AP144" s="1105"/>
      <c r="AQ144" s="1105"/>
      <c r="AR144" s="1105"/>
      <c r="AS144" s="1105"/>
      <c r="AT144" s="1105"/>
      <c r="AU144" s="1105"/>
      <c r="AV144" s="1105"/>
      <c r="AW144" s="1105"/>
      <c r="AX144" s="1105"/>
      <c r="AY144" s="1105"/>
      <c r="BA144" s="1105"/>
      <c r="BB144" s="1105"/>
      <c r="BC144" s="1105"/>
      <c r="BD144" s="1105"/>
      <c r="BE144" s="1105"/>
      <c r="BF144" s="1105"/>
      <c r="BG144" s="1105"/>
      <c r="BH144" s="1105"/>
      <c r="BI144" s="1105"/>
      <c r="BJ144" s="1105"/>
      <c r="BK144" s="1105"/>
      <c r="BL144" s="1105"/>
      <c r="BM144" s="1105"/>
      <c r="BN144" s="1105"/>
      <c r="BO144" s="1105"/>
      <c r="BP144" s="1105"/>
      <c r="BQ144" s="1105"/>
      <c r="BR144" s="1105"/>
      <c r="BS144" s="73"/>
      <c r="BU144" s="1097"/>
      <c r="BV144" s="1097"/>
      <c r="BW144" s="1097"/>
      <c r="BX144" s="1097"/>
      <c r="CU144" s="1106"/>
      <c r="CV144" s="1106"/>
      <c r="CW144" s="1106"/>
      <c r="CX144" s="1106"/>
      <c r="CY144" s="1106"/>
      <c r="CZ144" s="1106"/>
      <c r="DB144" s="1105"/>
      <c r="DC144" s="1105"/>
      <c r="DD144" s="1105"/>
      <c r="DE144" s="1105"/>
      <c r="DF144" s="1105"/>
      <c r="DG144" s="1105"/>
      <c r="DH144" s="1105"/>
      <c r="DI144" s="1105"/>
      <c r="DJ144" s="1105"/>
      <c r="DK144" s="1105"/>
      <c r="DL144" s="1105"/>
      <c r="DM144" s="1105"/>
      <c r="DN144" s="1105"/>
      <c r="DO144" s="1105"/>
      <c r="DP144" s="1105"/>
      <c r="DQ144" s="1105"/>
      <c r="DR144" s="1105"/>
      <c r="DS144" s="1105"/>
      <c r="DU144" s="1105"/>
      <c r="DV144" s="1105"/>
      <c r="DW144" s="1105"/>
      <c r="DX144" s="1105"/>
      <c r="DY144" s="1105"/>
      <c r="DZ144" s="1105"/>
      <c r="EA144" s="1105"/>
      <c r="EB144" s="1105"/>
      <c r="EC144" s="1105"/>
      <c r="ED144" s="1105"/>
      <c r="EE144" s="1105"/>
      <c r="EF144" s="1105"/>
      <c r="EG144" s="1105"/>
      <c r="EH144" s="1105"/>
      <c r="EI144" s="1105"/>
      <c r="EJ144" s="1105"/>
      <c r="EK144" s="1105"/>
      <c r="EL144" s="1105"/>
    </row>
    <row r="145" spans="1:142" ht="3.75" customHeight="1" x14ac:dyDescent="0.25">
      <c r="A145" s="1097"/>
      <c r="B145" s="1097"/>
      <c r="C145" s="1097"/>
      <c r="D145" s="1097"/>
      <c r="F145" s="1104" t="s">
        <v>613</v>
      </c>
      <c r="G145" s="1104"/>
      <c r="H145" s="1104"/>
      <c r="I145" s="1104"/>
      <c r="J145" s="1104"/>
      <c r="K145" s="1104"/>
      <c r="L145" s="1104"/>
      <c r="M145" s="1104"/>
      <c r="N145" s="1104"/>
      <c r="O145" s="1104"/>
      <c r="P145" s="1104"/>
      <c r="Q145" s="1104"/>
      <c r="R145" s="1104"/>
      <c r="S145" s="1053"/>
      <c r="T145" s="1053"/>
      <c r="U145" s="1053"/>
      <c r="W145" s="1053"/>
      <c r="X145" s="1053"/>
      <c r="Y145" s="1053"/>
      <c r="AA145" s="1106"/>
      <c r="AB145" s="1106"/>
      <c r="AC145" s="1106"/>
      <c r="AD145" s="1106"/>
      <c r="AE145" s="1106"/>
      <c r="AF145" s="1106"/>
      <c r="AH145" s="1105"/>
      <c r="AI145" s="1105"/>
      <c r="AJ145" s="1105"/>
      <c r="AK145" s="1105"/>
      <c r="AL145" s="1105"/>
      <c r="AM145" s="1105"/>
      <c r="AN145" s="1105"/>
      <c r="AO145" s="1105"/>
      <c r="AP145" s="1105"/>
      <c r="AQ145" s="1105"/>
      <c r="AR145" s="1105"/>
      <c r="AS145" s="1105"/>
      <c r="AT145" s="1105"/>
      <c r="AU145" s="1105"/>
      <c r="AV145" s="1105"/>
      <c r="AW145" s="1105"/>
      <c r="AX145" s="1105"/>
      <c r="AY145" s="1105"/>
      <c r="BA145" s="1105"/>
      <c r="BB145" s="1105"/>
      <c r="BC145" s="1105"/>
      <c r="BD145" s="1105"/>
      <c r="BE145" s="1105"/>
      <c r="BF145" s="1105"/>
      <c r="BG145" s="1105"/>
      <c r="BH145" s="1105"/>
      <c r="BI145" s="1105"/>
      <c r="BJ145" s="1105"/>
      <c r="BK145" s="1105"/>
      <c r="BL145" s="1105"/>
      <c r="BM145" s="1105"/>
      <c r="BN145" s="1105"/>
      <c r="BO145" s="1105"/>
      <c r="BP145" s="1105"/>
      <c r="BQ145" s="1105"/>
      <c r="BR145" s="1105"/>
      <c r="BS145" s="73"/>
      <c r="BU145" s="1097"/>
      <c r="BV145" s="1097"/>
      <c r="BW145" s="1097"/>
      <c r="BX145" s="1097"/>
      <c r="BZ145" s="1104" t="s">
        <v>613</v>
      </c>
      <c r="CA145" s="1104"/>
      <c r="CB145" s="1104"/>
      <c r="CC145" s="1104"/>
      <c r="CD145" s="1104"/>
      <c r="CE145" s="1104"/>
      <c r="CF145" s="1104"/>
      <c r="CG145" s="1104"/>
      <c r="CH145" s="1104"/>
      <c r="CI145" s="1104"/>
      <c r="CJ145" s="1104"/>
      <c r="CK145" s="1104"/>
      <c r="CL145" s="1104"/>
      <c r="CM145" s="1053"/>
      <c r="CN145" s="1053"/>
      <c r="CO145" s="1053"/>
      <c r="CQ145" s="1053"/>
      <c r="CR145" s="1053"/>
      <c r="CS145" s="1053"/>
      <c r="CU145" s="1106"/>
      <c r="CV145" s="1106"/>
      <c r="CW145" s="1106"/>
      <c r="CX145" s="1106"/>
      <c r="CY145" s="1106"/>
      <c r="CZ145" s="1106"/>
      <c r="DB145" s="1105"/>
      <c r="DC145" s="1105"/>
      <c r="DD145" s="1105"/>
      <c r="DE145" s="1105"/>
      <c r="DF145" s="1105"/>
      <c r="DG145" s="1105"/>
      <c r="DH145" s="1105"/>
      <c r="DI145" s="1105"/>
      <c r="DJ145" s="1105"/>
      <c r="DK145" s="1105"/>
      <c r="DL145" s="1105"/>
      <c r="DM145" s="1105"/>
      <c r="DN145" s="1105"/>
      <c r="DO145" s="1105"/>
      <c r="DP145" s="1105"/>
      <c r="DQ145" s="1105"/>
      <c r="DR145" s="1105"/>
      <c r="DS145" s="1105"/>
      <c r="DU145" s="1105"/>
      <c r="DV145" s="1105"/>
      <c r="DW145" s="1105"/>
      <c r="DX145" s="1105"/>
      <c r="DY145" s="1105"/>
      <c r="DZ145" s="1105"/>
      <c r="EA145" s="1105"/>
      <c r="EB145" s="1105"/>
      <c r="EC145" s="1105"/>
      <c r="ED145" s="1105"/>
      <c r="EE145" s="1105"/>
      <c r="EF145" s="1105"/>
      <c r="EG145" s="1105"/>
      <c r="EH145" s="1105"/>
      <c r="EI145" s="1105"/>
      <c r="EJ145" s="1105"/>
      <c r="EK145" s="1105"/>
      <c r="EL145" s="1105"/>
    </row>
    <row r="146" spans="1:142" ht="3.75" customHeight="1" x14ac:dyDescent="0.25">
      <c r="A146" s="1097"/>
      <c r="B146" s="1097"/>
      <c r="C146" s="1097"/>
      <c r="D146" s="1097"/>
      <c r="F146" s="1104"/>
      <c r="G146" s="1104"/>
      <c r="H146" s="1104"/>
      <c r="I146" s="1104"/>
      <c r="J146" s="1104"/>
      <c r="K146" s="1104"/>
      <c r="L146" s="1104"/>
      <c r="M146" s="1104"/>
      <c r="N146" s="1104"/>
      <c r="O146" s="1104"/>
      <c r="P146" s="1104"/>
      <c r="Q146" s="1104"/>
      <c r="R146" s="1104"/>
      <c r="S146" s="1053"/>
      <c r="T146" s="1053"/>
      <c r="U146" s="1053"/>
      <c r="W146" s="1053"/>
      <c r="X146" s="1053"/>
      <c r="Y146" s="1053"/>
      <c r="AA146" s="1106"/>
      <c r="AB146" s="1106"/>
      <c r="AC146" s="1106"/>
      <c r="AD146" s="1106"/>
      <c r="AE146" s="1106"/>
      <c r="AF146" s="1106"/>
      <c r="AH146" s="1105"/>
      <c r="AI146" s="1105"/>
      <c r="AJ146" s="1105"/>
      <c r="AK146" s="1105"/>
      <c r="AL146" s="1105"/>
      <c r="AM146" s="1105"/>
      <c r="AN146" s="1105"/>
      <c r="AO146" s="1105"/>
      <c r="AP146" s="1105"/>
      <c r="AQ146" s="1105"/>
      <c r="AR146" s="1105"/>
      <c r="AS146" s="1105"/>
      <c r="AT146" s="1105"/>
      <c r="AU146" s="1105"/>
      <c r="AV146" s="1105"/>
      <c r="AW146" s="1105"/>
      <c r="AX146" s="1105"/>
      <c r="AY146" s="1105"/>
      <c r="BA146" s="1105"/>
      <c r="BB146" s="1105"/>
      <c r="BC146" s="1105"/>
      <c r="BD146" s="1105"/>
      <c r="BE146" s="1105"/>
      <c r="BF146" s="1105"/>
      <c r="BG146" s="1105"/>
      <c r="BH146" s="1105"/>
      <c r="BI146" s="1105"/>
      <c r="BJ146" s="1105"/>
      <c r="BK146" s="1105"/>
      <c r="BL146" s="1105"/>
      <c r="BM146" s="1105"/>
      <c r="BN146" s="1105"/>
      <c r="BO146" s="1105"/>
      <c r="BP146" s="1105"/>
      <c r="BQ146" s="1105"/>
      <c r="BR146" s="1105"/>
      <c r="BS146" s="73"/>
      <c r="BU146" s="1097"/>
      <c r="BV146" s="1097"/>
      <c r="BW146" s="1097"/>
      <c r="BX146" s="1097"/>
      <c r="BZ146" s="1104"/>
      <c r="CA146" s="1104"/>
      <c r="CB146" s="1104"/>
      <c r="CC146" s="1104"/>
      <c r="CD146" s="1104"/>
      <c r="CE146" s="1104"/>
      <c r="CF146" s="1104"/>
      <c r="CG146" s="1104"/>
      <c r="CH146" s="1104"/>
      <c r="CI146" s="1104"/>
      <c r="CJ146" s="1104"/>
      <c r="CK146" s="1104"/>
      <c r="CL146" s="1104"/>
      <c r="CM146" s="1053"/>
      <c r="CN146" s="1053"/>
      <c r="CO146" s="1053"/>
      <c r="CQ146" s="1053"/>
      <c r="CR146" s="1053"/>
      <c r="CS146" s="1053"/>
      <c r="CU146" s="1106"/>
      <c r="CV146" s="1106"/>
      <c r="CW146" s="1106"/>
      <c r="CX146" s="1106"/>
      <c r="CY146" s="1106"/>
      <c r="CZ146" s="1106"/>
      <c r="DB146" s="1105"/>
      <c r="DC146" s="1105"/>
      <c r="DD146" s="1105"/>
      <c r="DE146" s="1105"/>
      <c r="DF146" s="1105"/>
      <c r="DG146" s="1105"/>
      <c r="DH146" s="1105"/>
      <c r="DI146" s="1105"/>
      <c r="DJ146" s="1105"/>
      <c r="DK146" s="1105"/>
      <c r="DL146" s="1105"/>
      <c r="DM146" s="1105"/>
      <c r="DN146" s="1105"/>
      <c r="DO146" s="1105"/>
      <c r="DP146" s="1105"/>
      <c r="DQ146" s="1105"/>
      <c r="DR146" s="1105"/>
      <c r="DS146" s="1105"/>
      <c r="DU146" s="1105"/>
      <c r="DV146" s="1105"/>
      <c r="DW146" s="1105"/>
      <c r="DX146" s="1105"/>
      <c r="DY146" s="1105"/>
      <c r="DZ146" s="1105"/>
      <c r="EA146" s="1105"/>
      <c r="EB146" s="1105"/>
      <c r="EC146" s="1105"/>
      <c r="ED146" s="1105"/>
      <c r="EE146" s="1105"/>
      <c r="EF146" s="1105"/>
      <c r="EG146" s="1105"/>
      <c r="EH146" s="1105"/>
      <c r="EI146" s="1105"/>
      <c r="EJ146" s="1105"/>
      <c r="EK146" s="1105"/>
      <c r="EL146" s="1105"/>
    </row>
    <row r="147" spans="1:142" ht="3.75" customHeight="1" x14ac:dyDescent="0.25">
      <c r="A147" s="1097"/>
      <c r="B147" s="1097"/>
      <c r="C147" s="1097"/>
      <c r="D147" s="1097"/>
      <c r="F147" s="1104"/>
      <c r="G147" s="1104"/>
      <c r="H147" s="1104"/>
      <c r="I147" s="1104"/>
      <c r="J147" s="1104"/>
      <c r="K147" s="1104"/>
      <c r="L147" s="1104"/>
      <c r="M147" s="1104"/>
      <c r="N147" s="1104"/>
      <c r="O147" s="1104"/>
      <c r="P147" s="1104"/>
      <c r="Q147" s="1104"/>
      <c r="R147" s="1104"/>
      <c r="S147" s="1053"/>
      <c r="T147" s="1053"/>
      <c r="U147" s="1053"/>
      <c r="W147" s="1053"/>
      <c r="X147" s="1053"/>
      <c r="Y147" s="1053"/>
      <c r="AA147" s="1106"/>
      <c r="AB147" s="1106"/>
      <c r="AC147" s="1106"/>
      <c r="AD147" s="1106"/>
      <c r="AE147" s="1106"/>
      <c r="AF147" s="1106"/>
      <c r="AH147" s="1105"/>
      <c r="AI147" s="1105"/>
      <c r="AJ147" s="1105"/>
      <c r="AK147" s="1105"/>
      <c r="AL147" s="1105"/>
      <c r="AM147" s="1105"/>
      <c r="AN147" s="1105"/>
      <c r="AO147" s="1105"/>
      <c r="AP147" s="1105"/>
      <c r="AQ147" s="1105"/>
      <c r="AR147" s="1105"/>
      <c r="AS147" s="1105"/>
      <c r="AT147" s="1105"/>
      <c r="AU147" s="1105"/>
      <c r="AV147" s="1105"/>
      <c r="AW147" s="1105"/>
      <c r="AX147" s="1105"/>
      <c r="AY147" s="1105"/>
      <c r="BA147" s="1105"/>
      <c r="BB147" s="1105"/>
      <c r="BC147" s="1105"/>
      <c r="BD147" s="1105"/>
      <c r="BE147" s="1105"/>
      <c r="BF147" s="1105"/>
      <c r="BG147" s="1105"/>
      <c r="BH147" s="1105"/>
      <c r="BI147" s="1105"/>
      <c r="BJ147" s="1105"/>
      <c r="BK147" s="1105"/>
      <c r="BL147" s="1105"/>
      <c r="BM147" s="1105"/>
      <c r="BN147" s="1105"/>
      <c r="BO147" s="1105"/>
      <c r="BP147" s="1105"/>
      <c r="BQ147" s="1105"/>
      <c r="BR147" s="1105"/>
      <c r="BS147" s="73"/>
      <c r="BU147" s="1097"/>
      <c r="BV147" s="1097"/>
      <c r="BW147" s="1097"/>
      <c r="BX147" s="1097"/>
      <c r="BZ147" s="1104"/>
      <c r="CA147" s="1104"/>
      <c r="CB147" s="1104"/>
      <c r="CC147" s="1104"/>
      <c r="CD147" s="1104"/>
      <c r="CE147" s="1104"/>
      <c r="CF147" s="1104"/>
      <c r="CG147" s="1104"/>
      <c r="CH147" s="1104"/>
      <c r="CI147" s="1104"/>
      <c r="CJ147" s="1104"/>
      <c r="CK147" s="1104"/>
      <c r="CL147" s="1104"/>
      <c r="CM147" s="1053"/>
      <c r="CN147" s="1053"/>
      <c r="CO147" s="1053"/>
      <c r="CQ147" s="1053"/>
      <c r="CR147" s="1053"/>
      <c r="CS147" s="1053"/>
      <c r="CU147" s="1106"/>
      <c r="CV147" s="1106"/>
      <c r="CW147" s="1106"/>
      <c r="CX147" s="1106"/>
      <c r="CY147" s="1106"/>
      <c r="CZ147" s="1106"/>
      <c r="DB147" s="1105"/>
      <c r="DC147" s="1105"/>
      <c r="DD147" s="1105"/>
      <c r="DE147" s="1105"/>
      <c r="DF147" s="1105"/>
      <c r="DG147" s="1105"/>
      <c r="DH147" s="1105"/>
      <c r="DI147" s="1105"/>
      <c r="DJ147" s="1105"/>
      <c r="DK147" s="1105"/>
      <c r="DL147" s="1105"/>
      <c r="DM147" s="1105"/>
      <c r="DN147" s="1105"/>
      <c r="DO147" s="1105"/>
      <c r="DP147" s="1105"/>
      <c r="DQ147" s="1105"/>
      <c r="DR147" s="1105"/>
      <c r="DS147" s="1105"/>
      <c r="DU147" s="1105"/>
      <c r="DV147" s="1105"/>
      <c r="DW147" s="1105"/>
      <c r="DX147" s="1105"/>
      <c r="DY147" s="1105"/>
      <c r="DZ147" s="1105"/>
      <c r="EA147" s="1105"/>
      <c r="EB147" s="1105"/>
      <c r="EC147" s="1105"/>
      <c r="ED147" s="1105"/>
      <c r="EE147" s="1105"/>
      <c r="EF147" s="1105"/>
      <c r="EG147" s="1105"/>
      <c r="EH147" s="1105"/>
      <c r="EI147" s="1105"/>
      <c r="EJ147" s="1105"/>
      <c r="EK147" s="1105"/>
      <c r="EL147" s="1105"/>
    </row>
    <row r="148" spans="1:142" ht="3.75" customHeight="1" x14ac:dyDescent="0.25">
      <c r="AA148" s="1106"/>
      <c r="AB148" s="1106"/>
      <c r="AC148" s="1106"/>
      <c r="AD148" s="1106"/>
      <c r="AE148" s="1106"/>
      <c r="AF148" s="1106"/>
      <c r="AH148" s="1105"/>
      <c r="AI148" s="1105"/>
      <c r="AJ148" s="1105"/>
      <c r="AK148" s="1105"/>
      <c r="AL148" s="1105"/>
      <c r="AM148" s="1105"/>
      <c r="AN148" s="1105"/>
      <c r="AO148" s="1105"/>
      <c r="AP148" s="1105"/>
      <c r="AQ148" s="1105"/>
      <c r="AR148" s="1105"/>
      <c r="AS148" s="1105"/>
      <c r="AT148" s="1105"/>
      <c r="AU148" s="1105"/>
      <c r="AV148" s="1105"/>
      <c r="AW148" s="1105"/>
      <c r="AX148" s="1105"/>
      <c r="AY148" s="1105"/>
      <c r="BA148" s="1105"/>
      <c r="BB148" s="1105"/>
      <c r="BC148" s="1105"/>
      <c r="BD148" s="1105"/>
      <c r="BE148" s="1105"/>
      <c r="BF148" s="1105"/>
      <c r="BG148" s="1105"/>
      <c r="BH148" s="1105"/>
      <c r="BI148" s="1105"/>
      <c r="BJ148" s="1105"/>
      <c r="BK148" s="1105"/>
      <c r="BL148" s="1105"/>
      <c r="BM148" s="1105"/>
      <c r="BN148" s="1105"/>
      <c r="BO148" s="1105"/>
      <c r="BP148" s="1105"/>
      <c r="BQ148" s="1105"/>
      <c r="BR148" s="1105"/>
      <c r="BS148" s="73"/>
      <c r="CU148" s="1106"/>
      <c r="CV148" s="1106"/>
      <c r="CW148" s="1106"/>
      <c r="CX148" s="1106"/>
      <c r="CY148" s="1106"/>
      <c r="CZ148" s="1106"/>
      <c r="DB148" s="1105"/>
      <c r="DC148" s="1105"/>
      <c r="DD148" s="1105"/>
      <c r="DE148" s="1105"/>
      <c r="DF148" s="1105"/>
      <c r="DG148" s="1105"/>
      <c r="DH148" s="1105"/>
      <c r="DI148" s="1105"/>
      <c r="DJ148" s="1105"/>
      <c r="DK148" s="1105"/>
      <c r="DL148" s="1105"/>
      <c r="DM148" s="1105"/>
      <c r="DN148" s="1105"/>
      <c r="DO148" s="1105"/>
      <c r="DP148" s="1105"/>
      <c r="DQ148" s="1105"/>
      <c r="DR148" s="1105"/>
      <c r="DS148" s="1105"/>
      <c r="DU148" s="1105"/>
      <c r="DV148" s="1105"/>
      <c r="DW148" s="1105"/>
      <c r="DX148" s="1105"/>
      <c r="DY148" s="1105"/>
      <c r="DZ148" s="1105"/>
      <c r="EA148" s="1105"/>
      <c r="EB148" s="1105"/>
      <c r="EC148" s="1105"/>
      <c r="ED148" s="1105"/>
      <c r="EE148" s="1105"/>
      <c r="EF148" s="1105"/>
      <c r="EG148" s="1105"/>
      <c r="EH148" s="1105"/>
      <c r="EI148" s="1105"/>
      <c r="EJ148" s="1105"/>
      <c r="EK148" s="1105"/>
      <c r="EL148" s="1105"/>
    </row>
    <row r="149" spans="1:142" ht="3.75" customHeight="1" x14ac:dyDescent="0.25">
      <c r="AA149" s="1106"/>
      <c r="AB149" s="1106"/>
      <c r="AC149" s="1106"/>
      <c r="AD149" s="1106"/>
      <c r="AE149" s="1106"/>
      <c r="AF149" s="1106"/>
      <c r="AH149" s="1105"/>
      <c r="AI149" s="1105"/>
      <c r="AJ149" s="1105"/>
      <c r="AK149" s="1105"/>
      <c r="AL149" s="1105"/>
      <c r="AM149" s="1105"/>
      <c r="AN149" s="1105"/>
      <c r="AO149" s="1105"/>
      <c r="AP149" s="1105"/>
      <c r="AQ149" s="1105"/>
      <c r="AR149" s="1105"/>
      <c r="AS149" s="1105"/>
      <c r="AT149" s="1105"/>
      <c r="AU149" s="1105"/>
      <c r="AV149" s="1105"/>
      <c r="AW149" s="1105"/>
      <c r="AX149" s="1105"/>
      <c r="AY149" s="1105"/>
      <c r="BA149" s="1105"/>
      <c r="BB149" s="1105"/>
      <c r="BC149" s="1105"/>
      <c r="BD149" s="1105"/>
      <c r="BE149" s="1105"/>
      <c r="BF149" s="1105"/>
      <c r="BG149" s="1105"/>
      <c r="BH149" s="1105"/>
      <c r="BI149" s="1105"/>
      <c r="BJ149" s="1105"/>
      <c r="BK149" s="1105"/>
      <c r="BL149" s="1105"/>
      <c r="BM149" s="1105"/>
      <c r="BN149" s="1105"/>
      <c r="BO149" s="1105"/>
      <c r="BP149" s="1105"/>
      <c r="BQ149" s="1105"/>
      <c r="BR149" s="1105"/>
      <c r="BS149" s="73"/>
      <c r="CU149" s="1106"/>
      <c r="CV149" s="1106"/>
      <c r="CW149" s="1106"/>
      <c r="CX149" s="1106"/>
      <c r="CY149" s="1106"/>
      <c r="CZ149" s="1106"/>
      <c r="DB149" s="1105"/>
      <c r="DC149" s="1105"/>
      <c r="DD149" s="1105"/>
      <c r="DE149" s="1105"/>
      <c r="DF149" s="1105"/>
      <c r="DG149" s="1105"/>
      <c r="DH149" s="1105"/>
      <c r="DI149" s="1105"/>
      <c r="DJ149" s="1105"/>
      <c r="DK149" s="1105"/>
      <c r="DL149" s="1105"/>
      <c r="DM149" s="1105"/>
      <c r="DN149" s="1105"/>
      <c r="DO149" s="1105"/>
      <c r="DP149" s="1105"/>
      <c r="DQ149" s="1105"/>
      <c r="DR149" s="1105"/>
      <c r="DS149" s="1105"/>
      <c r="DU149" s="1105"/>
      <c r="DV149" s="1105"/>
      <c r="DW149" s="1105"/>
      <c r="DX149" s="1105"/>
      <c r="DY149" s="1105"/>
      <c r="DZ149" s="1105"/>
      <c r="EA149" s="1105"/>
      <c r="EB149" s="1105"/>
      <c r="EC149" s="1105"/>
      <c r="ED149" s="1105"/>
      <c r="EE149" s="1105"/>
      <c r="EF149" s="1105"/>
      <c r="EG149" s="1105"/>
      <c r="EH149" s="1105"/>
      <c r="EI149" s="1105"/>
      <c r="EJ149" s="1105"/>
      <c r="EK149" s="1105"/>
      <c r="EL149" s="1105"/>
    </row>
    <row r="150" spans="1:142" ht="3.75" customHeight="1" x14ac:dyDescent="0.25">
      <c r="AA150" s="1106"/>
      <c r="AB150" s="1106"/>
      <c r="AC150" s="1106"/>
      <c r="AD150" s="1106"/>
      <c r="AE150" s="1106"/>
      <c r="AF150" s="1106"/>
      <c r="AH150" s="1105"/>
      <c r="AI150" s="1105"/>
      <c r="AJ150" s="1105"/>
      <c r="AK150" s="1105"/>
      <c r="AL150" s="1105"/>
      <c r="AM150" s="1105"/>
      <c r="AN150" s="1105"/>
      <c r="AO150" s="1105"/>
      <c r="AP150" s="1105"/>
      <c r="AQ150" s="1105"/>
      <c r="AR150" s="1105"/>
      <c r="AS150" s="1105"/>
      <c r="AT150" s="1105"/>
      <c r="AU150" s="1105"/>
      <c r="AV150" s="1105"/>
      <c r="AW150" s="1105"/>
      <c r="AX150" s="1105"/>
      <c r="AY150" s="1105"/>
      <c r="BA150" s="1105"/>
      <c r="BB150" s="1105"/>
      <c r="BC150" s="1105"/>
      <c r="BD150" s="1105"/>
      <c r="BE150" s="1105"/>
      <c r="BF150" s="1105"/>
      <c r="BG150" s="1105"/>
      <c r="BH150" s="1105"/>
      <c r="BI150" s="1105"/>
      <c r="BJ150" s="1105"/>
      <c r="BK150" s="1105"/>
      <c r="BL150" s="1105"/>
      <c r="BM150" s="1105"/>
      <c r="BN150" s="1105"/>
      <c r="BO150" s="1105"/>
      <c r="BP150" s="1105"/>
      <c r="BQ150" s="1105"/>
      <c r="BR150" s="1105"/>
      <c r="BS150" s="73"/>
      <c r="CU150" s="1106"/>
      <c r="CV150" s="1106"/>
      <c r="CW150" s="1106"/>
      <c r="CX150" s="1106"/>
      <c r="CY150" s="1106"/>
      <c r="CZ150" s="1106"/>
      <c r="DB150" s="1105"/>
      <c r="DC150" s="1105"/>
      <c r="DD150" s="1105"/>
      <c r="DE150" s="1105"/>
      <c r="DF150" s="1105"/>
      <c r="DG150" s="1105"/>
      <c r="DH150" s="1105"/>
      <c r="DI150" s="1105"/>
      <c r="DJ150" s="1105"/>
      <c r="DK150" s="1105"/>
      <c r="DL150" s="1105"/>
      <c r="DM150" s="1105"/>
      <c r="DN150" s="1105"/>
      <c r="DO150" s="1105"/>
      <c r="DP150" s="1105"/>
      <c r="DQ150" s="1105"/>
      <c r="DR150" s="1105"/>
      <c r="DS150" s="1105"/>
      <c r="DU150" s="1105"/>
      <c r="DV150" s="1105"/>
      <c r="DW150" s="1105"/>
      <c r="DX150" s="1105"/>
      <c r="DY150" s="1105"/>
      <c r="DZ150" s="1105"/>
      <c r="EA150" s="1105"/>
      <c r="EB150" s="1105"/>
      <c r="EC150" s="1105"/>
      <c r="ED150" s="1105"/>
      <c r="EE150" s="1105"/>
      <c r="EF150" s="1105"/>
      <c r="EG150" s="1105"/>
      <c r="EH150" s="1105"/>
      <c r="EI150" s="1105"/>
      <c r="EJ150" s="1105"/>
      <c r="EK150" s="1105"/>
      <c r="EL150" s="1105"/>
    </row>
    <row r="151" spans="1:142" ht="3.75" customHeight="1" thickBot="1" x14ac:dyDescent="0.3">
      <c r="A151" s="355"/>
      <c r="B151" s="355"/>
      <c r="C151" s="355"/>
      <c r="D151" s="355"/>
      <c r="E151" s="355"/>
      <c r="F151" s="355"/>
      <c r="G151" s="355"/>
      <c r="H151" s="355"/>
      <c r="I151" s="355"/>
      <c r="J151" s="355"/>
      <c r="K151" s="355"/>
      <c r="L151" s="355"/>
      <c r="M151" s="355"/>
      <c r="N151" s="355"/>
      <c r="O151" s="355"/>
      <c r="P151" s="355"/>
      <c r="Q151" s="355"/>
      <c r="R151" s="355"/>
      <c r="S151" s="355"/>
      <c r="T151" s="355"/>
      <c r="U151" s="355"/>
      <c r="V151" s="355"/>
      <c r="W151" s="355"/>
      <c r="X151" s="355"/>
      <c r="Y151" s="355"/>
      <c r="Z151" s="355"/>
      <c r="AA151" s="355"/>
      <c r="AB151" s="355"/>
      <c r="AC151" s="355"/>
      <c r="AD151" s="355"/>
      <c r="AE151" s="355"/>
      <c r="AF151" s="355"/>
      <c r="AG151" s="355"/>
      <c r="AH151" s="355"/>
      <c r="AI151" s="355"/>
      <c r="AJ151" s="355"/>
      <c r="AK151" s="355"/>
      <c r="AL151" s="355"/>
      <c r="AM151" s="355"/>
      <c r="AN151" s="355"/>
      <c r="AO151" s="355"/>
      <c r="AP151" s="355"/>
      <c r="AQ151" s="355"/>
      <c r="AR151" s="355"/>
      <c r="AS151" s="355"/>
      <c r="AT151" s="355"/>
      <c r="AU151" s="355"/>
      <c r="AV151" s="355"/>
      <c r="AW151" s="355"/>
      <c r="AX151" s="355"/>
      <c r="AY151" s="355"/>
      <c r="AZ151" s="355"/>
      <c r="BA151" s="355"/>
      <c r="BB151" s="355"/>
      <c r="BC151" s="355"/>
      <c r="BD151" s="355"/>
      <c r="BE151" s="355"/>
      <c r="BF151" s="355"/>
      <c r="BG151" s="355"/>
      <c r="BH151" s="355"/>
      <c r="BI151" s="355"/>
      <c r="BJ151" s="355"/>
      <c r="BK151" s="355"/>
      <c r="BL151" s="355"/>
      <c r="BM151" s="355"/>
      <c r="BN151" s="355"/>
      <c r="BO151" s="355"/>
      <c r="BP151" s="355"/>
      <c r="BQ151" s="355"/>
      <c r="BR151" s="355"/>
      <c r="BS151" s="360"/>
      <c r="BT151" s="355"/>
      <c r="BU151" s="355"/>
      <c r="BV151" s="355"/>
      <c r="BW151" s="355"/>
      <c r="BX151" s="355"/>
      <c r="BY151" s="355"/>
      <c r="BZ151" s="355"/>
      <c r="CA151" s="355"/>
      <c r="CB151" s="355"/>
      <c r="CC151" s="355"/>
      <c r="CD151" s="355"/>
      <c r="CE151" s="355"/>
      <c r="CF151" s="355"/>
      <c r="CG151" s="355"/>
      <c r="CH151" s="355"/>
      <c r="CI151" s="355"/>
      <c r="CJ151" s="355"/>
      <c r="CK151" s="355"/>
      <c r="CL151" s="355"/>
      <c r="CM151" s="355"/>
      <c r="CN151" s="355"/>
      <c r="CO151" s="355"/>
      <c r="CP151" s="355"/>
      <c r="CQ151" s="355"/>
      <c r="CR151" s="355"/>
      <c r="CS151" s="355"/>
      <c r="CT151" s="355"/>
      <c r="CU151" s="355"/>
      <c r="CV151" s="355"/>
      <c r="CW151" s="355"/>
      <c r="CX151" s="355"/>
      <c r="CY151" s="355"/>
      <c r="CZ151" s="355"/>
      <c r="DA151" s="355"/>
      <c r="DB151" s="355"/>
      <c r="DC151" s="355"/>
      <c r="DD151" s="355"/>
      <c r="DE151" s="355"/>
      <c r="DF151" s="355"/>
      <c r="DG151" s="355"/>
      <c r="DH151" s="355"/>
      <c r="DI151" s="355"/>
      <c r="DJ151" s="355"/>
      <c r="DK151" s="355"/>
      <c r="DL151" s="355"/>
      <c r="DM151" s="355"/>
      <c r="DN151" s="355"/>
      <c r="DO151" s="355"/>
      <c r="DP151" s="355"/>
      <c r="DQ151" s="355"/>
      <c r="DR151" s="355"/>
      <c r="DS151" s="355"/>
      <c r="DT151" s="355"/>
      <c r="DU151" s="355"/>
      <c r="DV151" s="355"/>
      <c r="DW151" s="355"/>
      <c r="DX151" s="355"/>
      <c r="DY151" s="355"/>
      <c r="DZ151" s="355"/>
      <c r="EA151" s="355"/>
      <c r="EB151" s="355"/>
      <c r="EC151" s="355"/>
      <c r="ED151" s="355"/>
      <c r="EE151" s="355"/>
      <c r="EF151" s="355"/>
      <c r="EG151" s="355"/>
      <c r="EH151" s="355"/>
      <c r="EI151" s="355"/>
      <c r="EJ151" s="355"/>
      <c r="EK151" s="355"/>
      <c r="EL151" s="355"/>
    </row>
    <row r="152" spans="1:142" ht="3.75" customHeight="1" x14ac:dyDescent="0.25">
      <c r="A152" s="1063" t="s">
        <v>601</v>
      </c>
      <c r="B152" s="1063"/>
      <c r="C152" s="1063"/>
      <c r="E152" s="1063" t="s">
        <v>600</v>
      </c>
      <c r="F152" s="1063"/>
      <c r="G152" s="1063"/>
      <c r="I152" s="1065" t="s">
        <v>597</v>
      </c>
      <c r="J152" s="1065"/>
      <c r="K152" s="1065"/>
      <c r="M152" s="1065" t="s">
        <v>596</v>
      </c>
      <c r="N152" s="1065"/>
      <c r="O152" s="1065"/>
      <c r="Q152" s="1065" t="s">
        <v>595</v>
      </c>
      <c r="R152" s="1065"/>
      <c r="S152" s="1065"/>
      <c r="BQ152" s="366"/>
      <c r="BR152" s="366"/>
      <c r="BS152" s="73"/>
      <c r="BU152" s="1065" t="s">
        <v>606</v>
      </c>
      <c r="BV152" s="1065"/>
      <c r="BW152" s="1065"/>
      <c r="BY152" s="1067" t="s">
        <v>611</v>
      </c>
      <c r="BZ152" s="1068"/>
      <c r="CA152" s="1068"/>
      <c r="CB152" s="1068"/>
      <c r="CC152" s="1068"/>
      <c r="CD152" s="1068"/>
      <c r="CE152" s="1068"/>
      <c r="CF152" s="1068"/>
      <c r="CG152" s="1068"/>
      <c r="CH152" s="1068"/>
      <c r="CI152" s="1069"/>
      <c r="CK152" s="1065" t="s">
        <v>604</v>
      </c>
      <c r="CL152" s="1065"/>
      <c r="CM152" s="1065"/>
      <c r="CO152" s="1063" t="s">
        <v>610</v>
      </c>
      <c r="CP152" s="1063"/>
      <c r="CQ152" s="1063"/>
      <c r="DW152" s="1071" t="s">
        <v>605</v>
      </c>
      <c r="DX152" s="1071"/>
      <c r="DY152" s="1071"/>
      <c r="DZ152" s="1071"/>
      <c r="EA152" s="1071"/>
      <c r="EB152" s="1071"/>
      <c r="EC152" s="1071"/>
      <c r="ED152" s="1071"/>
    </row>
    <row r="153" spans="1:142" ht="3.75" customHeight="1" x14ac:dyDescent="0.25">
      <c r="A153" s="1064"/>
      <c r="B153" s="1064"/>
      <c r="C153" s="1064"/>
      <c r="E153" s="1064"/>
      <c r="F153" s="1064"/>
      <c r="G153" s="1064"/>
      <c r="I153" s="1066"/>
      <c r="J153" s="1066"/>
      <c r="K153" s="1066"/>
      <c r="M153" s="1066"/>
      <c r="N153" s="1066"/>
      <c r="O153" s="1066"/>
      <c r="Q153" s="1066"/>
      <c r="R153" s="1066"/>
      <c r="S153" s="1066"/>
      <c r="Z153" s="1077" t="s">
        <v>612</v>
      </c>
      <c r="AA153" s="1077"/>
      <c r="AB153" s="1077"/>
      <c r="AC153" s="1077"/>
      <c r="AD153" s="1077"/>
      <c r="AE153" s="1077"/>
      <c r="AF153" s="1077"/>
      <c r="AG153" s="1077"/>
      <c r="AH153" s="1077"/>
      <c r="AI153" s="1077"/>
      <c r="AJ153" s="1077"/>
      <c r="AK153" s="1077"/>
      <c r="AL153" s="1077"/>
      <c r="AM153" s="1077"/>
      <c r="AN153" s="1077"/>
      <c r="AO153" s="1077"/>
      <c r="AP153" s="1077"/>
      <c r="AQ153" s="1077"/>
      <c r="AR153" s="1077"/>
      <c r="AS153" s="1077"/>
      <c r="AT153" s="1077"/>
      <c r="BS153" s="73"/>
      <c r="BU153" s="1066"/>
      <c r="BV153" s="1066"/>
      <c r="BW153" s="1066"/>
      <c r="BY153" s="1070"/>
      <c r="BZ153" s="1071"/>
      <c r="CA153" s="1071"/>
      <c r="CB153" s="1071"/>
      <c r="CC153" s="1071"/>
      <c r="CD153" s="1071"/>
      <c r="CE153" s="1071"/>
      <c r="CF153" s="1071"/>
      <c r="CG153" s="1071"/>
      <c r="CH153" s="1071"/>
      <c r="CI153" s="1072"/>
      <c r="CK153" s="1066"/>
      <c r="CL153" s="1066"/>
      <c r="CM153" s="1066"/>
      <c r="CO153" s="1064"/>
      <c r="CP153" s="1064"/>
      <c r="CQ153" s="1064"/>
      <c r="CX153" s="1077" t="s">
        <v>609</v>
      </c>
      <c r="CY153" s="1077"/>
      <c r="CZ153" s="1077"/>
      <c r="DA153" s="1077"/>
      <c r="DB153" s="1077"/>
      <c r="DC153" s="1077"/>
      <c r="DD153" s="1077"/>
      <c r="DE153" s="1077"/>
      <c r="DF153" s="1077"/>
      <c r="DG153" s="1077"/>
      <c r="DH153" s="1077"/>
      <c r="DI153" s="1077"/>
      <c r="DJ153" s="1077"/>
      <c r="DK153" s="1077"/>
      <c r="DL153" s="1077"/>
      <c r="DM153" s="1077"/>
      <c r="DN153" s="1077"/>
      <c r="DO153" s="1077"/>
      <c r="DW153" s="1071"/>
      <c r="DX153" s="1071"/>
      <c r="DY153" s="1071"/>
      <c r="DZ153" s="1071"/>
      <c r="EA153" s="1071"/>
      <c r="EB153" s="1071"/>
      <c r="EC153" s="1071"/>
      <c r="ED153" s="1071"/>
    </row>
    <row r="154" spans="1:142" ht="3.75" customHeight="1" x14ac:dyDescent="0.25">
      <c r="A154" s="1064"/>
      <c r="B154" s="1064"/>
      <c r="C154" s="1064"/>
      <c r="E154" s="1064"/>
      <c r="F154" s="1064"/>
      <c r="G154" s="1064"/>
      <c r="I154" s="1066"/>
      <c r="J154" s="1066"/>
      <c r="K154" s="1066"/>
      <c r="M154" s="1066"/>
      <c r="N154" s="1066"/>
      <c r="O154" s="1066"/>
      <c r="Q154" s="1066"/>
      <c r="R154" s="1066"/>
      <c r="S154" s="1066"/>
      <c r="Z154" s="1077"/>
      <c r="AA154" s="1077"/>
      <c r="AB154" s="1077"/>
      <c r="AC154" s="1077"/>
      <c r="AD154" s="1077"/>
      <c r="AE154" s="1077"/>
      <c r="AF154" s="1077"/>
      <c r="AG154" s="1077"/>
      <c r="AH154" s="1077"/>
      <c r="AI154" s="1077"/>
      <c r="AJ154" s="1077"/>
      <c r="AK154" s="1077"/>
      <c r="AL154" s="1077"/>
      <c r="AM154" s="1077"/>
      <c r="AN154" s="1077"/>
      <c r="AO154" s="1077"/>
      <c r="AP154" s="1077"/>
      <c r="AQ154" s="1077"/>
      <c r="AR154" s="1077"/>
      <c r="AS154" s="1077"/>
      <c r="AT154" s="1077"/>
      <c r="BS154" s="73"/>
      <c r="BU154" s="1066"/>
      <c r="BV154" s="1066"/>
      <c r="BW154" s="1066"/>
      <c r="BY154" s="1070" t="s">
        <v>607</v>
      </c>
      <c r="BZ154" s="1071"/>
      <c r="CA154" s="1071"/>
      <c r="CB154" s="1071"/>
      <c r="CC154" s="1071"/>
      <c r="CD154" s="1071"/>
      <c r="CE154" s="1071"/>
      <c r="CF154" s="1071"/>
      <c r="CG154" s="1071"/>
      <c r="CH154" s="1071"/>
      <c r="CI154" s="1072"/>
      <c r="CK154" s="1066"/>
      <c r="CL154" s="1066"/>
      <c r="CM154" s="1066"/>
      <c r="CO154" s="1064"/>
      <c r="CP154" s="1064"/>
      <c r="CQ154" s="1064"/>
      <c r="CX154" s="1077"/>
      <c r="CY154" s="1077"/>
      <c r="CZ154" s="1077"/>
      <c r="DA154" s="1077"/>
      <c r="DB154" s="1077"/>
      <c r="DC154" s="1077"/>
      <c r="DD154" s="1077"/>
      <c r="DE154" s="1077"/>
      <c r="DF154" s="1077"/>
      <c r="DG154" s="1077"/>
      <c r="DH154" s="1077"/>
      <c r="DI154" s="1077"/>
      <c r="DJ154" s="1077"/>
      <c r="DK154" s="1077"/>
      <c r="DL154" s="1077"/>
      <c r="DM154" s="1077"/>
      <c r="DN154" s="1077"/>
      <c r="DO154" s="1077"/>
      <c r="DY154" s="1049" t="s">
        <v>141</v>
      </c>
      <c r="DZ154" s="1050"/>
      <c r="EA154" s="1050"/>
      <c r="EB154" s="1050"/>
      <c r="EC154" s="1043" t="s">
        <v>608</v>
      </c>
      <c r="ED154" s="1044"/>
    </row>
    <row r="155" spans="1:142" ht="3.75" customHeight="1" x14ac:dyDescent="0.25">
      <c r="A155" s="1064"/>
      <c r="B155" s="1064"/>
      <c r="C155" s="1064"/>
      <c r="E155" s="1064"/>
      <c r="F155" s="1064"/>
      <c r="G155" s="1064"/>
      <c r="I155" s="1066"/>
      <c r="J155" s="1066"/>
      <c r="K155" s="1066"/>
      <c r="M155" s="1066"/>
      <c r="N155" s="1066"/>
      <c r="O155" s="1066"/>
      <c r="Q155" s="1066"/>
      <c r="R155" s="1066"/>
      <c r="S155" s="1066"/>
      <c r="Z155" s="1077"/>
      <c r="AA155" s="1077"/>
      <c r="AB155" s="1077"/>
      <c r="AC155" s="1077"/>
      <c r="AD155" s="1077"/>
      <c r="AE155" s="1077"/>
      <c r="AF155" s="1077"/>
      <c r="AG155" s="1077"/>
      <c r="AH155" s="1077"/>
      <c r="AI155" s="1077"/>
      <c r="AJ155" s="1077"/>
      <c r="AK155" s="1077"/>
      <c r="AL155" s="1077"/>
      <c r="AM155" s="1077"/>
      <c r="AN155" s="1077"/>
      <c r="AO155" s="1077"/>
      <c r="AP155" s="1077"/>
      <c r="AQ155" s="1077"/>
      <c r="AR155" s="1077"/>
      <c r="AS155" s="1077"/>
      <c r="AT155" s="1077"/>
      <c r="BS155" s="73"/>
      <c r="BU155" s="1066"/>
      <c r="BV155" s="1066"/>
      <c r="BW155" s="1066"/>
      <c r="BY155" s="1073"/>
      <c r="BZ155" s="1074"/>
      <c r="CA155" s="1074"/>
      <c r="CB155" s="1074"/>
      <c r="CC155" s="1074"/>
      <c r="CD155" s="1074"/>
      <c r="CE155" s="1074"/>
      <c r="CF155" s="1074"/>
      <c r="CG155" s="1074"/>
      <c r="CH155" s="1074"/>
      <c r="CI155" s="1075"/>
      <c r="CK155" s="1066"/>
      <c r="CL155" s="1066"/>
      <c r="CM155" s="1066"/>
      <c r="CO155" s="1064"/>
      <c r="CP155" s="1064"/>
      <c r="CQ155" s="1064"/>
      <c r="CX155" s="1077"/>
      <c r="CY155" s="1077"/>
      <c r="CZ155" s="1077"/>
      <c r="DA155" s="1077"/>
      <c r="DB155" s="1077"/>
      <c r="DC155" s="1077"/>
      <c r="DD155" s="1077"/>
      <c r="DE155" s="1077"/>
      <c r="DF155" s="1077"/>
      <c r="DG155" s="1077"/>
      <c r="DH155" s="1077"/>
      <c r="DI155" s="1077"/>
      <c r="DJ155" s="1077"/>
      <c r="DK155" s="1077"/>
      <c r="DL155" s="1077"/>
      <c r="DM155" s="1077"/>
      <c r="DN155" s="1077"/>
      <c r="DO155" s="1077"/>
      <c r="DY155" s="1051"/>
      <c r="DZ155" s="1052"/>
      <c r="EA155" s="1052"/>
      <c r="EB155" s="1052"/>
      <c r="EC155" s="1045"/>
      <c r="ED155" s="1046"/>
    </row>
    <row r="156" spans="1:142" ht="3.75" customHeight="1" x14ac:dyDescent="0.25">
      <c r="A156" s="1064"/>
      <c r="B156" s="1064"/>
      <c r="C156" s="1064"/>
      <c r="E156" s="1064"/>
      <c r="F156" s="1064"/>
      <c r="G156" s="1064"/>
      <c r="I156" s="1066"/>
      <c r="J156" s="1066"/>
      <c r="K156" s="1066"/>
      <c r="M156" s="1066"/>
      <c r="N156" s="1066"/>
      <c r="O156" s="1066"/>
      <c r="Q156" s="1066"/>
      <c r="R156" s="1066"/>
      <c r="S156" s="1066"/>
      <c r="BS156" s="73"/>
      <c r="BU156" s="1066"/>
      <c r="BV156" s="1066"/>
      <c r="BW156" s="1066"/>
      <c r="CK156" s="1066"/>
      <c r="CL156" s="1066"/>
      <c r="CM156" s="1066"/>
      <c r="CO156" s="1064"/>
      <c r="CP156" s="1064"/>
      <c r="CQ156" s="1064"/>
      <c r="DQ156" s="1071" t="s">
        <v>604</v>
      </c>
      <c r="DR156" s="1071"/>
      <c r="DS156" s="1071"/>
      <c r="DT156" s="1071"/>
      <c r="DU156" s="1071"/>
      <c r="DV156" s="1071"/>
      <c r="DW156" s="1071"/>
      <c r="DX156" s="1071"/>
      <c r="DY156" s="72"/>
      <c r="EC156" s="1045"/>
      <c r="ED156" s="1046"/>
      <c r="EE156" s="1071" t="s">
        <v>599</v>
      </c>
      <c r="EF156" s="1071"/>
      <c r="EG156" s="1071"/>
      <c r="EH156" s="1071"/>
      <c r="EI156" s="1071"/>
      <c r="EJ156" s="1071"/>
      <c r="EK156" s="1071"/>
      <c r="EL156" s="1071"/>
    </row>
    <row r="157" spans="1:142" ht="3.75" customHeight="1" x14ac:dyDescent="0.25">
      <c r="A157" s="1064"/>
      <c r="B157" s="1064"/>
      <c r="C157" s="1064"/>
      <c r="E157" s="1064"/>
      <c r="F157" s="1064"/>
      <c r="G157" s="1064"/>
      <c r="I157" s="1066"/>
      <c r="J157" s="1066"/>
      <c r="K157" s="1066"/>
      <c r="M157" s="1066"/>
      <c r="N157" s="1066"/>
      <c r="O157" s="1066"/>
      <c r="Q157" s="1066"/>
      <c r="R157" s="1066"/>
      <c r="S157" s="1066"/>
      <c r="U157" s="1097"/>
      <c r="V157" s="1097"/>
      <c r="W157" s="1097"/>
      <c r="X157" s="1097"/>
      <c r="Z157" s="1099" t="s">
        <v>603</v>
      </c>
      <c r="AA157" s="1099"/>
      <c r="AB157" s="1099"/>
      <c r="AC157" s="1099"/>
      <c r="AD157" s="1099"/>
      <c r="AE157" s="1099"/>
      <c r="AF157" s="1099"/>
      <c r="AG157" s="1099"/>
      <c r="AH157" s="1099"/>
      <c r="AI157" s="1099"/>
      <c r="AJ157" s="1099"/>
      <c r="AK157" s="1099"/>
      <c r="AL157" s="1099"/>
      <c r="AM157" s="1099"/>
      <c r="AN157" s="1099"/>
      <c r="AO157" s="1099"/>
      <c r="AP157" s="1099"/>
      <c r="AQ157" s="1099"/>
      <c r="AR157" s="1099"/>
      <c r="AS157" s="1099"/>
      <c r="AT157" s="1099"/>
      <c r="AW157" s="1097"/>
      <c r="AX157" s="1097"/>
      <c r="AY157" s="1097"/>
      <c r="AZ157" s="1097"/>
      <c r="BB157" s="1071" t="s">
        <v>602</v>
      </c>
      <c r="BC157" s="1071"/>
      <c r="BD157" s="1071"/>
      <c r="BE157" s="1071"/>
      <c r="BF157" s="1071"/>
      <c r="BG157" s="1071"/>
      <c r="BH157" s="1071"/>
      <c r="BI157" s="1071"/>
      <c r="BJ157" s="1071"/>
      <c r="BK157" s="1071"/>
      <c r="BL157" s="1071"/>
      <c r="BM157" s="363"/>
      <c r="BN157" s="363"/>
      <c r="BO157" s="363"/>
      <c r="BP157" s="363"/>
      <c r="BQ157" s="363"/>
      <c r="BS157" s="73"/>
      <c r="BU157" s="1066"/>
      <c r="BV157" s="1066"/>
      <c r="BW157" s="1066"/>
      <c r="CC157" s="1066" t="s">
        <v>599</v>
      </c>
      <c r="CD157" s="1066"/>
      <c r="CE157" s="1066"/>
      <c r="CG157" s="1066" t="s">
        <v>594</v>
      </c>
      <c r="CH157" s="1066"/>
      <c r="CI157" s="1066"/>
      <c r="CK157" s="1066"/>
      <c r="CL157" s="1066"/>
      <c r="CM157" s="1066"/>
      <c r="CO157" s="1064"/>
      <c r="CP157" s="1064"/>
      <c r="CQ157" s="1064"/>
      <c r="DQ157" s="1071"/>
      <c r="DR157" s="1071"/>
      <c r="DS157" s="1071"/>
      <c r="DT157" s="1071"/>
      <c r="DU157" s="1071"/>
      <c r="DV157" s="1071"/>
      <c r="DW157" s="1071"/>
      <c r="DX157" s="1071"/>
      <c r="DY157" s="72"/>
      <c r="EC157" s="1045"/>
      <c r="ED157" s="1046"/>
      <c r="EE157" s="1071"/>
      <c r="EF157" s="1071"/>
      <c r="EG157" s="1071"/>
      <c r="EH157" s="1071"/>
      <c r="EI157" s="1071"/>
      <c r="EJ157" s="1071"/>
      <c r="EK157" s="1071"/>
      <c r="EL157" s="1071"/>
    </row>
    <row r="158" spans="1:142" ht="3.75" customHeight="1" x14ac:dyDescent="0.25">
      <c r="A158" s="1064"/>
      <c r="B158" s="1064"/>
      <c r="C158" s="1064"/>
      <c r="E158" s="1064"/>
      <c r="F158" s="1064"/>
      <c r="G158" s="1064"/>
      <c r="I158" s="1066"/>
      <c r="J158" s="1066"/>
      <c r="K158" s="1066"/>
      <c r="M158" s="1066"/>
      <c r="N158" s="1066"/>
      <c r="O158" s="1066"/>
      <c r="Q158" s="1066"/>
      <c r="R158" s="1066"/>
      <c r="S158" s="1066"/>
      <c r="U158" s="1097"/>
      <c r="V158" s="1097"/>
      <c r="W158" s="1097"/>
      <c r="X158" s="1097"/>
      <c r="Z158" s="1099"/>
      <c r="AA158" s="1099"/>
      <c r="AB158" s="1099"/>
      <c r="AC158" s="1099"/>
      <c r="AD158" s="1099"/>
      <c r="AE158" s="1099"/>
      <c r="AF158" s="1099"/>
      <c r="AG158" s="1099"/>
      <c r="AH158" s="1099"/>
      <c r="AI158" s="1099"/>
      <c r="AJ158" s="1099"/>
      <c r="AK158" s="1099"/>
      <c r="AL158" s="1099"/>
      <c r="AM158" s="1099"/>
      <c r="AN158" s="1099"/>
      <c r="AO158" s="1099"/>
      <c r="AP158" s="1099"/>
      <c r="AQ158" s="1099"/>
      <c r="AR158" s="1099"/>
      <c r="AS158" s="1099"/>
      <c r="AT158" s="1099"/>
      <c r="AW158" s="1097"/>
      <c r="AX158" s="1097"/>
      <c r="AY158" s="1097"/>
      <c r="AZ158" s="1097"/>
      <c r="BB158" s="1071"/>
      <c r="BC158" s="1071"/>
      <c r="BD158" s="1071"/>
      <c r="BE158" s="1071"/>
      <c r="BF158" s="1071"/>
      <c r="BG158" s="1071"/>
      <c r="BH158" s="1071"/>
      <c r="BI158" s="1071"/>
      <c r="BJ158" s="1071"/>
      <c r="BK158" s="1071"/>
      <c r="BL158" s="1071"/>
      <c r="BM158" s="363"/>
      <c r="BN158" s="363"/>
      <c r="BO158" s="363"/>
      <c r="BP158" s="363"/>
      <c r="BQ158" s="363"/>
      <c r="BS158" s="73"/>
      <c r="BU158" s="1066"/>
      <c r="BV158" s="1066"/>
      <c r="BW158" s="1066"/>
      <c r="BY158" s="1066" t="s">
        <v>605</v>
      </c>
      <c r="BZ158" s="1066"/>
      <c r="CA158" s="1066"/>
      <c r="CC158" s="1066"/>
      <c r="CD158" s="1066"/>
      <c r="CE158" s="1066"/>
      <c r="CG158" s="1066"/>
      <c r="CH158" s="1066"/>
      <c r="CI158" s="1066"/>
      <c r="CK158" s="1066"/>
      <c r="CL158" s="1066"/>
      <c r="CM158" s="1066"/>
      <c r="CO158" s="1064"/>
      <c r="CP158" s="1064"/>
      <c r="CQ158" s="1064"/>
      <c r="DY158" s="72"/>
      <c r="EC158" s="1045"/>
      <c r="ED158" s="1046"/>
    </row>
    <row r="159" spans="1:142" ht="3.75" customHeight="1" x14ac:dyDescent="0.25">
      <c r="A159" s="1064"/>
      <c r="B159" s="1064"/>
      <c r="C159" s="1064"/>
      <c r="E159" s="1064"/>
      <c r="F159" s="1064"/>
      <c r="G159" s="1064"/>
      <c r="I159" s="1066"/>
      <c r="J159" s="1066"/>
      <c r="K159" s="1066"/>
      <c r="M159" s="1066"/>
      <c r="N159" s="1066"/>
      <c r="O159" s="1066"/>
      <c r="Q159" s="1066"/>
      <c r="R159" s="1066"/>
      <c r="S159" s="1066"/>
      <c r="U159" s="1097"/>
      <c r="V159" s="1097"/>
      <c r="W159" s="1097"/>
      <c r="X159" s="1097"/>
      <c r="Z159" s="1099"/>
      <c r="AA159" s="1099"/>
      <c r="AB159" s="1099"/>
      <c r="AC159" s="1099"/>
      <c r="AD159" s="1099"/>
      <c r="AE159" s="1099"/>
      <c r="AF159" s="1099"/>
      <c r="AG159" s="1099"/>
      <c r="AH159" s="1099"/>
      <c r="AI159" s="1099"/>
      <c r="AJ159" s="1099"/>
      <c r="AK159" s="1099"/>
      <c r="AL159" s="1099"/>
      <c r="AM159" s="1099"/>
      <c r="AN159" s="1099"/>
      <c r="AO159" s="1099"/>
      <c r="AP159" s="1099"/>
      <c r="AQ159" s="1099"/>
      <c r="AR159" s="1099"/>
      <c r="AS159" s="1099"/>
      <c r="AT159" s="1099"/>
      <c r="AW159" s="1097"/>
      <c r="AX159" s="1097"/>
      <c r="AY159" s="1097"/>
      <c r="AZ159" s="1097"/>
      <c r="BB159" s="1098" t="s">
        <v>598</v>
      </c>
      <c r="BC159" s="1098"/>
      <c r="BD159" s="1098"/>
      <c r="BE159" s="1098"/>
      <c r="BF159" s="1098"/>
      <c r="BG159" s="1098"/>
      <c r="BH159" s="1098"/>
      <c r="BI159" s="1098"/>
      <c r="BJ159" s="1098"/>
      <c r="BK159" s="1098"/>
      <c r="BL159" s="1098"/>
      <c r="BM159" s="1098"/>
      <c r="BN159" s="1098"/>
      <c r="BO159" s="1098"/>
      <c r="BP159" s="363"/>
      <c r="BQ159" s="363"/>
      <c r="BS159" s="73"/>
      <c r="BU159" s="1066"/>
      <c r="BV159" s="1066"/>
      <c r="BW159" s="1066"/>
      <c r="BY159" s="1066"/>
      <c r="BZ159" s="1066"/>
      <c r="CA159" s="1066"/>
      <c r="CC159" s="1066"/>
      <c r="CD159" s="1066"/>
      <c r="CE159" s="1066"/>
      <c r="CG159" s="1066"/>
      <c r="CH159" s="1066"/>
      <c r="CI159" s="1066"/>
      <c r="CK159" s="1066"/>
      <c r="CL159" s="1066"/>
      <c r="CM159" s="1066"/>
      <c r="CO159" s="1064"/>
      <c r="CP159" s="1064"/>
      <c r="CQ159" s="1064"/>
      <c r="DY159" s="393"/>
      <c r="DZ159" s="364"/>
      <c r="EA159" s="364"/>
      <c r="EB159" s="364"/>
      <c r="EC159" s="1047"/>
      <c r="ED159" s="1048"/>
    </row>
    <row r="160" spans="1:142" ht="3.75" customHeight="1" x14ac:dyDescent="0.25">
      <c r="A160" s="1064"/>
      <c r="B160" s="1064"/>
      <c r="C160" s="1064"/>
      <c r="E160" s="1064"/>
      <c r="F160" s="1064"/>
      <c r="G160" s="1064"/>
      <c r="I160" s="1066"/>
      <c r="J160" s="1066"/>
      <c r="K160" s="1066"/>
      <c r="M160" s="1066"/>
      <c r="N160" s="1066"/>
      <c r="O160" s="1066"/>
      <c r="Q160" s="1066"/>
      <c r="R160" s="1066"/>
      <c r="S160" s="1066"/>
      <c r="U160" s="1097"/>
      <c r="V160" s="1097"/>
      <c r="W160" s="1097"/>
      <c r="X160" s="1097"/>
      <c r="Z160" s="1099"/>
      <c r="AA160" s="1099"/>
      <c r="AB160" s="1099"/>
      <c r="AC160" s="1099"/>
      <c r="AD160" s="1099"/>
      <c r="AE160" s="1099"/>
      <c r="AF160" s="1099"/>
      <c r="AG160" s="1099"/>
      <c r="AH160" s="1099"/>
      <c r="AI160" s="1099"/>
      <c r="AJ160" s="1099"/>
      <c r="AK160" s="1099"/>
      <c r="AL160" s="1099"/>
      <c r="AM160" s="1099"/>
      <c r="AN160" s="1099"/>
      <c r="AO160" s="1099"/>
      <c r="AP160" s="1099"/>
      <c r="AQ160" s="1099"/>
      <c r="AR160" s="1099"/>
      <c r="AS160" s="1099"/>
      <c r="AT160" s="1099"/>
      <c r="AW160" s="1097"/>
      <c r="AX160" s="1097"/>
      <c r="AY160" s="1097"/>
      <c r="AZ160" s="1097"/>
      <c r="BB160" s="1098"/>
      <c r="BC160" s="1098"/>
      <c r="BD160" s="1098"/>
      <c r="BE160" s="1098"/>
      <c r="BF160" s="1098"/>
      <c r="BG160" s="1098"/>
      <c r="BH160" s="1098"/>
      <c r="BI160" s="1098"/>
      <c r="BJ160" s="1098"/>
      <c r="BK160" s="1098"/>
      <c r="BL160" s="1098"/>
      <c r="BM160" s="1098"/>
      <c r="BN160" s="1098"/>
      <c r="BO160" s="1098"/>
      <c r="BP160" s="363"/>
      <c r="BQ160" s="363"/>
      <c r="BS160" s="73"/>
      <c r="BU160" s="1066"/>
      <c r="BV160" s="1066"/>
      <c r="BW160" s="1066"/>
      <c r="BY160" s="1066"/>
      <c r="BZ160" s="1066"/>
      <c r="CA160" s="1066"/>
      <c r="CC160" s="1066"/>
      <c r="CD160" s="1066"/>
      <c r="CE160" s="1066"/>
      <c r="CG160" s="1066"/>
      <c r="CH160" s="1066"/>
      <c r="CI160" s="1066"/>
      <c r="CK160" s="1066"/>
      <c r="CL160" s="1066"/>
      <c r="CM160" s="1066"/>
      <c r="CO160" s="1064"/>
      <c r="CP160" s="1064"/>
      <c r="CQ160" s="1064"/>
      <c r="DV160" s="1071" t="s">
        <v>594</v>
      </c>
      <c r="DW160" s="1071"/>
      <c r="DX160" s="1071"/>
      <c r="DY160" s="1071"/>
      <c r="DZ160" s="1071"/>
      <c r="EA160" s="1071"/>
      <c r="EB160" s="1071"/>
      <c r="EC160" s="1071"/>
      <c r="ED160" s="1071"/>
    </row>
    <row r="161" spans="1:142" ht="3.75" customHeight="1" x14ac:dyDescent="0.25">
      <c r="A161" s="1064"/>
      <c r="B161" s="1064"/>
      <c r="C161" s="1064"/>
      <c r="E161" s="1064"/>
      <c r="F161" s="1064"/>
      <c r="G161" s="1064"/>
      <c r="I161" s="1066"/>
      <c r="J161" s="1066"/>
      <c r="K161" s="1066"/>
      <c r="M161" s="1066"/>
      <c r="N161" s="1066"/>
      <c r="O161" s="1066"/>
      <c r="Q161" s="1066"/>
      <c r="R161" s="1066"/>
      <c r="S161" s="1066"/>
      <c r="BS161" s="73"/>
      <c r="BU161" s="1066"/>
      <c r="BV161" s="1066"/>
      <c r="BW161" s="1066"/>
      <c r="BY161" s="1066"/>
      <c r="BZ161" s="1066"/>
      <c r="CA161" s="1066"/>
      <c r="CC161" s="1066"/>
      <c r="CD161" s="1066"/>
      <c r="CE161" s="1066"/>
      <c r="CG161" s="1066"/>
      <c r="CH161" s="1066"/>
      <c r="CI161" s="1066"/>
      <c r="CK161" s="1066"/>
      <c r="CL161" s="1066"/>
      <c r="CM161" s="1066"/>
      <c r="CO161" s="1064"/>
      <c r="CP161" s="1064"/>
      <c r="CQ161" s="1064"/>
      <c r="DV161" s="1071"/>
      <c r="DW161" s="1071"/>
      <c r="DX161" s="1071"/>
      <c r="DY161" s="1071"/>
      <c r="DZ161" s="1071"/>
      <c r="EA161" s="1071"/>
      <c r="EB161" s="1071"/>
      <c r="EC161" s="1071"/>
      <c r="ED161" s="1071"/>
    </row>
    <row r="162" spans="1:142" ht="3.75" customHeight="1" x14ac:dyDescent="0.25">
      <c r="A162" s="1064"/>
      <c r="B162" s="1064"/>
      <c r="C162" s="1064"/>
      <c r="E162" s="1064"/>
      <c r="F162" s="1064"/>
      <c r="G162" s="1064"/>
      <c r="I162" s="1066"/>
      <c r="J162" s="1066"/>
      <c r="K162" s="1066"/>
      <c r="M162" s="1066"/>
      <c r="N162" s="1066"/>
      <c r="O162" s="1066"/>
      <c r="Q162" s="1066"/>
      <c r="R162" s="1066"/>
      <c r="S162" s="1066"/>
      <c r="U162" s="1076" t="s">
        <v>134</v>
      </c>
      <c r="V162" s="1076"/>
      <c r="W162" s="1076"/>
      <c r="X162" s="1076"/>
      <c r="Y162" s="1076"/>
      <c r="Z162" s="362"/>
      <c r="AA162" s="1076" t="s">
        <v>141</v>
      </c>
      <c r="AB162" s="1076"/>
      <c r="AC162" s="1076"/>
      <c r="AD162" s="1076"/>
      <c r="AE162" s="1076"/>
      <c r="AF162" s="1076"/>
      <c r="AG162" s="1076"/>
      <c r="AH162" s="1076"/>
      <c r="AI162" s="1076"/>
      <c r="AJ162" s="1076"/>
      <c r="AK162" s="1076"/>
      <c r="AL162" s="1076"/>
      <c r="AM162" s="1076"/>
      <c r="AN162" s="1076"/>
      <c r="AO162" s="1076"/>
      <c r="AP162" s="362"/>
      <c r="AQ162" s="1076" t="s">
        <v>142</v>
      </c>
      <c r="AR162" s="1076"/>
      <c r="AS162" s="1076"/>
      <c r="AT162" s="1076"/>
      <c r="AU162" s="1076"/>
      <c r="AV162" s="1076"/>
      <c r="AW162" s="1076"/>
      <c r="AX162" s="1076"/>
      <c r="AY162" s="1076"/>
      <c r="AZ162" s="1076"/>
      <c r="BA162" s="1076"/>
      <c r="BB162" s="1076"/>
      <c r="BC162" s="1076"/>
      <c r="BD162" s="1076"/>
      <c r="BE162" s="1076"/>
      <c r="BM162" s="1100" t="s">
        <v>593</v>
      </c>
      <c r="BN162" s="1100"/>
      <c r="BO162" s="1100"/>
      <c r="BP162" s="1100"/>
      <c r="BQ162" s="1100"/>
      <c r="BR162" s="1100"/>
      <c r="BS162" s="73"/>
      <c r="BU162" s="1066"/>
      <c r="BV162" s="1066"/>
      <c r="BW162" s="1066"/>
      <c r="BY162" s="1066"/>
      <c r="BZ162" s="1066"/>
      <c r="CA162" s="1066"/>
      <c r="CC162" s="1066"/>
      <c r="CD162" s="1066"/>
      <c r="CE162" s="1066"/>
      <c r="CG162" s="1066"/>
      <c r="CH162" s="1066"/>
      <c r="CI162" s="1066"/>
      <c r="CK162" s="1066"/>
      <c r="CL162" s="1066"/>
      <c r="CM162" s="1066"/>
      <c r="CO162" s="1064"/>
      <c r="CP162" s="1064"/>
      <c r="CQ162" s="1064"/>
      <c r="CS162" s="1076" t="s">
        <v>134</v>
      </c>
      <c r="CT162" s="1076"/>
      <c r="CU162" s="1076"/>
      <c r="CV162" s="1076"/>
      <c r="CW162" s="1076"/>
      <c r="CX162" s="1076"/>
      <c r="CZ162" s="1076" t="s">
        <v>141</v>
      </c>
      <c r="DA162" s="1076"/>
      <c r="DB162" s="1076"/>
      <c r="DC162" s="1076"/>
      <c r="DD162" s="1076"/>
      <c r="DE162" s="1076"/>
      <c r="DF162" s="1076"/>
      <c r="DG162" s="1076"/>
      <c r="DH162" s="1076"/>
      <c r="DI162" s="1076"/>
      <c r="DJ162" s="1076"/>
      <c r="DK162" s="1076"/>
      <c r="DL162" s="1076"/>
      <c r="DM162" s="1076"/>
      <c r="DN162" s="1076"/>
      <c r="DO162" s="1076"/>
      <c r="DP162" s="1076"/>
      <c r="DQ162" s="1076"/>
      <c r="DR162" s="1076"/>
      <c r="DT162" s="1076" t="s">
        <v>142</v>
      </c>
      <c r="DU162" s="1076"/>
      <c r="DV162" s="1076"/>
      <c r="DW162" s="1076"/>
      <c r="DX162" s="1076"/>
      <c r="DY162" s="1076"/>
      <c r="DZ162" s="1076"/>
      <c r="EA162" s="1076"/>
      <c r="EB162" s="1076"/>
      <c r="EC162" s="1076"/>
      <c r="ED162" s="1076"/>
      <c r="EE162" s="1076"/>
      <c r="EF162" s="1076"/>
      <c r="EG162" s="1076"/>
      <c r="EH162" s="1076"/>
      <c r="EI162" s="1076"/>
      <c r="EJ162" s="1076"/>
      <c r="EK162" s="1076"/>
      <c r="EL162" s="1076"/>
    </row>
    <row r="163" spans="1:142" ht="3.75" customHeight="1" x14ac:dyDescent="0.25">
      <c r="A163" s="1064"/>
      <c r="B163" s="1064"/>
      <c r="C163" s="1064"/>
      <c r="E163" s="1064"/>
      <c r="F163" s="1064"/>
      <c r="G163" s="1064"/>
      <c r="I163" s="1066"/>
      <c r="J163" s="1066"/>
      <c r="K163" s="1066"/>
      <c r="M163" s="1066"/>
      <c r="N163" s="1066"/>
      <c r="O163" s="1066"/>
      <c r="Q163" s="1066"/>
      <c r="R163" s="1066"/>
      <c r="S163" s="1066"/>
      <c r="U163" s="1076"/>
      <c r="V163" s="1076"/>
      <c r="W163" s="1076"/>
      <c r="X163" s="1076"/>
      <c r="Y163" s="1076"/>
      <c r="Z163" s="362"/>
      <c r="AA163" s="1076"/>
      <c r="AB163" s="1076"/>
      <c r="AC163" s="1076"/>
      <c r="AD163" s="1076"/>
      <c r="AE163" s="1076"/>
      <c r="AF163" s="1076"/>
      <c r="AG163" s="1076"/>
      <c r="AH163" s="1076"/>
      <c r="AI163" s="1076"/>
      <c r="AJ163" s="1076"/>
      <c r="AK163" s="1076"/>
      <c r="AL163" s="1076"/>
      <c r="AM163" s="1076"/>
      <c r="AN163" s="1076"/>
      <c r="AO163" s="1076"/>
      <c r="AP163" s="362"/>
      <c r="AQ163" s="1076"/>
      <c r="AR163" s="1076"/>
      <c r="AS163" s="1076"/>
      <c r="AT163" s="1076"/>
      <c r="AU163" s="1076"/>
      <c r="AV163" s="1076"/>
      <c r="AW163" s="1076"/>
      <c r="AX163" s="1076"/>
      <c r="AY163" s="1076"/>
      <c r="AZ163" s="1076"/>
      <c r="BA163" s="1076"/>
      <c r="BB163" s="1076"/>
      <c r="BC163" s="1076"/>
      <c r="BD163" s="1076"/>
      <c r="BE163" s="1076"/>
      <c r="BM163" s="1100"/>
      <c r="BN163" s="1100"/>
      <c r="BO163" s="1100"/>
      <c r="BP163" s="1100"/>
      <c r="BQ163" s="1100"/>
      <c r="BR163" s="1100"/>
      <c r="BS163" s="73"/>
      <c r="BU163" s="1066"/>
      <c r="BV163" s="1066"/>
      <c r="BW163" s="1066"/>
      <c r="BY163" s="1066"/>
      <c r="BZ163" s="1066"/>
      <c r="CA163" s="1066"/>
      <c r="CC163" s="1066"/>
      <c r="CD163" s="1066"/>
      <c r="CE163" s="1066"/>
      <c r="CG163" s="1066"/>
      <c r="CH163" s="1066"/>
      <c r="CI163" s="1066"/>
      <c r="CK163" s="1066"/>
      <c r="CL163" s="1066"/>
      <c r="CM163" s="1066"/>
      <c r="CO163" s="1064"/>
      <c r="CP163" s="1064"/>
      <c r="CQ163" s="1064"/>
      <c r="CS163" s="1076"/>
      <c r="CT163" s="1076"/>
      <c r="CU163" s="1076"/>
      <c r="CV163" s="1076"/>
      <c r="CW163" s="1076"/>
      <c r="CX163" s="1076"/>
      <c r="CZ163" s="1076"/>
      <c r="DA163" s="1076"/>
      <c r="DB163" s="1076"/>
      <c r="DC163" s="1076"/>
      <c r="DD163" s="1076"/>
      <c r="DE163" s="1076"/>
      <c r="DF163" s="1076"/>
      <c r="DG163" s="1076"/>
      <c r="DH163" s="1076"/>
      <c r="DI163" s="1076"/>
      <c r="DJ163" s="1076"/>
      <c r="DK163" s="1076"/>
      <c r="DL163" s="1076"/>
      <c r="DM163" s="1076"/>
      <c r="DN163" s="1076"/>
      <c r="DO163" s="1076"/>
      <c r="DP163" s="1076"/>
      <c r="DQ163" s="1076"/>
      <c r="DR163" s="1076"/>
      <c r="DT163" s="1076"/>
      <c r="DU163" s="1076"/>
      <c r="DV163" s="1076"/>
      <c r="DW163" s="1076"/>
      <c r="DX163" s="1076"/>
      <c r="DY163" s="1076"/>
      <c r="DZ163" s="1076"/>
      <c r="EA163" s="1076"/>
      <c r="EB163" s="1076"/>
      <c r="EC163" s="1076"/>
      <c r="ED163" s="1076"/>
      <c r="EE163" s="1076"/>
      <c r="EF163" s="1076"/>
      <c r="EG163" s="1076"/>
      <c r="EH163" s="1076"/>
      <c r="EI163" s="1076"/>
      <c r="EJ163" s="1076"/>
      <c r="EK163" s="1076"/>
      <c r="EL163" s="1076"/>
    </row>
    <row r="164" spans="1:142" ht="3.75" customHeight="1" x14ac:dyDescent="0.25">
      <c r="A164" s="1064"/>
      <c r="B164" s="1064"/>
      <c r="C164" s="1064"/>
      <c r="E164" s="1064"/>
      <c r="F164" s="1064"/>
      <c r="G164" s="1064"/>
      <c r="I164" s="1066"/>
      <c r="J164" s="1066"/>
      <c r="K164" s="1066"/>
      <c r="M164" s="1066"/>
      <c r="N164" s="1066"/>
      <c r="O164" s="1066"/>
      <c r="Q164" s="1066"/>
      <c r="R164" s="1066"/>
      <c r="S164" s="1066"/>
      <c r="U164" s="1076"/>
      <c r="V164" s="1076"/>
      <c r="W164" s="1076"/>
      <c r="X164" s="1076"/>
      <c r="Y164" s="1076"/>
      <c r="Z164" s="362"/>
      <c r="AA164" s="1076"/>
      <c r="AB164" s="1076"/>
      <c r="AC164" s="1076"/>
      <c r="AD164" s="1076"/>
      <c r="AE164" s="1076"/>
      <c r="AF164" s="1076"/>
      <c r="AG164" s="1076"/>
      <c r="AH164" s="1076"/>
      <c r="AI164" s="1076"/>
      <c r="AJ164" s="1076"/>
      <c r="AK164" s="1076"/>
      <c r="AL164" s="1076"/>
      <c r="AM164" s="1076"/>
      <c r="AN164" s="1076"/>
      <c r="AO164" s="1076"/>
      <c r="AP164" s="362"/>
      <c r="AQ164" s="1076"/>
      <c r="AR164" s="1076"/>
      <c r="AS164" s="1076"/>
      <c r="AT164" s="1076"/>
      <c r="AU164" s="1076"/>
      <c r="AV164" s="1076"/>
      <c r="AW164" s="1076"/>
      <c r="AX164" s="1076"/>
      <c r="AY164" s="1076"/>
      <c r="AZ164" s="1076"/>
      <c r="BA164" s="1076"/>
      <c r="BB164" s="1076"/>
      <c r="BC164" s="1076"/>
      <c r="BD164" s="1076"/>
      <c r="BE164" s="1076"/>
      <c r="BG164" s="1100" t="s">
        <v>592</v>
      </c>
      <c r="BH164" s="1100"/>
      <c r="BI164" s="1100"/>
      <c r="BJ164" s="1100"/>
      <c r="BK164" s="1100"/>
      <c r="BL164" s="1100"/>
      <c r="BM164" s="1100" t="s">
        <v>591</v>
      </c>
      <c r="BN164" s="1100"/>
      <c r="BO164" s="1100"/>
      <c r="BP164" s="1100"/>
      <c r="BQ164" s="1100"/>
      <c r="BR164" s="1100"/>
      <c r="BS164" s="73"/>
      <c r="BU164" s="1066"/>
      <c r="BV164" s="1066"/>
      <c r="BW164" s="1066"/>
      <c r="BY164" s="1066"/>
      <c r="BZ164" s="1066"/>
      <c r="CA164" s="1066"/>
      <c r="CC164" s="1066"/>
      <c r="CD164" s="1066"/>
      <c r="CE164" s="1066"/>
      <c r="CG164" s="1066"/>
      <c r="CH164" s="1066"/>
      <c r="CI164" s="1066"/>
      <c r="CK164" s="1066"/>
      <c r="CL164" s="1066"/>
      <c r="CM164" s="1066"/>
      <c r="CO164" s="1064"/>
      <c r="CP164" s="1064"/>
      <c r="CQ164" s="1064"/>
      <c r="CS164" s="1076"/>
      <c r="CT164" s="1076"/>
      <c r="CU164" s="1076"/>
      <c r="CV164" s="1076"/>
      <c r="CW164" s="1076"/>
      <c r="CX164" s="1076"/>
      <c r="CZ164" s="1076"/>
      <c r="DA164" s="1076"/>
      <c r="DB164" s="1076"/>
      <c r="DC164" s="1076"/>
      <c r="DD164" s="1076"/>
      <c r="DE164" s="1076"/>
      <c r="DF164" s="1076"/>
      <c r="DG164" s="1076"/>
      <c r="DH164" s="1076"/>
      <c r="DI164" s="1076"/>
      <c r="DJ164" s="1076"/>
      <c r="DK164" s="1076"/>
      <c r="DL164" s="1076"/>
      <c r="DM164" s="1076"/>
      <c r="DN164" s="1076"/>
      <c r="DO164" s="1076"/>
      <c r="DP164" s="1076"/>
      <c r="DQ164" s="1076"/>
      <c r="DR164" s="1076"/>
      <c r="DT164" s="1076"/>
      <c r="DU164" s="1076"/>
      <c r="DV164" s="1076"/>
      <c r="DW164" s="1076"/>
      <c r="DX164" s="1076"/>
      <c r="DY164" s="1076"/>
      <c r="DZ164" s="1076"/>
      <c r="EA164" s="1076"/>
      <c r="EB164" s="1076"/>
      <c r="EC164" s="1076"/>
      <c r="ED164" s="1076"/>
      <c r="EE164" s="1076"/>
      <c r="EF164" s="1076"/>
      <c r="EG164" s="1076"/>
      <c r="EH164" s="1076"/>
      <c r="EI164" s="1076"/>
      <c r="EJ164" s="1076"/>
      <c r="EK164" s="1076"/>
      <c r="EL164" s="1076"/>
    </row>
    <row r="165" spans="1:142" ht="3.75" customHeight="1" x14ac:dyDescent="0.25">
      <c r="A165" s="1064"/>
      <c r="B165" s="1064"/>
      <c r="C165" s="1064"/>
      <c r="E165" s="1064"/>
      <c r="F165" s="1064"/>
      <c r="G165" s="1064"/>
      <c r="I165" s="1066"/>
      <c r="J165" s="1066"/>
      <c r="K165" s="1066"/>
      <c r="M165" s="1066"/>
      <c r="N165" s="1066"/>
      <c r="O165" s="1066"/>
      <c r="Q165" s="1066"/>
      <c r="R165" s="1066"/>
      <c r="S165" s="1066"/>
      <c r="BG165" s="1100"/>
      <c r="BH165" s="1100"/>
      <c r="BI165" s="1100"/>
      <c r="BJ165" s="1100"/>
      <c r="BK165" s="1100"/>
      <c r="BL165" s="1100"/>
      <c r="BM165" s="1101"/>
      <c r="BN165" s="1101"/>
      <c r="BO165" s="1101"/>
      <c r="BP165" s="1101"/>
      <c r="BQ165" s="1101"/>
      <c r="BR165" s="1101"/>
      <c r="BS165" s="73"/>
      <c r="BU165" s="1066"/>
      <c r="BV165" s="1066"/>
      <c r="BW165" s="1066"/>
      <c r="BY165" s="1066"/>
      <c r="BZ165" s="1066"/>
      <c r="CA165" s="1066"/>
      <c r="CC165" s="1066"/>
      <c r="CD165" s="1066"/>
      <c r="CE165" s="1066"/>
      <c r="CG165" s="1066"/>
      <c r="CH165" s="1066"/>
      <c r="CI165" s="1066"/>
      <c r="CK165" s="1066"/>
      <c r="CL165" s="1066"/>
      <c r="CM165" s="1066"/>
      <c r="CO165" s="1064"/>
      <c r="CP165" s="1064"/>
      <c r="CQ165" s="1064"/>
    </row>
    <row r="166" spans="1:142" ht="3.75" customHeight="1" x14ac:dyDescent="0.25">
      <c r="A166" s="436"/>
      <c r="B166" s="436"/>
      <c r="C166" s="436"/>
      <c r="E166" s="365"/>
      <c r="F166" s="365"/>
      <c r="G166" s="365"/>
      <c r="I166" s="365"/>
      <c r="J166" s="365"/>
      <c r="K166" s="365"/>
      <c r="M166" s="365"/>
      <c r="N166" s="365"/>
      <c r="O166" s="365"/>
      <c r="Q166" s="365"/>
      <c r="R166" s="365"/>
      <c r="S166" s="365"/>
      <c r="U166" s="1054"/>
      <c r="V166" s="1055"/>
      <c r="W166" s="1055"/>
      <c r="X166" s="1055"/>
      <c r="Y166" s="1056"/>
      <c r="AA166" s="1034"/>
      <c r="AB166" s="1096"/>
      <c r="AC166" s="1096"/>
      <c r="AD166" s="1096"/>
      <c r="AE166" s="1096"/>
      <c r="AF166" s="1096"/>
      <c r="AG166" s="1096"/>
      <c r="AH166" s="1096"/>
      <c r="AI166" s="1096"/>
      <c r="AJ166" s="1096"/>
      <c r="AK166" s="1096"/>
      <c r="AL166" s="1096"/>
      <c r="AM166" s="1096"/>
      <c r="AN166" s="1096"/>
      <c r="AO166" s="1036"/>
      <c r="AP166" s="444"/>
      <c r="AQ166" s="1034"/>
      <c r="AR166" s="1096"/>
      <c r="AS166" s="1096"/>
      <c r="AT166" s="1096"/>
      <c r="AU166" s="1096"/>
      <c r="AV166" s="1096"/>
      <c r="AW166" s="1096"/>
      <c r="AX166" s="1096"/>
      <c r="AY166" s="1096"/>
      <c r="AZ166" s="1096"/>
      <c r="BA166" s="1096"/>
      <c r="BB166" s="1096"/>
      <c r="BC166" s="1096"/>
      <c r="BD166" s="1096"/>
      <c r="BE166" s="1036"/>
      <c r="BG166" s="1078"/>
      <c r="BH166" s="1079"/>
      <c r="BI166" s="1079"/>
      <c r="BJ166" s="1079"/>
      <c r="BK166" s="1079"/>
      <c r="BL166" s="1080"/>
      <c r="BM166" s="1078" t="s">
        <v>590</v>
      </c>
      <c r="BN166" s="1079"/>
      <c r="BO166" s="1080"/>
      <c r="BP166" s="1078" t="s">
        <v>589</v>
      </c>
      <c r="BQ166" s="1079"/>
      <c r="BR166" s="1080"/>
      <c r="BS166" s="73"/>
      <c r="BV166" s="365"/>
      <c r="BW166" s="365"/>
      <c r="BX166" s="365"/>
      <c r="BZ166" s="436"/>
      <c r="CA166" s="436"/>
      <c r="CB166" s="436"/>
      <c r="CD166" s="436"/>
      <c r="CE166" s="436"/>
      <c r="CF166" s="436"/>
      <c r="CH166" s="436"/>
      <c r="CI166" s="436"/>
      <c r="CJ166" s="436"/>
      <c r="CL166" s="365"/>
      <c r="CM166" s="365"/>
      <c r="CN166" s="365"/>
      <c r="CP166" s="365"/>
      <c r="CQ166" s="365"/>
      <c r="CR166" s="365"/>
      <c r="CS166" s="1054"/>
      <c r="CT166" s="1055"/>
      <c r="CU166" s="1055"/>
      <c r="CV166" s="1055"/>
      <c r="CW166" s="1055"/>
      <c r="CX166" s="1056"/>
      <c r="CZ166" s="1034"/>
      <c r="DA166" s="1035"/>
      <c r="DB166" s="1035"/>
      <c r="DC166" s="1035"/>
      <c r="DD166" s="1035"/>
      <c r="DE166" s="1035"/>
      <c r="DF166" s="1035"/>
      <c r="DG166" s="1035"/>
      <c r="DH166" s="1035"/>
      <c r="DI166" s="1035"/>
      <c r="DJ166" s="1035"/>
      <c r="DK166" s="1035"/>
      <c r="DL166" s="1035"/>
      <c r="DM166" s="1035"/>
      <c r="DN166" s="1035"/>
      <c r="DO166" s="1035"/>
      <c r="DP166" s="1035"/>
      <c r="DQ166" s="1035"/>
      <c r="DR166" s="1036"/>
      <c r="DS166" s="444"/>
      <c r="DT166" s="1034"/>
      <c r="DU166" s="1035"/>
      <c r="DV166" s="1035"/>
      <c r="DW166" s="1035"/>
      <c r="DX166" s="1035"/>
      <c r="DY166" s="1035"/>
      <c r="DZ166" s="1035"/>
      <c r="EA166" s="1035"/>
      <c r="EB166" s="1035"/>
      <c r="EC166" s="1035"/>
      <c r="ED166" s="1035"/>
      <c r="EE166" s="1035"/>
      <c r="EF166" s="1035"/>
      <c r="EG166" s="1035"/>
      <c r="EH166" s="1035"/>
      <c r="EI166" s="1035"/>
      <c r="EJ166" s="1035"/>
      <c r="EK166" s="1035"/>
      <c r="EL166" s="1036"/>
    </row>
    <row r="167" spans="1:142" ht="3.75" customHeight="1" x14ac:dyDescent="0.25">
      <c r="A167" s="1053"/>
      <c r="B167" s="1053"/>
      <c r="C167" s="1053"/>
      <c r="E167" s="1053"/>
      <c r="F167" s="1053"/>
      <c r="G167" s="1053"/>
      <c r="I167" s="1053"/>
      <c r="J167" s="1053"/>
      <c r="K167" s="1053"/>
      <c r="M167" s="1053"/>
      <c r="N167" s="1053"/>
      <c r="O167" s="1053"/>
      <c r="Q167" s="1053"/>
      <c r="R167" s="1053"/>
      <c r="S167" s="1053"/>
      <c r="U167" s="1057"/>
      <c r="V167" s="1058"/>
      <c r="W167" s="1058"/>
      <c r="X167" s="1058"/>
      <c r="Y167" s="1059"/>
      <c r="AA167" s="1037"/>
      <c r="AB167" s="1038"/>
      <c r="AC167" s="1038"/>
      <c r="AD167" s="1038"/>
      <c r="AE167" s="1038"/>
      <c r="AF167" s="1038"/>
      <c r="AG167" s="1038"/>
      <c r="AH167" s="1038"/>
      <c r="AI167" s="1038"/>
      <c r="AJ167" s="1038"/>
      <c r="AK167" s="1038"/>
      <c r="AL167" s="1038"/>
      <c r="AM167" s="1038"/>
      <c r="AN167" s="1038"/>
      <c r="AO167" s="1039"/>
      <c r="AP167" s="444"/>
      <c r="AQ167" s="1037"/>
      <c r="AR167" s="1038"/>
      <c r="AS167" s="1038"/>
      <c r="AT167" s="1038"/>
      <c r="AU167" s="1038"/>
      <c r="AV167" s="1038"/>
      <c r="AW167" s="1038"/>
      <c r="AX167" s="1038"/>
      <c r="AY167" s="1038"/>
      <c r="AZ167" s="1038"/>
      <c r="BA167" s="1038"/>
      <c r="BB167" s="1038"/>
      <c r="BC167" s="1038"/>
      <c r="BD167" s="1038"/>
      <c r="BE167" s="1039"/>
      <c r="BG167" s="1081"/>
      <c r="BH167" s="631"/>
      <c r="BI167" s="631"/>
      <c r="BJ167" s="631"/>
      <c r="BK167" s="631"/>
      <c r="BL167" s="1082"/>
      <c r="BM167" s="1081"/>
      <c r="BN167" s="631"/>
      <c r="BO167" s="1082"/>
      <c r="BP167" s="1081"/>
      <c r="BQ167" s="631"/>
      <c r="BR167" s="1082"/>
      <c r="BS167" s="73"/>
      <c r="BU167" s="1053"/>
      <c r="BV167" s="1053"/>
      <c r="BW167" s="1053"/>
      <c r="BY167" s="1053"/>
      <c r="BZ167" s="1053"/>
      <c r="CA167" s="1053"/>
      <c r="CC167" s="1053"/>
      <c r="CD167" s="1053"/>
      <c r="CE167" s="1053"/>
      <c r="CG167" s="1053"/>
      <c r="CH167" s="1053"/>
      <c r="CI167" s="1053"/>
      <c r="CK167" s="1053"/>
      <c r="CL167" s="1053"/>
      <c r="CM167" s="1053"/>
      <c r="CO167" s="1053"/>
      <c r="CP167" s="1053"/>
      <c r="CQ167" s="1053"/>
      <c r="CS167" s="1057"/>
      <c r="CT167" s="1058"/>
      <c r="CU167" s="1058"/>
      <c r="CV167" s="1058"/>
      <c r="CW167" s="1058"/>
      <c r="CX167" s="1059"/>
      <c r="CZ167" s="1037"/>
      <c r="DA167" s="1038"/>
      <c r="DB167" s="1038"/>
      <c r="DC167" s="1038"/>
      <c r="DD167" s="1038"/>
      <c r="DE167" s="1038"/>
      <c r="DF167" s="1038"/>
      <c r="DG167" s="1038"/>
      <c r="DH167" s="1038"/>
      <c r="DI167" s="1038"/>
      <c r="DJ167" s="1038"/>
      <c r="DK167" s="1038"/>
      <c r="DL167" s="1038"/>
      <c r="DM167" s="1038"/>
      <c r="DN167" s="1038"/>
      <c r="DO167" s="1038"/>
      <c r="DP167" s="1038"/>
      <c r="DQ167" s="1038"/>
      <c r="DR167" s="1039"/>
      <c r="DS167" s="444"/>
      <c r="DT167" s="1037"/>
      <c r="DU167" s="1038"/>
      <c r="DV167" s="1038"/>
      <c r="DW167" s="1038"/>
      <c r="DX167" s="1038"/>
      <c r="DY167" s="1038"/>
      <c r="DZ167" s="1038"/>
      <c r="EA167" s="1038"/>
      <c r="EB167" s="1038"/>
      <c r="EC167" s="1038"/>
      <c r="ED167" s="1038"/>
      <c r="EE167" s="1038"/>
      <c r="EF167" s="1038"/>
      <c r="EG167" s="1038"/>
      <c r="EH167" s="1038"/>
      <c r="EI167" s="1038"/>
      <c r="EJ167" s="1038"/>
      <c r="EK167" s="1038"/>
      <c r="EL167" s="1039"/>
    </row>
    <row r="168" spans="1:142" ht="3.75" customHeight="1" x14ac:dyDescent="0.25">
      <c r="A168" s="1053"/>
      <c r="B168" s="1053"/>
      <c r="C168" s="1053"/>
      <c r="E168" s="1053"/>
      <c r="F168" s="1053"/>
      <c r="G168" s="1053"/>
      <c r="I168" s="1053"/>
      <c r="J168" s="1053"/>
      <c r="K168" s="1053"/>
      <c r="M168" s="1053"/>
      <c r="N168" s="1053"/>
      <c r="O168" s="1053"/>
      <c r="Q168" s="1053"/>
      <c r="R168" s="1053"/>
      <c r="S168" s="1053"/>
      <c r="U168" s="1057"/>
      <c r="V168" s="1058"/>
      <c r="W168" s="1058"/>
      <c r="X168" s="1058"/>
      <c r="Y168" s="1059"/>
      <c r="AA168" s="1037"/>
      <c r="AB168" s="1038"/>
      <c r="AC168" s="1038"/>
      <c r="AD168" s="1038"/>
      <c r="AE168" s="1038"/>
      <c r="AF168" s="1038"/>
      <c r="AG168" s="1038"/>
      <c r="AH168" s="1038"/>
      <c r="AI168" s="1038"/>
      <c r="AJ168" s="1038"/>
      <c r="AK168" s="1038"/>
      <c r="AL168" s="1038"/>
      <c r="AM168" s="1038"/>
      <c r="AN168" s="1038"/>
      <c r="AO168" s="1039"/>
      <c r="AP168" s="444"/>
      <c r="AQ168" s="1037"/>
      <c r="AR168" s="1038"/>
      <c r="AS168" s="1038"/>
      <c r="AT168" s="1038"/>
      <c r="AU168" s="1038"/>
      <c r="AV168" s="1038"/>
      <c r="AW168" s="1038"/>
      <c r="AX168" s="1038"/>
      <c r="AY168" s="1038"/>
      <c r="AZ168" s="1038"/>
      <c r="BA168" s="1038"/>
      <c r="BB168" s="1038"/>
      <c r="BC168" s="1038"/>
      <c r="BD168" s="1038"/>
      <c r="BE168" s="1039"/>
      <c r="BG168" s="1081"/>
      <c r="BH168" s="631"/>
      <c r="BI168" s="631"/>
      <c r="BJ168" s="631"/>
      <c r="BK168" s="631"/>
      <c r="BL168" s="1082"/>
      <c r="BM168" s="1081"/>
      <c r="BN168" s="631"/>
      <c r="BO168" s="1082"/>
      <c r="BP168" s="1081"/>
      <c r="BQ168" s="631"/>
      <c r="BR168" s="1082"/>
      <c r="BS168" s="73"/>
      <c r="BU168" s="1053"/>
      <c r="BV168" s="1053"/>
      <c r="BW168" s="1053"/>
      <c r="BY168" s="1053"/>
      <c r="BZ168" s="1053"/>
      <c r="CA168" s="1053"/>
      <c r="CC168" s="1053"/>
      <c r="CD168" s="1053"/>
      <c r="CE168" s="1053"/>
      <c r="CG168" s="1053"/>
      <c r="CH168" s="1053"/>
      <c r="CI168" s="1053"/>
      <c r="CK168" s="1053"/>
      <c r="CL168" s="1053"/>
      <c r="CM168" s="1053"/>
      <c r="CO168" s="1053"/>
      <c r="CP168" s="1053"/>
      <c r="CQ168" s="1053"/>
      <c r="CS168" s="1057"/>
      <c r="CT168" s="1058"/>
      <c r="CU168" s="1058"/>
      <c r="CV168" s="1058"/>
      <c r="CW168" s="1058"/>
      <c r="CX168" s="1059"/>
      <c r="CZ168" s="1037"/>
      <c r="DA168" s="1038"/>
      <c r="DB168" s="1038"/>
      <c r="DC168" s="1038"/>
      <c r="DD168" s="1038"/>
      <c r="DE168" s="1038"/>
      <c r="DF168" s="1038"/>
      <c r="DG168" s="1038"/>
      <c r="DH168" s="1038"/>
      <c r="DI168" s="1038"/>
      <c r="DJ168" s="1038"/>
      <c r="DK168" s="1038"/>
      <c r="DL168" s="1038"/>
      <c r="DM168" s="1038"/>
      <c r="DN168" s="1038"/>
      <c r="DO168" s="1038"/>
      <c r="DP168" s="1038"/>
      <c r="DQ168" s="1038"/>
      <c r="DR168" s="1039"/>
      <c r="DS168" s="444"/>
      <c r="DT168" s="1037"/>
      <c r="DU168" s="1038"/>
      <c r="DV168" s="1038"/>
      <c r="DW168" s="1038"/>
      <c r="DX168" s="1038"/>
      <c r="DY168" s="1038"/>
      <c r="DZ168" s="1038"/>
      <c r="EA168" s="1038"/>
      <c r="EB168" s="1038"/>
      <c r="EC168" s="1038"/>
      <c r="ED168" s="1038"/>
      <c r="EE168" s="1038"/>
      <c r="EF168" s="1038"/>
      <c r="EG168" s="1038"/>
      <c r="EH168" s="1038"/>
      <c r="EI168" s="1038"/>
      <c r="EJ168" s="1038"/>
      <c r="EK168" s="1038"/>
      <c r="EL168" s="1039"/>
    </row>
    <row r="169" spans="1:142" ht="3.75" customHeight="1" x14ac:dyDescent="0.25">
      <c r="A169" s="1053"/>
      <c r="B169" s="1053"/>
      <c r="C169" s="1053"/>
      <c r="E169" s="1053"/>
      <c r="F169" s="1053"/>
      <c r="G169" s="1053"/>
      <c r="I169" s="1053"/>
      <c r="J169" s="1053"/>
      <c r="K169" s="1053"/>
      <c r="M169" s="1053"/>
      <c r="N169" s="1053"/>
      <c r="O169" s="1053"/>
      <c r="Q169" s="1053"/>
      <c r="R169" s="1053"/>
      <c r="S169" s="1053"/>
      <c r="U169" s="1057"/>
      <c r="V169" s="1058"/>
      <c r="W169" s="1058"/>
      <c r="X169" s="1058"/>
      <c r="Y169" s="1059"/>
      <c r="AA169" s="1037"/>
      <c r="AB169" s="1038"/>
      <c r="AC169" s="1038"/>
      <c r="AD169" s="1038"/>
      <c r="AE169" s="1038"/>
      <c r="AF169" s="1038"/>
      <c r="AG169" s="1038"/>
      <c r="AH169" s="1038"/>
      <c r="AI169" s="1038"/>
      <c r="AJ169" s="1038"/>
      <c r="AK169" s="1038"/>
      <c r="AL169" s="1038"/>
      <c r="AM169" s="1038"/>
      <c r="AN169" s="1038"/>
      <c r="AO169" s="1039"/>
      <c r="AP169" s="444"/>
      <c r="AQ169" s="1037"/>
      <c r="AR169" s="1038"/>
      <c r="AS169" s="1038"/>
      <c r="AT169" s="1038"/>
      <c r="AU169" s="1038"/>
      <c r="AV169" s="1038"/>
      <c r="AW169" s="1038"/>
      <c r="AX169" s="1038"/>
      <c r="AY169" s="1038"/>
      <c r="AZ169" s="1038"/>
      <c r="BA169" s="1038"/>
      <c r="BB169" s="1038"/>
      <c r="BC169" s="1038"/>
      <c r="BD169" s="1038"/>
      <c r="BE169" s="1039"/>
      <c r="BG169" s="1081"/>
      <c r="BH169" s="631"/>
      <c r="BI169" s="631"/>
      <c r="BJ169" s="631"/>
      <c r="BK169" s="631"/>
      <c r="BL169" s="1082"/>
      <c r="BM169" s="1081"/>
      <c r="BN169" s="631"/>
      <c r="BO169" s="1082"/>
      <c r="BP169" s="1081"/>
      <c r="BQ169" s="631"/>
      <c r="BR169" s="1082"/>
      <c r="BS169" s="73"/>
      <c r="BU169" s="1053"/>
      <c r="BV169" s="1053"/>
      <c r="BW169" s="1053"/>
      <c r="BY169" s="1053"/>
      <c r="BZ169" s="1053"/>
      <c r="CA169" s="1053"/>
      <c r="CC169" s="1053"/>
      <c r="CD169" s="1053"/>
      <c r="CE169" s="1053"/>
      <c r="CG169" s="1053"/>
      <c r="CH169" s="1053"/>
      <c r="CI169" s="1053"/>
      <c r="CK169" s="1053"/>
      <c r="CL169" s="1053"/>
      <c r="CM169" s="1053"/>
      <c r="CO169" s="1053"/>
      <c r="CP169" s="1053"/>
      <c r="CQ169" s="1053"/>
      <c r="CS169" s="1057"/>
      <c r="CT169" s="1058"/>
      <c r="CU169" s="1058"/>
      <c r="CV169" s="1058"/>
      <c r="CW169" s="1058"/>
      <c r="CX169" s="1059"/>
      <c r="CZ169" s="1037"/>
      <c r="DA169" s="1038"/>
      <c r="DB169" s="1038"/>
      <c r="DC169" s="1038"/>
      <c r="DD169" s="1038"/>
      <c r="DE169" s="1038"/>
      <c r="DF169" s="1038"/>
      <c r="DG169" s="1038"/>
      <c r="DH169" s="1038"/>
      <c r="DI169" s="1038"/>
      <c r="DJ169" s="1038"/>
      <c r="DK169" s="1038"/>
      <c r="DL169" s="1038"/>
      <c r="DM169" s="1038"/>
      <c r="DN169" s="1038"/>
      <c r="DO169" s="1038"/>
      <c r="DP169" s="1038"/>
      <c r="DQ169" s="1038"/>
      <c r="DR169" s="1039"/>
      <c r="DS169" s="444"/>
      <c r="DT169" s="1037"/>
      <c r="DU169" s="1038"/>
      <c r="DV169" s="1038"/>
      <c r="DW169" s="1038"/>
      <c r="DX169" s="1038"/>
      <c r="DY169" s="1038"/>
      <c r="DZ169" s="1038"/>
      <c r="EA169" s="1038"/>
      <c r="EB169" s="1038"/>
      <c r="EC169" s="1038"/>
      <c r="ED169" s="1038"/>
      <c r="EE169" s="1038"/>
      <c r="EF169" s="1038"/>
      <c r="EG169" s="1038"/>
      <c r="EH169" s="1038"/>
      <c r="EI169" s="1038"/>
      <c r="EJ169" s="1038"/>
      <c r="EK169" s="1038"/>
      <c r="EL169" s="1039"/>
    </row>
    <row r="170" spans="1:142" ht="3.75" customHeight="1" x14ac:dyDescent="0.25">
      <c r="U170" s="1060"/>
      <c r="V170" s="1061"/>
      <c r="W170" s="1061"/>
      <c r="X170" s="1061"/>
      <c r="Y170" s="1062"/>
      <c r="AA170" s="1040"/>
      <c r="AB170" s="1041"/>
      <c r="AC170" s="1041"/>
      <c r="AD170" s="1041"/>
      <c r="AE170" s="1041"/>
      <c r="AF170" s="1041"/>
      <c r="AG170" s="1041"/>
      <c r="AH170" s="1041"/>
      <c r="AI170" s="1041"/>
      <c r="AJ170" s="1041"/>
      <c r="AK170" s="1041"/>
      <c r="AL170" s="1041"/>
      <c r="AM170" s="1041"/>
      <c r="AN170" s="1041"/>
      <c r="AO170" s="1042"/>
      <c r="AP170" s="444"/>
      <c r="AQ170" s="1040"/>
      <c r="AR170" s="1041"/>
      <c r="AS170" s="1041"/>
      <c r="AT170" s="1041"/>
      <c r="AU170" s="1041"/>
      <c r="AV170" s="1041"/>
      <c r="AW170" s="1041"/>
      <c r="AX170" s="1041"/>
      <c r="AY170" s="1041"/>
      <c r="AZ170" s="1041"/>
      <c r="BA170" s="1041"/>
      <c r="BB170" s="1041"/>
      <c r="BC170" s="1041"/>
      <c r="BD170" s="1041"/>
      <c r="BE170" s="1042"/>
      <c r="BG170" s="1083"/>
      <c r="BH170" s="1084"/>
      <c r="BI170" s="1084"/>
      <c r="BJ170" s="1084"/>
      <c r="BK170" s="1084"/>
      <c r="BL170" s="1085"/>
      <c r="BM170" s="1083"/>
      <c r="BN170" s="1084"/>
      <c r="BO170" s="1085"/>
      <c r="BP170" s="1083"/>
      <c r="BQ170" s="1084"/>
      <c r="BR170" s="1085"/>
      <c r="BS170" s="73"/>
      <c r="BY170" s="436"/>
      <c r="BZ170" s="436"/>
      <c r="CA170" s="436"/>
      <c r="CC170" s="436"/>
      <c r="CD170" s="436"/>
      <c r="CE170" s="436"/>
      <c r="CG170" s="436"/>
      <c r="CH170" s="436"/>
      <c r="CI170" s="436"/>
      <c r="CS170" s="1060"/>
      <c r="CT170" s="1061"/>
      <c r="CU170" s="1061"/>
      <c r="CV170" s="1061"/>
      <c r="CW170" s="1061"/>
      <c r="CX170" s="1062"/>
      <c r="CZ170" s="1040"/>
      <c r="DA170" s="1041"/>
      <c r="DB170" s="1041"/>
      <c r="DC170" s="1041"/>
      <c r="DD170" s="1041"/>
      <c r="DE170" s="1041"/>
      <c r="DF170" s="1041"/>
      <c r="DG170" s="1041"/>
      <c r="DH170" s="1041"/>
      <c r="DI170" s="1041"/>
      <c r="DJ170" s="1041"/>
      <c r="DK170" s="1041"/>
      <c r="DL170" s="1041"/>
      <c r="DM170" s="1041"/>
      <c r="DN170" s="1041"/>
      <c r="DO170" s="1041"/>
      <c r="DP170" s="1041"/>
      <c r="DQ170" s="1041"/>
      <c r="DR170" s="1042"/>
      <c r="DS170" s="444"/>
      <c r="DT170" s="1040"/>
      <c r="DU170" s="1041"/>
      <c r="DV170" s="1041"/>
      <c r="DW170" s="1041"/>
      <c r="DX170" s="1041"/>
      <c r="DY170" s="1041"/>
      <c r="DZ170" s="1041"/>
      <c r="EA170" s="1041"/>
      <c r="EB170" s="1041"/>
      <c r="EC170" s="1041"/>
      <c r="ED170" s="1041"/>
      <c r="EE170" s="1041"/>
      <c r="EF170" s="1041"/>
      <c r="EG170" s="1041"/>
      <c r="EH170" s="1041"/>
      <c r="EI170" s="1041"/>
      <c r="EJ170" s="1041"/>
      <c r="EK170" s="1041"/>
      <c r="EL170" s="1042"/>
    </row>
    <row r="171" spans="1:142" ht="3.75" customHeight="1" x14ac:dyDescent="0.25">
      <c r="U171" s="1054"/>
      <c r="V171" s="1055"/>
      <c r="W171" s="1055"/>
      <c r="X171" s="1055"/>
      <c r="Y171" s="1056"/>
      <c r="AA171" s="1034"/>
      <c r="AB171" s="1096"/>
      <c r="AC171" s="1096"/>
      <c r="AD171" s="1096"/>
      <c r="AE171" s="1096"/>
      <c r="AF171" s="1096"/>
      <c r="AG171" s="1096"/>
      <c r="AH171" s="1096"/>
      <c r="AI171" s="1096"/>
      <c r="AJ171" s="1096"/>
      <c r="AK171" s="1096"/>
      <c r="AL171" s="1096"/>
      <c r="AM171" s="1096"/>
      <c r="AN171" s="1096"/>
      <c r="AO171" s="1036"/>
      <c r="AP171" s="444"/>
      <c r="AQ171" s="1034"/>
      <c r="AR171" s="1096"/>
      <c r="AS171" s="1096"/>
      <c r="AT171" s="1096"/>
      <c r="AU171" s="1096"/>
      <c r="AV171" s="1096"/>
      <c r="AW171" s="1096"/>
      <c r="AX171" s="1096"/>
      <c r="AY171" s="1096"/>
      <c r="AZ171" s="1096"/>
      <c r="BA171" s="1096"/>
      <c r="BB171" s="1096"/>
      <c r="BC171" s="1096"/>
      <c r="BD171" s="1096"/>
      <c r="BE171" s="1036"/>
      <c r="BG171" s="1078"/>
      <c r="BH171" s="1079"/>
      <c r="BI171" s="1079"/>
      <c r="BJ171" s="1079"/>
      <c r="BK171" s="1079"/>
      <c r="BL171" s="1080"/>
      <c r="BM171" s="1078" t="s">
        <v>590</v>
      </c>
      <c r="BN171" s="1079"/>
      <c r="BO171" s="1080"/>
      <c r="BP171" s="1078" t="s">
        <v>589</v>
      </c>
      <c r="BQ171" s="1079"/>
      <c r="BR171" s="1080"/>
      <c r="BS171" s="73"/>
      <c r="BY171" s="436"/>
      <c r="BZ171" s="436"/>
      <c r="CA171" s="436"/>
      <c r="CS171" s="1054"/>
      <c r="CT171" s="1055"/>
      <c r="CU171" s="1055"/>
      <c r="CV171" s="1055"/>
      <c r="CW171" s="1055"/>
      <c r="CX171" s="1056"/>
      <c r="CZ171" s="1034"/>
      <c r="DA171" s="1035"/>
      <c r="DB171" s="1035"/>
      <c r="DC171" s="1035"/>
      <c r="DD171" s="1035"/>
      <c r="DE171" s="1035"/>
      <c r="DF171" s="1035"/>
      <c r="DG171" s="1035"/>
      <c r="DH171" s="1035"/>
      <c r="DI171" s="1035"/>
      <c r="DJ171" s="1035"/>
      <c r="DK171" s="1035"/>
      <c r="DL171" s="1035"/>
      <c r="DM171" s="1035"/>
      <c r="DN171" s="1035"/>
      <c r="DO171" s="1035"/>
      <c r="DP171" s="1035"/>
      <c r="DQ171" s="1035"/>
      <c r="DR171" s="1036"/>
      <c r="DS171" s="444"/>
      <c r="DT171" s="1034"/>
      <c r="DU171" s="1035"/>
      <c r="DV171" s="1035"/>
      <c r="DW171" s="1035"/>
      <c r="DX171" s="1035"/>
      <c r="DY171" s="1035"/>
      <c r="DZ171" s="1035"/>
      <c r="EA171" s="1035"/>
      <c r="EB171" s="1035"/>
      <c r="EC171" s="1035"/>
      <c r="ED171" s="1035"/>
      <c r="EE171" s="1035"/>
      <c r="EF171" s="1035"/>
      <c r="EG171" s="1035"/>
      <c r="EH171" s="1035"/>
      <c r="EI171" s="1035"/>
      <c r="EJ171" s="1035"/>
      <c r="EK171" s="1035"/>
      <c r="EL171" s="1036"/>
    </row>
    <row r="172" spans="1:142" ht="3.75" customHeight="1" x14ac:dyDescent="0.25">
      <c r="A172" s="1053"/>
      <c r="B172" s="1053"/>
      <c r="C172" s="1053"/>
      <c r="E172" s="1053"/>
      <c r="F172" s="1053"/>
      <c r="G172" s="1053"/>
      <c r="I172" s="1053"/>
      <c r="J172" s="1053"/>
      <c r="K172" s="1053"/>
      <c r="M172" s="1053"/>
      <c r="N172" s="1053"/>
      <c r="O172" s="1053"/>
      <c r="Q172" s="1053"/>
      <c r="R172" s="1053"/>
      <c r="S172" s="1053"/>
      <c r="U172" s="1057"/>
      <c r="V172" s="1058"/>
      <c r="W172" s="1058"/>
      <c r="X172" s="1058"/>
      <c r="Y172" s="1059"/>
      <c r="AA172" s="1037"/>
      <c r="AB172" s="1038"/>
      <c r="AC172" s="1038"/>
      <c r="AD172" s="1038"/>
      <c r="AE172" s="1038"/>
      <c r="AF172" s="1038"/>
      <c r="AG172" s="1038"/>
      <c r="AH172" s="1038"/>
      <c r="AI172" s="1038"/>
      <c r="AJ172" s="1038"/>
      <c r="AK172" s="1038"/>
      <c r="AL172" s="1038"/>
      <c r="AM172" s="1038"/>
      <c r="AN172" s="1038"/>
      <c r="AO172" s="1039"/>
      <c r="AP172" s="444"/>
      <c r="AQ172" s="1037"/>
      <c r="AR172" s="1038"/>
      <c r="AS172" s="1038"/>
      <c r="AT172" s="1038"/>
      <c r="AU172" s="1038"/>
      <c r="AV172" s="1038"/>
      <c r="AW172" s="1038"/>
      <c r="AX172" s="1038"/>
      <c r="AY172" s="1038"/>
      <c r="AZ172" s="1038"/>
      <c r="BA172" s="1038"/>
      <c r="BB172" s="1038"/>
      <c r="BC172" s="1038"/>
      <c r="BD172" s="1038"/>
      <c r="BE172" s="1039"/>
      <c r="BG172" s="1081"/>
      <c r="BH172" s="631"/>
      <c r="BI172" s="631"/>
      <c r="BJ172" s="631"/>
      <c r="BK172" s="631"/>
      <c r="BL172" s="1082"/>
      <c r="BM172" s="1081"/>
      <c r="BN172" s="631"/>
      <c r="BO172" s="1082"/>
      <c r="BP172" s="1081"/>
      <c r="BQ172" s="631"/>
      <c r="BR172" s="1082"/>
      <c r="BS172" s="73"/>
      <c r="BU172" s="1053"/>
      <c r="BV172" s="1053"/>
      <c r="BW172" s="1053"/>
      <c r="BY172" s="1053"/>
      <c r="BZ172" s="1053"/>
      <c r="CA172" s="1053"/>
      <c r="CC172" s="1053"/>
      <c r="CD172" s="1053"/>
      <c r="CE172" s="1053"/>
      <c r="CG172" s="1053"/>
      <c r="CH172" s="1053"/>
      <c r="CI172" s="1053"/>
      <c r="CK172" s="1053"/>
      <c r="CL172" s="1053"/>
      <c r="CM172" s="1053"/>
      <c r="CO172" s="1053"/>
      <c r="CP172" s="1053"/>
      <c r="CQ172" s="1053"/>
      <c r="CS172" s="1057"/>
      <c r="CT172" s="1058"/>
      <c r="CU172" s="1058"/>
      <c r="CV172" s="1058"/>
      <c r="CW172" s="1058"/>
      <c r="CX172" s="1059"/>
      <c r="CZ172" s="1037"/>
      <c r="DA172" s="1038"/>
      <c r="DB172" s="1038"/>
      <c r="DC172" s="1038"/>
      <c r="DD172" s="1038"/>
      <c r="DE172" s="1038"/>
      <c r="DF172" s="1038"/>
      <c r="DG172" s="1038"/>
      <c r="DH172" s="1038"/>
      <c r="DI172" s="1038"/>
      <c r="DJ172" s="1038"/>
      <c r="DK172" s="1038"/>
      <c r="DL172" s="1038"/>
      <c r="DM172" s="1038"/>
      <c r="DN172" s="1038"/>
      <c r="DO172" s="1038"/>
      <c r="DP172" s="1038"/>
      <c r="DQ172" s="1038"/>
      <c r="DR172" s="1039"/>
      <c r="DS172" s="444"/>
      <c r="DT172" s="1037"/>
      <c r="DU172" s="1038"/>
      <c r="DV172" s="1038"/>
      <c r="DW172" s="1038"/>
      <c r="DX172" s="1038"/>
      <c r="DY172" s="1038"/>
      <c r="DZ172" s="1038"/>
      <c r="EA172" s="1038"/>
      <c r="EB172" s="1038"/>
      <c r="EC172" s="1038"/>
      <c r="ED172" s="1038"/>
      <c r="EE172" s="1038"/>
      <c r="EF172" s="1038"/>
      <c r="EG172" s="1038"/>
      <c r="EH172" s="1038"/>
      <c r="EI172" s="1038"/>
      <c r="EJ172" s="1038"/>
      <c r="EK172" s="1038"/>
      <c r="EL172" s="1039"/>
    </row>
    <row r="173" spans="1:142" ht="3.75" customHeight="1" x14ac:dyDescent="0.25">
      <c r="A173" s="1053"/>
      <c r="B173" s="1053"/>
      <c r="C173" s="1053"/>
      <c r="E173" s="1053"/>
      <c r="F173" s="1053"/>
      <c r="G173" s="1053"/>
      <c r="I173" s="1053"/>
      <c r="J173" s="1053"/>
      <c r="K173" s="1053"/>
      <c r="M173" s="1053"/>
      <c r="N173" s="1053"/>
      <c r="O173" s="1053"/>
      <c r="Q173" s="1053"/>
      <c r="R173" s="1053"/>
      <c r="S173" s="1053"/>
      <c r="U173" s="1057"/>
      <c r="V173" s="1058"/>
      <c r="W173" s="1058"/>
      <c r="X173" s="1058"/>
      <c r="Y173" s="1059"/>
      <c r="AA173" s="1037"/>
      <c r="AB173" s="1038"/>
      <c r="AC173" s="1038"/>
      <c r="AD173" s="1038"/>
      <c r="AE173" s="1038"/>
      <c r="AF173" s="1038"/>
      <c r="AG173" s="1038"/>
      <c r="AH173" s="1038"/>
      <c r="AI173" s="1038"/>
      <c r="AJ173" s="1038"/>
      <c r="AK173" s="1038"/>
      <c r="AL173" s="1038"/>
      <c r="AM173" s="1038"/>
      <c r="AN173" s="1038"/>
      <c r="AO173" s="1039"/>
      <c r="AP173" s="444"/>
      <c r="AQ173" s="1037"/>
      <c r="AR173" s="1038"/>
      <c r="AS173" s="1038"/>
      <c r="AT173" s="1038"/>
      <c r="AU173" s="1038"/>
      <c r="AV173" s="1038"/>
      <c r="AW173" s="1038"/>
      <c r="AX173" s="1038"/>
      <c r="AY173" s="1038"/>
      <c r="AZ173" s="1038"/>
      <c r="BA173" s="1038"/>
      <c r="BB173" s="1038"/>
      <c r="BC173" s="1038"/>
      <c r="BD173" s="1038"/>
      <c r="BE173" s="1039"/>
      <c r="BG173" s="1081"/>
      <c r="BH173" s="631"/>
      <c r="BI173" s="631"/>
      <c r="BJ173" s="631"/>
      <c r="BK173" s="631"/>
      <c r="BL173" s="1082"/>
      <c r="BM173" s="1081"/>
      <c r="BN173" s="631"/>
      <c r="BO173" s="1082"/>
      <c r="BP173" s="1081"/>
      <c r="BQ173" s="631"/>
      <c r="BR173" s="1082"/>
      <c r="BS173" s="73"/>
      <c r="BU173" s="1053"/>
      <c r="BV173" s="1053"/>
      <c r="BW173" s="1053"/>
      <c r="BY173" s="1053"/>
      <c r="BZ173" s="1053"/>
      <c r="CA173" s="1053"/>
      <c r="CC173" s="1053"/>
      <c r="CD173" s="1053"/>
      <c r="CE173" s="1053"/>
      <c r="CG173" s="1053"/>
      <c r="CH173" s="1053"/>
      <c r="CI173" s="1053"/>
      <c r="CK173" s="1053"/>
      <c r="CL173" s="1053"/>
      <c r="CM173" s="1053"/>
      <c r="CO173" s="1053"/>
      <c r="CP173" s="1053"/>
      <c r="CQ173" s="1053"/>
      <c r="CS173" s="1057"/>
      <c r="CT173" s="1058"/>
      <c r="CU173" s="1058"/>
      <c r="CV173" s="1058"/>
      <c r="CW173" s="1058"/>
      <c r="CX173" s="1059"/>
      <c r="CZ173" s="1037"/>
      <c r="DA173" s="1038"/>
      <c r="DB173" s="1038"/>
      <c r="DC173" s="1038"/>
      <c r="DD173" s="1038"/>
      <c r="DE173" s="1038"/>
      <c r="DF173" s="1038"/>
      <c r="DG173" s="1038"/>
      <c r="DH173" s="1038"/>
      <c r="DI173" s="1038"/>
      <c r="DJ173" s="1038"/>
      <c r="DK173" s="1038"/>
      <c r="DL173" s="1038"/>
      <c r="DM173" s="1038"/>
      <c r="DN173" s="1038"/>
      <c r="DO173" s="1038"/>
      <c r="DP173" s="1038"/>
      <c r="DQ173" s="1038"/>
      <c r="DR173" s="1039"/>
      <c r="DS173" s="444"/>
      <c r="DT173" s="1037"/>
      <c r="DU173" s="1038"/>
      <c r="DV173" s="1038"/>
      <c r="DW173" s="1038"/>
      <c r="DX173" s="1038"/>
      <c r="DY173" s="1038"/>
      <c r="DZ173" s="1038"/>
      <c r="EA173" s="1038"/>
      <c r="EB173" s="1038"/>
      <c r="EC173" s="1038"/>
      <c r="ED173" s="1038"/>
      <c r="EE173" s="1038"/>
      <c r="EF173" s="1038"/>
      <c r="EG173" s="1038"/>
      <c r="EH173" s="1038"/>
      <c r="EI173" s="1038"/>
      <c r="EJ173" s="1038"/>
      <c r="EK173" s="1038"/>
      <c r="EL173" s="1039"/>
    </row>
    <row r="174" spans="1:142" ht="3.75" customHeight="1" x14ac:dyDescent="0.25">
      <c r="A174" s="1053"/>
      <c r="B174" s="1053"/>
      <c r="C174" s="1053"/>
      <c r="E174" s="1053"/>
      <c r="F174" s="1053"/>
      <c r="G174" s="1053"/>
      <c r="I174" s="1053"/>
      <c r="J174" s="1053"/>
      <c r="K174" s="1053"/>
      <c r="M174" s="1053"/>
      <c r="N174" s="1053"/>
      <c r="O174" s="1053"/>
      <c r="Q174" s="1053"/>
      <c r="R174" s="1053"/>
      <c r="S174" s="1053"/>
      <c r="U174" s="1057"/>
      <c r="V174" s="1058"/>
      <c r="W174" s="1058"/>
      <c r="X174" s="1058"/>
      <c r="Y174" s="1059"/>
      <c r="AA174" s="1037"/>
      <c r="AB174" s="1038"/>
      <c r="AC174" s="1038"/>
      <c r="AD174" s="1038"/>
      <c r="AE174" s="1038"/>
      <c r="AF174" s="1038"/>
      <c r="AG174" s="1038"/>
      <c r="AH174" s="1038"/>
      <c r="AI174" s="1038"/>
      <c r="AJ174" s="1038"/>
      <c r="AK174" s="1038"/>
      <c r="AL174" s="1038"/>
      <c r="AM174" s="1038"/>
      <c r="AN174" s="1038"/>
      <c r="AO174" s="1039"/>
      <c r="AP174" s="444"/>
      <c r="AQ174" s="1037"/>
      <c r="AR174" s="1038"/>
      <c r="AS174" s="1038"/>
      <c r="AT174" s="1038"/>
      <c r="AU174" s="1038"/>
      <c r="AV174" s="1038"/>
      <c r="AW174" s="1038"/>
      <c r="AX174" s="1038"/>
      <c r="AY174" s="1038"/>
      <c r="AZ174" s="1038"/>
      <c r="BA174" s="1038"/>
      <c r="BB174" s="1038"/>
      <c r="BC174" s="1038"/>
      <c r="BD174" s="1038"/>
      <c r="BE174" s="1039"/>
      <c r="BG174" s="1081"/>
      <c r="BH174" s="631"/>
      <c r="BI174" s="631"/>
      <c r="BJ174" s="631"/>
      <c r="BK174" s="631"/>
      <c r="BL174" s="1082"/>
      <c r="BM174" s="1081"/>
      <c r="BN174" s="631"/>
      <c r="BO174" s="1082"/>
      <c r="BP174" s="1081"/>
      <c r="BQ174" s="631"/>
      <c r="BR174" s="1082"/>
      <c r="BS174" s="73"/>
      <c r="BU174" s="1053"/>
      <c r="BV174" s="1053"/>
      <c r="BW174" s="1053"/>
      <c r="BY174" s="1053"/>
      <c r="BZ174" s="1053"/>
      <c r="CA174" s="1053"/>
      <c r="CC174" s="1053"/>
      <c r="CD174" s="1053"/>
      <c r="CE174" s="1053"/>
      <c r="CG174" s="1053"/>
      <c r="CH174" s="1053"/>
      <c r="CI174" s="1053"/>
      <c r="CK174" s="1053"/>
      <c r="CL174" s="1053"/>
      <c r="CM174" s="1053"/>
      <c r="CO174" s="1053"/>
      <c r="CP174" s="1053"/>
      <c r="CQ174" s="1053"/>
      <c r="CS174" s="1057"/>
      <c r="CT174" s="1058"/>
      <c r="CU174" s="1058"/>
      <c r="CV174" s="1058"/>
      <c r="CW174" s="1058"/>
      <c r="CX174" s="1059"/>
      <c r="CZ174" s="1037"/>
      <c r="DA174" s="1038"/>
      <c r="DB174" s="1038"/>
      <c r="DC174" s="1038"/>
      <c r="DD174" s="1038"/>
      <c r="DE174" s="1038"/>
      <c r="DF174" s="1038"/>
      <c r="DG174" s="1038"/>
      <c r="DH174" s="1038"/>
      <c r="DI174" s="1038"/>
      <c r="DJ174" s="1038"/>
      <c r="DK174" s="1038"/>
      <c r="DL174" s="1038"/>
      <c r="DM174" s="1038"/>
      <c r="DN174" s="1038"/>
      <c r="DO174" s="1038"/>
      <c r="DP174" s="1038"/>
      <c r="DQ174" s="1038"/>
      <c r="DR174" s="1039"/>
      <c r="DS174" s="444"/>
      <c r="DT174" s="1037"/>
      <c r="DU174" s="1038"/>
      <c r="DV174" s="1038"/>
      <c r="DW174" s="1038"/>
      <c r="DX174" s="1038"/>
      <c r="DY174" s="1038"/>
      <c r="DZ174" s="1038"/>
      <c r="EA174" s="1038"/>
      <c r="EB174" s="1038"/>
      <c r="EC174" s="1038"/>
      <c r="ED174" s="1038"/>
      <c r="EE174" s="1038"/>
      <c r="EF174" s="1038"/>
      <c r="EG174" s="1038"/>
      <c r="EH174" s="1038"/>
      <c r="EI174" s="1038"/>
      <c r="EJ174" s="1038"/>
      <c r="EK174" s="1038"/>
      <c r="EL174" s="1039"/>
    </row>
    <row r="175" spans="1:142" ht="3.75" customHeight="1" x14ac:dyDescent="0.25">
      <c r="U175" s="1060"/>
      <c r="V175" s="1061"/>
      <c r="W175" s="1061"/>
      <c r="X175" s="1061"/>
      <c r="Y175" s="1062"/>
      <c r="AA175" s="1040"/>
      <c r="AB175" s="1041"/>
      <c r="AC175" s="1041"/>
      <c r="AD175" s="1041"/>
      <c r="AE175" s="1041"/>
      <c r="AF175" s="1041"/>
      <c r="AG175" s="1041"/>
      <c r="AH175" s="1041"/>
      <c r="AI175" s="1041"/>
      <c r="AJ175" s="1041"/>
      <c r="AK175" s="1041"/>
      <c r="AL175" s="1041"/>
      <c r="AM175" s="1041"/>
      <c r="AN175" s="1041"/>
      <c r="AO175" s="1042"/>
      <c r="AP175" s="444"/>
      <c r="AQ175" s="1040"/>
      <c r="AR175" s="1041"/>
      <c r="AS175" s="1041"/>
      <c r="AT175" s="1041"/>
      <c r="AU175" s="1041"/>
      <c r="AV175" s="1041"/>
      <c r="AW175" s="1041"/>
      <c r="AX175" s="1041"/>
      <c r="AY175" s="1041"/>
      <c r="AZ175" s="1041"/>
      <c r="BA175" s="1041"/>
      <c r="BB175" s="1041"/>
      <c r="BC175" s="1041"/>
      <c r="BD175" s="1041"/>
      <c r="BE175" s="1042"/>
      <c r="BG175" s="1083"/>
      <c r="BH175" s="1084"/>
      <c r="BI175" s="1084"/>
      <c r="BJ175" s="1084"/>
      <c r="BK175" s="1084"/>
      <c r="BL175" s="1085"/>
      <c r="BM175" s="1083"/>
      <c r="BN175" s="1084"/>
      <c r="BO175" s="1085"/>
      <c r="BP175" s="1083"/>
      <c r="BQ175" s="1084"/>
      <c r="BR175" s="1085"/>
      <c r="BS175" s="73"/>
      <c r="CS175" s="1060"/>
      <c r="CT175" s="1061"/>
      <c r="CU175" s="1061"/>
      <c r="CV175" s="1061"/>
      <c r="CW175" s="1061"/>
      <c r="CX175" s="1062"/>
      <c r="CZ175" s="1040"/>
      <c r="DA175" s="1041"/>
      <c r="DB175" s="1041"/>
      <c r="DC175" s="1041"/>
      <c r="DD175" s="1041"/>
      <c r="DE175" s="1041"/>
      <c r="DF175" s="1041"/>
      <c r="DG175" s="1041"/>
      <c r="DH175" s="1041"/>
      <c r="DI175" s="1041"/>
      <c r="DJ175" s="1041"/>
      <c r="DK175" s="1041"/>
      <c r="DL175" s="1041"/>
      <c r="DM175" s="1041"/>
      <c r="DN175" s="1041"/>
      <c r="DO175" s="1041"/>
      <c r="DP175" s="1041"/>
      <c r="DQ175" s="1041"/>
      <c r="DR175" s="1042"/>
      <c r="DS175" s="444"/>
      <c r="DT175" s="1040"/>
      <c r="DU175" s="1041"/>
      <c r="DV175" s="1041"/>
      <c r="DW175" s="1041"/>
      <c r="DX175" s="1041"/>
      <c r="DY175" s="1041"/>
      <c r="DZ175" s="1041"/>
      <c r="EA175" s="1041"/>
      <c r="EB175" s="1041"/>
      <c r="EC175" s="1041"/>
      <c r="ED175" s="1041"/>
      <c r="EE175" s="1041"/>
      <c r="EF175" s="1041"/>
      <c r="EG175" s="1041"/>
      <c r="EH175" s="1041"/>
      <c r="EI175" s="1041"/>
      <c r="EJ175" s="1041"/>
      <c r="EK175" s="1041"/>
      <c r="EL175" s="1042"/>
    </row>
    <row r="176" spans="1:142" ht="3.75" customHeight="1" x14ac:dyDescent="0.25">
      <c r="U176" s="1054"/>
      <c r="V176" s="1055"/>
      <c r="W176" s="1055"/>
      <c r="X176" s="1055"/>
      <c r="Y176" s="1056"/>
      <c r="AA176" s="1034"/>
      <c r="AB176" s="1096"/>
      <c r="AC176" s="1096"/>
      <c r="AD176" s="1096"/>
      <c r="AE176" s="1096"/>
      <c r="AF176" s="1096"/>
      <c r="AG176" s="1096"/>
      <c r="AH176" s="1096"/>
      <c r="AI176" s="1096"/>
      <c r="AJ176" s="1096"/>
      <c r="AK176" s="1096"/>
      <c r="AL176" s="1096"/>
      <c r="AM176" s="1096"/>
      <c r="AN176" s="1096"/>
      <c r="AO176" s="1036"/>
      <c r="AP176" s="444"/>
      <c r="AQ176" s="1034"/>
      <c r="AR176" s="1096"/>
      <c r="AS176" s="1096"/>
      <c r="AT176" s="1096"/>
      <c r="AU176" s="1096"/>
      <c r="AV176" s="1096"/>
      <c r="AW176" s="1096"/>
      <c r="AX176" s="1096"/>
      <c r="AY176" s="1096"/>
      <c r="AZ176" s="1096"/>
      <c r="BA176" s="1096"/>
      <c r="BB176" s="1096"/>
      <c r="BC176" s="1096"/>
      <c r="BD176" s="1096"/>
      <c r="BE176" s="1036"/>
      <c r="BG176" s="1078"/>
      <c r="BH176" s="1079"/>
      <c r="BI176" s="1079"/>
      <c r="BJ176" s="1079"/>
      <c r="BK176" s="1079"/>
      <c r="BL176" s="1080"/>
      <c r="BM176" s="1078" t="s">
        <v>590</v>
      </c>
      <c r="BN176" s="1079"/>
      <c r="BO176" s="1080"/>
      <c r="BP176" s="1078" t="s">
        <v>589</v>
      </c>
      <c r="BQ176" s="1079"/>
      <c r="BR176" s="1080"/>
      <c r="BS176" s="73"/>
      <c r="CS176" s="1054"/>
      <c r="CT176" s="1055"/>
      <c r="CU176" s="1055"/>
      <c r="CV176" s="1055"/>
      <c r="CW176" s="1055"/>
      <c r="CX176" s="1056"/>
      <c r="CZ176" s="1034"/>
      <c r="DA176" s="1035"/>
      <c r="DB176" s="1035"/>
      <c r="DC176" s="1035"/>
      <c r="DD176" s="1035"/>
      <c r="DE176" s="1035"/>
      <c r="DF176" s="1035"/>
      <c r="DG176" s="1035"/>
      <c r="DH176" s="1035"/>
      <c r="DI176" s="1035"/>
      <c r="DJ176" s="1035"/>
      <c r="DK176" s="1035"/>
      <c r="DL176" s="1035"/>
      <c r="DM176" s="1035"/>
      <c r="DN176" s="1035"/>
      <c r="DO176" s="1035"/>
      <c r="DP176" s="1035"/>
      <c r="DQ176" s="1035"/>
      <c r="DR176" s="1036"/>
      <c r="DS176" s="444"/>
      <c r="DT176" s="1034"/>
      <c r="DU176" s="1035"/>
      <c r="DV176" s="1035"/>
      <c r="DW176" s="1035"/>
      <c r="DX176" s="1035"/>
      <c r="DY176" s="1035"/>
      <c r="DZ176" s="1035"/>
      <c r="EA176" s="1035"/>
      <c r="EB176" s="1035"/>
      <c r="EC176" s="1035"/>
      <c r="ED176" s="1035"/>
      <c r="EE176" s="1035"/>
      <c r="EF176" s="1035"/>
      <c r="EG176" s="1035"/>
      <c r="EH176" s="1035"/>
      <c r="EI176" s="1035"/>
      <c r="EJ176" s="1035"/>
      <c r="EK176" s="1035"/>
      <c r="EL176" s="1036"/>
    </row>
    <row r="177" spans="1:142" ht="3.75" customHeight="1" x14ac:dyDescent="0.25">
      <c r="A177" s="1053"/>
      <c r="B177" s="1053"/>
      <c r="C177" s="1053"/>
      <c r="E177" s="1053"/>
      <c r="F177" s="1053"/>
      <c r="G177" s="1053"/>
      <c r="I177" s="1053"/>
      <c r="J177" s="1053"/>
      <c r="K177" s="1053"/>
      <c r="M177" s="1053"/>
      <c r="N177" s="1053"/>
      <c r="O177" s="1053"/>
      <c r="Q177" s="1053"/>
      <c r="R177" s="1053"/>
      <c r="S177" s="1053"/>
      <c r="U177" s="1057"/>
      <c r="V177" s="1058"/>
      <c r="W177" s="1058"/>
      <c r="X177" s="1058"/>
      <c r="Y177" s="1059"/>
      <c r="AA177" s="1037"/>
      <c r="AB177" s="1038"/>
      <c r="AC177" s="1038"/>
      <c r="AD177" s="1038"/>
      <c r="AE177" s="1038"/>
      <c r="AF177" s="1038"/>
      <c r="AG177" s="1038"/>
      <c r="AH177" s="1038"/>
      <c r="AI177" s="1038"/>
      <c r="AJ177" s="1038"/>
      <c r="AK177" s="1038"/>
      <c r="AL177" s="1038"/>
      <c r="AM177" s="1038"/>
      <c r="AN177" s="1038"/>
      <c r="AO177" s="1039"/>
      <c r="AP177" s="444"/>
      <c r="AQ177" s="1037"/>
      <c r="AR177" s="1038"/>
      <c r="AS177" s="1038"/>
      <c r="AT177" s="1038"/>
      <c r="AU177" s="1038"/>
      <c r="AV177" s="1038"/>
      <c r="AW177" s="1038"/>
      <c r="AX177" s="1038"/>
      <c r="AY177" s="1038"/>
      <c r="AZ177" s="1038"/>
      <c r="BA177" s="1038"/>
      <c r="BB177" s="1038"/>
      <c r="BC177" s="1038"/>
      <c r="BD177" s="1038"/>
      <c r="BE177" s="1039"/>
      <c r="BG177" s="1081"/>
      <c r="BH177" s="631"/>
      <c r="BI177" s="631"/>
      <c r="BJ177" s="631"/>
      <c r="BK177" s="631"/>
      <c r="BL177" s="1082"/>
      <c r="BM177" s="1081"/>
      <c r="BN177" s="631"/>
      <c r="BO177" s="1082"/>
      <c r="BP177" s="1081"/>
      <c r="BQ177" s="631"/>
      <c r="BR177" s="1082"/>
      <c r="BS177" s="73"/>
      <c r="BU177" s="1053"/>
      <c r="BV177" s="1053"/>
      <c r="BW177" s="1053"/>
      <c r="BY177" s="1053"/>
      <c r="BZ177" s="1053"/>
      <c r="CA177" s="1053"/>
      <c r="CC177" s="1053"/>
      <c r="CD177" s="1053"/>
      <c r="CE177" s="1053"/>
      <c r="CG177" s="1053"/>
      <c r="CH177" s="1053"/>
      <c r="CI177" s="1053"/>
      <c r="CK177" s="1053"/>
      <c r="CL177" s="1053"/>
      <c r="CM177" s="1053"/>
      <c r="CO177" s="1053"/>
      <c r="CP177" s="1053"/>
      <c r="CQ177" s="1053"/>
      <c r="CS177" s="1057"/>
      <c r="CT177" s="1058"/>
      <c r="CU177" s="1058"/>
      <c r="CV177" s="1058"/>
      <c r="CW177" s="1058"/>
      <c r="CX177" s="1059"/>
      <c r="CZ177" s="1037"/>
      <c r="DA177" s="1038"/>
      <c r="DB177" s="1038"/>
      <c r="DC177" s="1038"/>
      <c r="DD177" s="1038"/>
      <c r="DE177" s="1038"/>
      <c r="DF177" s="1038"/>
      <c r="DG177" s="1038"/>
      <c r="DH177" s="1038"/>
      <c r="DI177" s="1038"/>
      <c r="DJ177" s="1038"/>
      <c r="DK177" s="1038"/>
      <c r="DL177" s="1038"/>
      <c r="DM177" s="1038"/>
      <c r="DN177" s="1038"/>
      <c r="DO177" s="1038"/>
      <c r="DP177" s="1038"/>
      <c r="DQ177" s="1038"/>
      <c r="DR177" s="1039"/>
      <c r="DS177" s="444"/>
      <c r="DT177" s="1037"/>
      <c r="DU177" s="1038"/>
      <c r="DV177" s="1038"/>
      <c r="DW177" s="1038"/>
      <c r="DX177" s="1038"/>
      <c r="DY177" s="1038"/>
      <c r="DZ177" s="1038"/>
      <c r="EA177" s="1038"/>
      <c r="EB177" s="1038"/>
      <c r="EC177" s="1038"/>
      <c r="ED177" s="1038"/>
      <c r="EE177" s="1038"/>
      <c r="EF177" s="1038"/>
      <c r="EG177" s="1038"/>
      <c r="EH177" s="1038"/>
      <c r="EI177" s="1038"/>
      <c r="EJ177" s="1038"/>
      <c r="EK177" s="1038"/>
      <c r="EL177" s="1039"/>
    </row>
    <row r="178" spans="1:142" ht="3.75" customHeight="1" x14ac:dyDescent="0.25">
      <c r="A178" s="1053"/>
      <c r="B178" s="1053"/>
      <c r="C178" s="1053"/>
      <c r="E178" s="1053"/>
      <c r="F178" s="1053"/>
      <c r="G178" s="1053"/>
      <c r="I178" s="1053"/>
      <c r="J178" s="1053"/>
      <c r="K178" s="1053"/>
      <c r="M178" s="1053"/>
      <c r="N178" s="1053"/>
      <c r="O178" s="1053"/>
      <c r="Q178" s="1053"/>
      <c r="R178" s="1053"/>
      <c r="S178" s="1053"/>
      <c r="U178" s="1057"/>
      <c r="V178" s="1058"/>
      <c r="W178" s="1058"/>
      <c r="X178" s="1058"/>
      <c r="Y178" s="1059"/>
      <c r="AA178" s="1037"/>
      <c r="AB178" s="1038"/>
      <c r="AC178" s="1038"/>
      <c r="AD178" s="1038"/>
      <c r="AE178" s="1038"/>
      <c r="AF178" s="1038"/>
      <c r="AG178" s="1038"/>
      <c r="AH178" s="1038"/>
      <c r="AI178" s="1038"/>
      <c r="AJ178" s="1038"/>
      <c r="AK178" s="1038"/>
      <c r="AL178" s="1038"/>
      <c r="AM178" s="1038"/>
      <c r="AN178" s="1038"/>
      <c r="AO178" s="1039"/>
      <c r="AP178" s="444"/>
      <c r="AQ178" s="1037"/>
      <c r="AR178" s="1038"/>
      <c r="AS178" s="1038"/>
      <c r="AT178" s="1038"/>
      <c r="AU178" s="1038"/>
      <c r="AV178" s="1038"/>
      <c r="AW178" s="1038"/>
      <c r="AX178" s="1038"/>
      <c r="AY178" s="1038"/>
      <c r="AZ178" s="1038"/>
      <c r="BA178" s="1038"/>
      <c r="BB178" s="1038"/>
      <c r="BC178" s="1038"/>
      <c r="BD178" s="1038"/>
      <c r="BE178" s="1039"/>
      <c r="BG178" s="1081"/>
      <c r="BH178" s="631"/>
      <c r="BI178" s="631"/>
      <c r="BJ178" s="631"/>
      <c r="BK178" s="631"/>
      <c r="BL178" s="1082"/>
      <c r="BM178" s="1081"/>
      <c r="BN178" s="631"/>
      <c r="BO178" s="1082"/>
      <c r="BP178" s="1081"/>
      <c r="BQ178" s="631"/>
      <c r="BR178" s="1082"/>
      <c r="BS178" s="73"/>
      <c r="BU178" s="1053"/>
      <c r="BV178" s="1053"/>
      <c r="BW178" s="1053"/>
      <c r="BY178" s="1053"/>
      <c r="BZ178" s="1053"/>
      <c r="CA178" s="1053"/>
      <c r="CC178" s="1053"/>
      <c r="CD178" s="1053"/>
      <c r="CE178" s="1053"/>
      <c r="CG178" s="1053"/>
      <c r="CH178" s="1053"/>
      <c r="CI178" s="1053"/>
      <c r="CK178" s="1053"/>
      <c r="CL178" s="1053"/>
      <c r="CM178" s="1053"/>
      <c r="CO178" s="1053"/>
      <c r="CP178" s="1053"/>
      <c r="CQ178" s="1053"/>
      <c r="CS178" s="1057"/>
      <c r="CT178" s="1058"/>
      <c r="CU178" s="1058"/>
      <c r="CV178" s="1058"/>
      <c r="CW178" s="1058"/>
      <c r="CX178" s="1059"/>
      <c r="CZ178" s="1037"/>
      <c r="DA178" s="1038"/>
      <c r="DB178" s="1038"/>
      <c r="DC178" s="1038"/>
      <c r="DD178" s="1038"/>
      <c r="DE178" s="1038"/>
      <c r="DF178" s="1038"/>
      <c r="DG178" s="1038"/>
      <c r="DH178" s="1038"/>
      <c r="DI178" s="1038"/>
      <c r="DJ178" s="1038"/>
      <c r="DK178" s="1038"/>
      <c r="DL178" s="1038"/>
      <c r="DM178" s="1038"/>
      <c r="DN178" s="1038"/>
      <c r="DO178" s="1038"/>
      <c r="DP178" s="1038"/>
      <c r="DQ178" s="1038"/>
      <c r="DR178" s="1039"/>
      <c r="DS178" s="444"/>
      <c r="DT178" s="1037"/>
      <c r="DU178" s="1038"/>
      <c r="DV178" s="1038"/>
      <c r="DW178" s="1038"/>
      <c r="DX178" s="1038"/>
      <c r="DY178" s="1038"/>
      <c r="DZ178" s="1038"/>
      <c r="EA178" s="1038"/>
      <c r="EB178" s="1038"/>
      <c r="EC178" s="1038"/>
      <c r="ED178" s="1038"/>
      <c r="EE178" s="1038"/>
      <c r="EF178" s="1038"/>
      <c r="EG178" s="1038"/>
      <c r="EH178" s="1038"/>
      <c r="EI178" s="1038"/>
      <c r="EJ178" s="1038"/>
      <c r="EK178" s="1038"/>
      <c r="EL178" s="1039"/>
    </row>
    <row r="179" spans="1:142" ht="3.75" customHeight="1" x14ac:dyDescent="0.25">
      <c r="A179" s="1053"/>
      <c r="B179" s="1053"/>
      <c r="C179" s="1053"/>
      <c r="E179" s="1053"/>
      <c r="F179" s="1053"/>
      <c r="G179" s="1053"/>
      <c r="I179" s="1053"/>
      <c r="J179" s="1053"/>
      <c r="K179" s="1053"/>
      <c r="M179" s="1053"/>
      <c r="N179" s="1053"/>
      <c r="O179" s="1053"/>
      <c r="Q179" s="1053"/>
      <c r="R179" s="1053"/>
      <c r="S179" s="1053"/>
      <c r="U179" s="1057"/>
      <c r="V179" s="1058"/>
      <c r="W179" s="1058"/>
      <c r="X179" s="1058"/>
      <c r="Y179" s="1059"/>
      <c r="AA179" s="1037"/>
      <c r="AB179" s="1038"/>
      <c r="AC179" s="1038"/>
      <c r="AD179" s="1038"/>
      <c r="AE179" s="1038"/>
      <c r="AF179" s="1038"/>
      <c r="AG179" s="1038"/>
      <c r="AH179" s="1038"/>
      <c r="AI179" s="1038"/>
      <c r="AJ179" s="1038"/>
      <c r="AK179" s="1038"/>
      <c r="AL179" s="1038"/>
      <c r="AM179" s="1038"/>
      <c r="AN179" s="1038"/>
      <c r="AO179" s="1039"/>
      <c r="AP179" s="444"/>
      <c r="AQ179" s="1037"/>
      <c r="AR179" s="1038"/>
      <c r="AS179" s="1038"/>
      <c r="AT179" s="1038"/>
      <c r="AU179" s="1038"/>
      <c r="AV179" s="1038"/>
      <c r="AW179" s="1038"/>
      <c r="AX179" s="1038"/>
      <c r="AY179" s="1038"/>
      <c r="AZ179" s="1038"/>
      <c r="BA179" s="1038"/>
      <c r="BB179" s="1038"/>
      <c r="BC179" s="1038"/>
      <c r="BD179" s="1038"/>
      <c r="BE179" s="1039"/>
      <c r="BG179" s="1081"/>
      <c r="BH179" s="631"/>
      <c r="BI179" s="631"/>
      <c r="BJ179" s="631"/>
      <c r="BK179" s="631"/>
      <c r="BL179" s="1082"/>
      <c r="BM179" s="1081"/>
      <c r="BN179" s="631"/>
      <c r="BO179" s="1082"/>
      <c r="BP179" s="1081"/>
      <c r="BQ179" s="631"/>
      <c r="BR179" s="1082"/>
      <c r="BS179" s="73"/>
      <c r="BU179" s="1053"/>
      <c r="BV179" s="1053"/>
      <c r="BW179" s="1053"/>
      <c r="BY179" s="1053"/>
      <c r="BZ179" s="1053"/>
      <c r="CA179" s="1053"/>
      <c r="CC179" s="1053"/>
      <c r="CD179" s="1053"/>
      <c r="CE179" s="1053"/>
      <c r="CG179" s="1053"/>
      <c r="CH179" s="1053"/>
      <c r="CI179" s="1053"/>
      <c r="CK179" s="1053"/>
      <c r="CL179" s="1053"/>
      <c r="CM179" s="1053"/>
      <c r="CO179" s="1053"/>
      <c r="CP179" s="1053"/>
      <c r="CQ179" s="1053"/>
      <c r="CS179" s="1057"/>
      <c r="CT179" s="1058"/>
      <c r="CU179" s="1058"/>
      <c r="CV179" s="1058"/>
      <c r="CW179" s="1058"/>
      <c r="CX179" s="1059"/>
      <c r="CZ179" s="1037"/>
      <c r="DA179" s="1038"/>
      <c r="DB179" s="1038"/>
      <c r="DC179" s="1038"/>
      <c r="DD179" s="1038"/>
      <c r="DE179" s="1038"/>
      <c r="DF179" s="1038"/>
      <c r="DG179" s="1038"/>
      <c r="DH179" s="1038"/>
      <c r="DI179" s="1038"/>
      <c r="DJ179" s="1038"/>
      <c r="DK179" s="1038"/>
      <c r="DL179" s="1038"/>
      <c r="DM179" s="1038"/>
      <c r="DN179" s="1038"/>
      <c r="DO179" s="1038"/>
      <c r="DP179" s="1038"/>
      <c r="DQ179" s="1038"/>
      <c r="DR179" s="1039"/>
      <c r="DS179" s="444"/>
      <c r="DT179" s="1037"/>
      <c r="DU179" s="1038"/>
      <c r="DV179" s="1038"/>
      <c r="DW179" s="1038"/>
      <c r="DX179" s="1038"/>
      <c r="DY179" s="1038"/>
      <c r="DZ179" s="1038"/>
      <c r="EA179" s="1038"/>
      <c r="EB179" s="1038"/>
      <c r="EC179" s="1038"/>
      <c r="ED179" s="1038"/>
      <c r="EE179" s="1038"/>
      <c r="EF179" s="1038"/>
      <c r="EG179" s="1038"/>
      <c r="EH179" s="1038"/>
      <c r="EI179" s="1038"/>
      <c r="EJ179" s="1038"/>
      <c r="EK179" s="1038"/>
      <c r="EL179" s="1039"/>
    </row>
    <row r="180" spans="1:142" ht="3.75" customHeight="1" x14ac:dyDescent="0.25">
      <c r="U180" s="1060"/>
      <c r="V180" s="1061"/>
      <c r="W180" s="1061"/>
      <c r="X180" s="1061"/>
      <c r="Y180" s="1062"/>
      <c r="AA180" s="1040"/>
      <c r="AB180" s="1041"/>
      <c r="AC180" s="1041"/>
      <c r="AD180" s="1041"/>
      <c r="AE180" s="1041"/>
      <c r="AF180" s="1041"/>
      <c r="AG180" s="1041"/>
      <c r="AH180" s="1041"/>
      <c r="AI180" s="1041"/>
      <c r="AJ180" s="1041"/>
      <c r="AK180" s="1041"/>
      <c r="AL180" s="1041"/>
      <c r="AM180" s="1041"/>
      <c r="AN180" s="1041"/>
      <c r="AO180" s="1042"/>
      <c r="AP180" s="444"/>
      <c r="AQ180" s="1040"/>
      <c r="AR180" s="1041"/>
      <c r="AS180" s="1041"/>
      <c r="AT180" s="1041"/>
      <c r="AU180" s="1041"/>
      <c r="AV180" s="1041"/>
      <c r="AW180" s="1041"/>
      <c r="AX180" s="1041"/>
      <c r="AY180" s="1041"/>
      <c r="AZ180" s="1041"/>
      <c r="BA180" s="1041"/>
      <c r="BB180" s="1041"/>
      <c r="BC180" s="1041"/>
      <c r="BD180" s="1041"/>
      <c r="BE180" s="1042"/>
      <c r="BG180" s="1083"/>
      <c r="BH180" s="1084"/>
      <c r="BI180" s="1084"/>
      <c r="BJ180" s="1084"/>
      <c r="BK180" s="1084"/>
      <c r="BL180" s="1085"/>
      <c r="BM180" s="1083"/>
      <c r="BN180" s="1084"/>
      <c r="BO180" s="1085"/>
      <c r="BP180" s="1083"/>
      <c r="BQ180" s="1084"/>
      <c r="BR180" s="1085"/>
      <c r="BS180" s="73"/>
      <c r="CS180" s="1060"/>
      <c r="CT180" s="1061"/>
      <c r="CU180" s="1061"/>
      <c r="CV180" s="1061"/>
      <c r="CW180" s="1061"/>
      <c r="CX180" s="1062"/>
      <c r="CZ180" s="1040"/>
      <c r="DA180" s="1041"/>
      <c r="DB180" s="1041"/>
      <c r="DC180" s="1041"/>
      <c r="DD180" s="1041"/>
      <c r="DE180" s="1041"/>
      <c r="DF180" s="1041"/>
      <c r="DG180" s="1041"/>
      <c r="DH180" s="1041"/>
      <c r="DI180" s="1041"/>
      <c r="DJ180" s="1041"/>
      <c r="DK180" s="1041"/>
      <c r="DL180" s="1041"/>
      <c r="DM180" s="1041"/>
      <c r="DN180" s="1041"/>
      <c r="DO180" s="1041"/>
      <c r="DP180" s="1041"/>
      <c r="DQ180" s="1041"/>
      <c r="DR180" s="1042"/>
      <c r="DS180" s="444"/>
      <c r="DT180" s="1040"/>
      <c r="DU180" s="1041"/>
      <c r="DV180" s="1041"/>
      <c r="DW180" s="1041"/>
      <c r="DX180" s="1041"/>
      <c r="DY180" s="1041"/>
      <c r="DZ180" s="1041"/>
      <c r="EA180" s="1041"/>
      <c r="EB180" s="1041"/>
      <c r="EC180" s="1041"/>
      <c r="ED180" s="1041"/>
      <c r="EE180" s="1041"/>
      <c r="EF180" s="1041"/>
      <c r="EG180" s="1041"/>
      <c r="EH180" s="1041"/>
      <c r="EI180" s="1041"/>
      <c r="EJ180" s="1041"/>
      <c r="EK180" s="1041"/>
      <c r="EL180" s="1042"/>
    </row>
    <row r="181" spans="1:142" ht="3.75" customHeight="1" x14ac:dyDescent="0.25">
      <c r="U181" s="1054"/>
      <c r="V181" s="1055"/>
      <c r="W181" s="1055"/>
      <c r="X181" s="1055"/>
      <c r="Y181" s="1056"/>
      <c r="AA181" s="1034"/>
      <c r="AB181" s="1096"/>
      <c r="AC181" s="1096"/>
      <c r="AD181" s="1096"/>
      <c r="AE181" s="1096"/>
      <c r="AF181" s="1096"/>
      <c r="AG181" s="1096"/>
      <c r="AH181" s="1096"/>
      <c r="AI181" s="1096"/>
      <c r="AJ181" s="1096"/>
      <c r="AK181" s="1096"/>
      <c r="AL181" s="1096"/>
      <c r="AM181" s="1096"/>
      <c r="AN181" s="1096"/>
      <c r="AO181" s="1036"/>
      <c r="AP181" s="444"/>
      <c r="AQ181" s="1034"/>
      <c r="AR181" s="1096"/>
      <c r="AS181" s="1096"/>
      <c r="AT181" s="1096"/>
      <c r="AU181" s="1096"/>
      <c r="AV181" s="1096"/>
      <c r="AW181" s="1096"/>
      <c r="AX181" s="1096"/>
      <c r="AY181" s="1096"/>
      <c r="AZ181" s="1096"/>
      <c r="BA181" s="1096"/>
      <c r="BB181" s="1096"/>
      <c r="BC181" s="1096"/>
      <c r="BD181" s="1096"/>
      <c r="BE181" s="1036"/>
      <c r="BG181" s="1078"/>
      <c r="BH181" s="1079"/>
      <c r="BI181" s="1079"/>
      <c r="BJ181" s="1079"/>
      <c r="BK181" s="1079"/>
      <c r="BL181" s="1080"/>
      <c r="BM181" s="1078" t="s">
        <v>590</v>
      </c>
      <c r="BN181" s="1079"/>
      <c r="BO181" s="1080"/>
      <c r="BP181" s="1078" t="s">
        <v>589</v>
      </c>
      <c r="BQ181" s="1079"/>
      <c r="BR181" s="1080"/>
      <c r="BS181" s="73"/>
      <c r="CS181" s="1054"/>
      <c r="CT181" s="1055"/>
      <c r="CU181" s="1055"/>
      <c r="CV181" s="1055"/>
      <c r="CW181" s="1055"/>
      <c r="CX181" s="1056"/>
      <c r="CZ181" s="1034"/>
      <c r="DA181" s="1035"/>
      <c r="DB181" s="1035"/>
      <c r="DC181" s="1035"/>
      <c r="DD181" s="1035"/>
      <c r="DE181" s="1035"/>
      <c r="DF181" s="1035"/>
      <c r="DG181" s="1035"/>
      <c r="DH181" s="1035"/>
      <c r="DI181" s="1035"/>
      <c r="DJ181" s="1035"/>
      <c r="DK181" s="1035"/>
      <c r="DL181" s="1035"/>
      <c r="DM181" s="1035"/>
      <c r="DN181" s="1035"/>
      <c r="DO181" s="1035"/>
      <c r="DP181" s="1035"/>
      <c r="DQ181" s="1035"/>
      <c r="DR181" s="1036"/>
      <c r="DS181" s="444"/>
      <c r="DT181" s="1034"/>
      <c r="DU181" s="1035"/>
      <c r="DV181" s="1035"/>
      <c r="DW181" s="1035"/>
      <c r="DX181" s="1035"/>
      <c r="DY181" s="1035"/>
      <c r="DZ181" s="1035"/>
      <c r="EA181" s="1035"/>
      <c r="EB181" s="1035"/>
      <c r="EC181" s="1035"/>
      <c r="ED181" s="1035"/>
      <c r="EE181" s="1035"/>
      <c r="EF181" s="1035"/>
      <c r="EG181" s="1035"/>
      <c r="EH181" s="1035"/>
      <c r="EI181" s="1035"/>
      <c r="EJ181" s="1035"/>
      <c r="EK181" s="1035"/>
      <c r="EL181" s="1036"/>
    </row>
    <row r="182" spans="1:142" ht="3.75" customHeight="1" x14ac:dyDescent="0.25">
      <c r="A182" s="1053"/>
      <c r="B182" s="1053"/>
      <c r="C182" s="1053"/>
      <c r="E182" s="1053"/>
      <c r="F182" s="1053"/>
      <c r="G182" s="1053"/>
      <c r="I182" s="1053"/>
      <c r="J182" s="1053"/>
      <c r="K182" s="1053"/>
      <c r="M182" s="1053"/>
      <c r="N182" s="1053"/>
      <c r="O182" s="1053"/>
      <c r="Q182" s="1053"/>
      <c r="R182" s="1053"/>
      <c r="S182" s="1053"/>
      <c r="U182" s="1057"/>
      <c r="V182" s="1058"/>
      <c r="W182" s="1058"/>
      <c r="X182" s="1058"/>
      <c r="Y182" s="1059"/>
      <c r="AA182" s="1037"/>
      <c r="AB182" s="1038"/>
      <c r="AC182" s="1038"/>
      <c r="AD182" s="1038"/>
      <c r="AE182" s="1038"/>
      <c r="AF182" s="1038"/>
      <c r="AG182" s="1038"/>
      <c r="AH182" s="1038"/>
      <c r="AI182" s="1038"/>
      <c r="AJ182" s="1038"/>
      <c r="AK182" s="1038"/>
      <c r="AL182" s="1038"/>
      <c r="AM182" s="1038"/>
      <c r="AN182" s="1038"/>
      <c r="AO182" s="1039"/>
      <c r="AP182" s="444"/>
      <c r="AQ182" s="1037"/>
      <c r="AR182" s="1038"/>
      <c r="AS182" s="1038"/>
      <c r="AT182" s="1038"/>
      <c r="AU182" s="1038"/>
      <c r="AV182" s="1038"/>
      <c r="AW182" s="1038"/>
      <c r="AX182" s="1038"/>
      <c r="AY182" s="1038"/>
      <c r="AZ182" s="1038"/>
      <c r="BA182" s="1038"/>
      <c r="BB182" s="1038"/>
      <c r="BC182" s="1038"/>
      <c r="BD182" s="1038"/>
      <c r="BE182" s="1039"/>
      <c r="BG182" s="1081"/>
      <c r="BH182" s="631"/>
      <c r="BI182" s="631"/>
      <c r="BJ182" s="631"/>
      <c r="BK182" s="631"/>
      <c r="BL182" s="1082"/>
      <c r="BM182" s="1081"/>
      <c r="BN182" s="631"/>
      <c r="BO182" s="1082"/>
      <c r="BP182" s="1081"/>
      <c r="BQ182" s="631"/>
      <c r="BR182" s="1082"/>
      <c r="BS182" s="73"/>
      <c r="BU182" s="1053"/>
      <c r="BV182" s="1053"/>
      <c r="BW182" s="1053"/>
      <c r="BY182" s="1053"/>
      <c r="BZ182" s="1053"/>
      <c r="CA182" s="1053"/>
      <c r="CC182" s="1053"/>
      <c r="CD182" s="1053"/>
      <c r="CE182" s="1053"/>
      <c r="CG182" s="1053"/>
      <c r="CH182" s="1053"/>
      <c r="CI182" s="1053"/>
      <c r="CK182" s="1053"/>
      <c r="CL182" s="1053"/>
      <c r="CM182" s="1053"/>
      <c r="CO182" s="1053"/>
      <c r="CP182" s="1053"/>
      <c r="CQ182" s="1053"/>
      <c r="CS182" s="1057"/>
      <c r="CT182" s="1058"/>
      <c r="CU182" s="1058"/>
      <c r="CV182" s="1058"/>
      <c r="CW182" s="1058"/>
      <c r="CX182" s="1059"/>
      <c r="CZ182" s="1037"/>
      <c r="DA182" s="1038"/>
      <c r="DB182" s="1038"/>
      <c r="DC182" s="1038"/>
      <c r="DD182" s="1038"/>
      <c r="DE182" s="1038"/>
      <c r="DF182" s="1038"/>
      <c r="DG182" s="1038"/>
      <c r="DH182" s="1038"/>
      <c r="DI182" s="1038"/>
      <c r="DJ182" s="1038"/>
      <c r="DK182" s="1038"/>
      <c r="DL182" s="1038"/>
      <c r="DM182" s="1038"/>
      <c r="DN182" s="1038"/>
      <c r="DO182" s="1038"/>
      <c r="DP182" s="1038"/>
      <c r="DQ182" s="1038"/>
      <c r="DR182" s="1039"/>
      <c r="DS182" s="444"/>
      <c r="DT182" s="1037"/>
      <c r="DU182" s="1038"/>
      <c r="DV182" s="1038"/>
      <c r="DW182" s="1038"/>
      <c r="DX182" s="1038"/>
      <c r="DY182" s="1038"/>
      <c r="DZ182" s="1038"/>
      <c r="EA182" s="1038"/>
      <c r="EB182" s="1038"/>
      <c r="EC182" s="1038"/>
      <c r="ED182" s="1038"/>
      <c r="EE182" s="1038"/>
      <c r="EF182" s="1038"/>
      <c r="EG182" s="1038"/>
      <c r="EH182" s="1038"/>
      <c r="EI182" s="1038"/>
      <c r="EJ182" s="1038"/>
      <c r="EK182" s="1038"/>
      <c r="EL182" s="1039"/>
    </row>
    <row r="183" spans="1:142" ht="3.75" customHeight="1" x14ac:dyDescent="0.25">
      <c r="A183" s="1053"/>
      <c r="B183" s="1053"/>
      <c r="C183" s="1053"/>
      <c r="E183" s="1053"/>
      <c r="F183" s="1053"/>
      <c r="G183" s="1053"/>
      <c r="I183" s="1053"/>
      <c r="J183" s="1053"/>
      <c r="K183" s="1053"/>
      <c r="M183" s="1053"/>
      <c r="N183" s="1053"/>
      <c r="O183" s="1053"/>
      <c r="Q183" s="1053"/>
      <c r="R183" s="1053"/>
      <c r="S183" s="1053"/>
      <c r="U183" s="1057"/>
      <c r="V183" s="1058"/>
      <c r="W183" s="1058"/>
      <c r="X183" s="1058"/>
      <c r="Y183" s="1059"/>
      <c r="AA183" s="1037"/>
      <c r="AB183" s="1038"/>
      <c r="AC183" s="1038"/>
      <c r="AD183" s="1038"/>
      <c r="AE183" s="1038"/>
      <c r="AF183" s="1038"/>
      <c r="AG183" s="1038"/>
      <c r="AH183" s="1038"/>
      <c r="AI183" s="1038"/>
      <c r="AJ183" s="1038"/>
      <c r="AK183" s="1038"/>
      <c r="AL183" s="1038"/>
      <c r="AM183" s="1038"/>
      <c r="AN183" s="1038"/>
      <c r="AO183" s="1039"/>
      <c r="AP183" s="444"/>
      <c r="AQ183" s="1037"/>
      <c r="AR183" s="1038"/>
      <c r="AS183" s="1038"/>
      <c r="AT183" s="1038"/>
      <c r="AU183" s="1038"/>
      <c r="AV183" s="1038"/>
      <c r="AW183" s="1038"/>
      <c r="AX183" s="1038"/>
      <c r="AY183" s="1038"/>
      <c r="AZ183" s="1038"/>
      <c r="BA183" s="1038"/>
      <c r="BB183" s="1038"/>
      <c r="BC183" s="1038"/>
      <c r="BD183" s="1038"/>
      <c r="BE183" s="1039"/>
      <c r="BG183" s="1081"/>
      <c r="BH183" s="631"/>
      <c r="BI183" s="631"/>
      <c r="BJ183" s="631"/>
      <c r="BK183" s="631"/>
      <c r="BL183" s="1082"/>
      <c r="BM183" s="1081"/>
      <c r="BN183" s="631"/>
      <c r="BO183" s="1082"/>
      <c r="BP183" s="1081"/>
      <c r="BQ183" s="631"/>
      <c r="BR183" s="1082"/>
      <c r="BS183" s="73"/>
      <c r="BU183" s="1053"/>
      <c r="BV183" s="1053"/>
      <c r="BW183" s="1053"/>
      <c r="BY183" s="1053"/>
      <c r="BZ183" s="1053"/>
      <c r="CA183" s="1053"/>
      <c r="CC183" s="1053"/>
      <c r="CD183" s="1053"/>
      <c r="CE183" s="1053"/>
      <c r="CG183" s="1053"/>
      <c r="CH183" s="1053"/>
      <c r="CI183" s="1053"/>
      <c r="CK183" s="1053"/>
      <c r="CL183" s="1053"/>
      <c r="CM183" s="1053"/>
      <c r="CO183" s="1053"/>
      <c r="CP183" s="1053"/>
      <c r="CQ183" s="1053"/>
      <c r="CS183" s="1057"/>
      <c r="CT183" s="1058"/>
      <c r="CU183" s="1058"/>
      <c r="CV183" s="1058"/>
      <c r="CW183" s="1058"/>
      <c r="CX183" s="1059"/>
      <c r="CZ183" s="1037"/>
      <c r="DA183" s="1038"/>
      <c r="DB183" s="1038"/>
      <c r="DC183" s="1038"/>
      <c r="DD183" s="1038"/>
      <c r="DE183" s="1038"/>
      <c r="DF183" s="1038"/>
      <c r="DG183" s="1038"/>
      <c r="DH183" s="1038"/>
      <c r="DI183" s="1038"/>
      <c r="DJ183" s="1038"/>
      <c r="DK183" s="1038"/>
      <c r="DL183" s="1038"/>
      <c r="DM183" s="1038"/>
      <c r="DN183" s="1038"/>
      <c r="DO183" s="1038"/>
      <c r="DP183" s="1038"/>
      <c r="DQ183" s="1038"/>
      <c r="DR183" s="1039"/>
      <c r="DS183" s="444"/>
      <c r="DT183" s="1037"/>
      <c r="DU183" s="1038"/>
      <c r="DV183" s="1038"/>
      <c r="DW183" s="1038"/>
      <c r="DX183" s="1038"/>
      <c r="DY183" s="1038"/>
      <c r="DZ183" s="1038"/>
      <c r="EA183" s="1038"/>
      <c r="EB183" s="1038"/>
      <c r="EC183" s="1038"/>
      <c r="ED183" s="1038"/>
      <c r="EE183" s="1038"/>
      <c r="EF183" s="1038"/>
      <c r="EG183" s="1038"/>
      <c r="EH183" s="1038"/>
      <c r="EI183" s="1038"/>
      <c r="EJ183" s="1038"/>
      <c r="EK183" s="1038"/>
      <c r="EL183" s="1039"/>
    </row>
    <row r="184" spans="1:142" ht="3.75" customHeight="1" x14ac:dyDescent="0.25">
      <c r="A184" s="1053"/>
      <c r="B184" s="1053"/>
      <c r="C184" s="1053"/>
      <c r="E184" s="1053"/>
      <c r="F184" s="1053"/>
      <c r="G184" s="1053"/>
      <c r="I184" s="1053"/>
      <c r="J184" s="1053"/>
      <c r="K184" s="1053"/>
      <c r="M184" s="1053"/>
      <c r="N184" s="1053"/>
      <c r="O184" s="1053"/>
      <c r="Q184" s="1053"/>
      <c r="R184" s="1053"/>
      <c r="S184" s="1053"/>
      <c r="U184" s="1057"/>
      <c r="V184" s="1058"/>
      <c r="W184" s="1058"/>
      <c r="X184" s="1058"/>
      <c r="Y184" s="1059"/>
      <c r="AA184" s="1037"/>
      <c r="AB184" s="1038"/>
      <c r="AC184" s="1038"/>
      <c r="AD184" s="1038"/>
      <c r="AE184" s="1038"/>
      <c r="AF184" s="1038"/>
      <c r="AG184" s="1038"/>
      <c r="AH184" s="1038"/>
      <c r="AI184" s="1038"/>
      <c r="AJ184" s="1038"/>
      <c r="AK184" s="1038"/>
      <c r="AL184" s="1038"/>
      <c r="AM184" s="1038"/>
      <c r="AN184" s="1038"/>
      <c r="AO184" s="1039"/>
      <c r="AP184" s="444"/>
      <c r="AQ184" s="1037"/>
      <c r="AR184" s="1038"/>
      <c r="AS184" s="1038"/>
      <c r="AT184" s="1038"/>
      <c r="AU184" s="1038"/>
      <c r="AV184" s="1038"/>
      <c r="AW184" s="1038"/>
      <c r="AX184" s="1038"/>
      <c r="AY184" s="1038"/>
      <c r="AZ184" s="1038"/>
      <c r="BA184" s="1038"/>
      <c r="BB184" s="1038"/>
      <c r="BC184" s="1038"/>
      <c r="BD184" s="1038"/>
      <c r="BE184" s="1039"/>
      <c r="BG184" s="1081"/>
      <c r="BH184" s="631"/>
      <c r="BI184" s="631"/>
      <c r="BJ184" s="631"/>
      <c r="BK184" s="631"/>
      <c r="BL184" s="1082"/>
      <c r="BM184" s="1081"/>
      <c r="BN184" s="631"/>
      <c r="BO184" s="1082"/>
      <c r="BP184" s="1081"/>
      <c r="BQ184" s="631"/>
      <c r="BR184" s="1082"/>
      <c r="BS184" s="73"/>
      <c r="BU184" s="1053"/>
      <c r="BV184" s="1053"/>
      <c r="BW184" s="1053"/>
      <c r="BY184" s="1053"/>
      <c r="BZ184" s="1053"/>
      <c r="CA184" s="1053"/>
      <c r="CC184" s="1053"/>
      <c r="CD184" s="1053"/>
      <c r="CE184" s="1053"/>
      <c r="CG184" s="1053"/>
      <c r="CH184" s="1053"/>
      <c r="CI184" s="1053"/>
      <c r="CK184" s="1053"/>
      <c r="CL184" s="1053"/>
      <c r="CM184" s="1053"/>
      <c r="CO184" s="1053"/>
      <c r="CP184" s="1053"/>
      <c r="CQ184" s="1053"/>
      <c r="CS184" s="1057"/>
      <c r="CT184" s="1058"/>
      <c r="CU184" s="1058"/>
      <c r="CV184" s="1058"/>
      <c r="CW184" s="1058"/>
      <c r="CX184" s="1059"/>
      <c r="CZ184" s="1037"/>
      <c r="DA184" s="1038"/>
      <c r="DB184" s="1038"/>
      <c r="DC184" s="1038"/>
      <c r="DD184" s="1038"/>
      <c r="DE184" s="1038"/>
      <c r="DF184" s="1038"/>
      <c r="DG184" s="1038"/>
      <c r="DH184" s="1038"/>
      <c r="DI184" s="1038"/>
      <c r="DJ184" s="1038"/>
      <c r="DK184" s="1038"/>
      <c r="DL184" s="1038"/>
      <c r="DM184" s="1038"/>
      <c r="DN184" s="1038"/>
      <c r="DO184" s="1038"/>
      <c r="DP184" s="1038"/>
      <c r="DQ184" s="1038"/>
      <c r="DR184" s="1039"/>
      <c r="DS184" s="444"/>
      <c r="DT184" s="1037"/>
      <c r="DU184" s="1038"/>
      <c r="DV184" s="1038"/>
      <c r="DW184" s="1038"/>
      <c r="DX184" s="1038"/>
      <c r="DY184" s="1038"/>
      <c r="DZ184" s="1038"/>
      <c r="EA184" s="1038"/>
      <c r="EB184" s="1038"/>
      <c r="EC184" s="1038"/>
      <c r="ED184" s="1038"/>
      <c r="EE184" s="1038"/>
      <c r="EF184" s="1038"/>
      <c r="EG184" s="1038"/>
      <c r="EH184" s="1038"/>
      <c r="EI184" s="1038"/>
      <c r="EJ184" s="1038"/>
      <c r="EK184" s="1038"/>
      <c r="EL184" s="1039"/>
    </row>
    <row r="185" spans="1:142" ht="3.75" customHeight="1" x14ac:dyDescent="0.25">
      <c r="U185" s="1060"/>
      <c r="V185" s="1061"/>
      <c r="W185" s="1061"/>
      <c r="X185" s="1061"/>
      <c r="Y185" s="1062"/>
      <c r="AA185" s="1040"/>
      <c r="AB185" s="1041"/>
      <c r="AC185" s="1041"/>
      <c r="AD185" s="1041"/>
      <c r="AE185" s="1041"/>
      <c r="AF185" s="1041"/>
      <c r="AG185" s="1041"/>
      <c r="AH185" s="1041"/>
      <c r="AI185" s="1041"/>
      <c r="AJ185" s="1041"/>
      <c r="AK185" s="1041"/>
      <c r="AL185" s="1041"/>
      <c r="AM185" s="1041"/>
      <c r="AN185" s="1041"/>
      <c r="AO185" s="1042"/>
      <c r="AP185" s="444"/>
      <c r="AQ185" s="1040"/>
      <c r="AR185" s="1041"/>
      <c r="AS185" s="1041"/>
      <c r="AT185" s="1041"/>
      <c r="AU185" s="1041"/>
      <c r="AV185" s="1041"/>
      <c r="AW185" s="1041"/>
      <c r="AX185" s="1041"/>
      <c r="AY185" s="1041"/>
      <c r="AZ185" s="1041"/>
      <c r="BA185" s="1041"/>
      <c r="BB185" s="1041"/>
      <c r="BC185" s="1041"/>
      <c r="BD185" s="1041"/>
      <c r="BE185" s="1042"/>
      <c r="BG185" s="1083"/>
      <c r="BH185" s="1084"/>
      <c r="BI185" s="1084"/>
      <c r="BJ185" s="1084"/>
      <c r="BK185" s="1084"/>
      <c r="BL185" s="1085"/>
      <c r="BM185" s="1083"/>
      <c r="BN185" s="1084"/>
      <c r="BO185" s="1085"/>
      <c r="BP185" s="1083"/>
      <c r="BQ185" s="1084"/>
      <c r="BR185" s="1085"/>
      <c r="BS185" s="73"/>
      <c r="CS185" s="1060"/>
      <c r="CT185" s="1061"/>
      <c r="CU185" s="1061"/>
      <c r="CV185" s="1061"/>
      <c r="CW185" s="1061"/>
      <c r="CX185" s="1062"/>
      <c r="CZ185" s="1040"/>
      <c r="DA185" s="1041"/>
      <c r="DB185" s="1041"/>
      <c r="DC185" s="1041"/>
      <c r="DD185" s="1041"/>
      <c r="DE185" s="1041"/>
      <c r="DF185" s="1041"/>
      <c r="DG185" s="1041"/>
      <c r="DH185" s="1041"/>
      <c r="DI185" s="1041"/>
      <c r="DJ185" s="1041"/>
      <c r="DK185" s="1041"/>
      <c r="DL185" s="1041"/>
      <c r="DM185" s="1041"/>
      <c r="DN185" s="1041"/>
      <c r="DO185" s="1041"/>
      <c r="DP185" s="1041"/>
      <c r="DQ185" s="1041"/>
      <c r="DR185" s="1042"/>
      <c r="DS185" s="444"/>
      <c r="DT185" s="1040"/>
      <c r="DU185" s="1041"/>
      <c r="DV185" s="1041"/>
      <c r="DW185" s="1041"/>
      <c r="DX185" s="1041"/>
      <c r="DY185" s="1041"/>
      <c r="DZ185" s="1041"/>
      <c r="EA185" s="1041"/>
      <c r="EB185" s="1041"/>
      <c r="EC185" s="1041"/>
      <c r="ED185" s="1041"/>
      <c r="EE185" s="1041"/>
      <c r="EF185" s="1041"/>
      <c r="EG185" s="1041"/>
      <c r="EH185" s="1041"/>
      <c r="EI185" s="1041"/>
      <c r="EJ185" s="1041"/>
      <c r="EK185" s="1041"/>
      <c r="EL185" s="1042"/>
    </row>
    <row r="186" spans="1:142" ht="3.75" customHeight="1" x14ac:dyDescent="0.25">
      <c r="U186" s="1054"/>
      <c r="V186" s="1055"/>
      <c r="W186" s="1055"/>
      <c r="X186" s="1055"/>
      <c r="Y186" s="1056"/>
      <c r="AA186" s="1034"/>
      <c r="AB186" s="1096"/>
      <c r="AC186" s="1096"/>
      <c r="AD186" s="1096"/>
      <c r="AE186" s="1096"/>
      <c r="AF186" s="1096"/>
      <c r="AG186" s="1096"/>
      <c r="AH186" s="1096"/>
      <c r="AI186" s="1096"/>
      <c r="AJ186" s="1096"/>
      <c r="AK186" s="1096"/>
      <c r="AL186" s="1096"/>
      <c r="AM186" s="1096"/>
      <c r="AN186" s="1096"/>
      <c r="AO186" s="1036"/>
      <c r="AP186" s="444"/>
      <c r="AQ186" s="1034"/>
      <c r="AR186" s="1096"/>
      <c r="AS186" s="1096"/>
      <c r="AT186" s="1096"/>
      <c r="AU186" s="1096"/>
      <c r="AV186" s="1096"/>
      <c r="AW186" s="1096"/>
      <c r="AX186" s="1096"/>
      <c r="AY186" s="1096"/>
      <c r="AZ186" s="1096"/>
      <c r="BA186" s="1096"/>
      <c r="BB186" s="1096"/>
      <c r="BC186" s="1096"/>
      <c r="BD186" s="1096"/>
      <c r="BE186" s="1036"/>
      <c r="BG186" s="1078"/>
      <c r="BH186" s="1079"/>
      <c r="BI186" s="1079"/>
      <c r="BJ186" s="1079"/>
      <c r="BK186" s="1079"/>
      <c r="BL186" s="1080"/>
      <c r="BM186" s="1078" t="s">
        <v>590</v>
      </c>
      <c r="BN186" s="1079"/>
      <c r="BO186" s="1080"/>
      <c r="BP186" s="1078" t="s">
        <v>589</v>
      </c>
      <c r="BQ186" s="1079"/>
      <c r="BR186" s="1080"/>
      <c r="BS186" s="73"/>
      <c r="CS186" s="1054"/>
      <c r="CT186" s="1055"/>
      <c r="CU186" s="1055"/>
      <c r="CV186" s="1055"/>
      <c r="CW186" s="1055"/>
      <c r="CX186" s="1056"/>
      <c r="CZ186" s="1034"/>
      <c r="DA186" s="1035"/>
      <c r="DB186" s="1035"/>
      <c r="DC186" s="1035"/>
      <c r="DD186" s="1035"/>
      <c r="DE186" s="1035"/>
      <c r="DF186" s="1035"/>
      <c r="DG186" s="1035"/>
      <c r="DH186" s="1035"/>
      <c r="DI186" s="1035"/>
      <c r="DJ186" s="1035"/>
      <c r="DK186" s="1035"/>
      <c r="DL186" s="1035"/>
      <c r="DM186" s="1035"/>
      <c r="DN186" s="1035"/>
      <c r="DO186" s="1035"/>
      <c r="DP186" s="1035"/>
      <c r="DQ186" s="1035"/>
      <c r="DR186" s="1036"/>
      <c r="DS186" s="444"/>
      <c r="DT186" s="1034"/>
      <c r="DU186" s="1035"/>
      <c r="DV186" s="1035"/>
      <c r="DW186" s="1035"/>
      <c r="DX186" s="1035"/>
      <c r="DY186" s="1035"/>
      <c r="DZ186" s="1035"/>
      <c r="EA186" s="1035"/>
      <c r="EB186" s="1035"/>
      <c r="EC186" s="1035"/>
      <c r="ED186" s="1035"/>
      <c r="EE186" s="1035"/>
      <c r="EF186" s="1035"/>
      <c r="EG186" s="1035"/>
      <c r="EH186" s="1035"/>
      <c r="EI186" s="1035"/>
      <c r="EJ186" s="1035"/>
      <c r="EK186" s="1035"/>
      <c r="EL186" s="1036"/>
    </row>
    <row r="187" spans="1:142" ht="3.75" customHeight="1" x14ac:dyDescent="0.25">
      <c r="A187" s="1053"/>
      <c r="B187" s="1053"/>
      <c r="C187" s="1053"/>
      <c r="E187" s="1053"/>
      <c r="F187" s="1053"/>
      <c r="G187" s="1053"/>
      <c r="I187" s="1053"/>
      <c r="J187" s="1053"/>
      <c r="K187" s="1053"/>
      <c r="M187" s="1053"/>
      <c r="N187" s="1053"/>
      <c r="O187" s="1053"/>
      <c r="Q187" s="1053"/>
      <c r="R187" s="1053"/>
      <c r="S187" s="1053"/>
      <c r="U187" s="1057"/>
      <c r="V187" s="1058"/>
      <c r="W187" s="1058"/>
      <c r="X187" s="1058"/>
      <c r="Y187" s="1059"/>
      <c r="AA187" s="1037"/>
      <c r="AB187" s="1038"/>
      <c r="AC187" s="1038"/>
      <c r="AD187" s="1038"/>
      <c r="AE187" s="1038"/>
      <c r="AF187" s="1038"/>
      <c r="AG187" s="1038"/>
      <c r="AH187" s="1038"/>
      <c r="AI187" s="1038"/>
      <c r="AJ187" s="1038"/>
      <c r="AK187" s="1038"/>
      <c r="AL187" s="1038"/>
      <c r="AM187" s="1038"/>
      <c r="AN187" s="1038"/>
      <c r="AO187" s="1039"/>
      <c r="AP187" s="444"/>
      <c r="AQ187" s="1037"/>
      <c r="AR187" s="1038"/>
      <c r="AS187" s="1038"/>
      <c r="AT187" s="1038"/>
      <c r="AU187" s="1038"/>
      <c r="AV187" s="1038"/>
      <c r="AW187" s="1038"/>
      <c r="AX187" s="1038"/>
      <c r="AY187" s="1038"/>
      <c r="AZ187" s="1038"/>
      <c r="BA187" s="1038"/>
      <c r="BB187" s="1038"/>
      <c r="BC187" s="1038"/>
      <c r="BD187" s="1038"/>
      <c r="BE187" s="1039"/>
      <c r="BG187" s="1081"/>
      <c r="BH187" s="631"/>
      <c r="BI187" s="631"/>
      <c r="BJ187" s="631"/>
      <c r="BK187" s="631"/>
      <c r="BL187" s="1082"/>
      <c r="BM187" s="1081"/>
      <c r="BN187" s="631"/>
      <c r="BO187" s="1082"/>
      <c r="BP187" s="1081"/>
      <c r="BQ187" s="631"/>
      <c r="BR187" s="1082"/>
      <c r="BS187" s="73"/>
      <c r="BU187" s="1053"/>
      <c r="BV187" s="1053"/>
      <c r="BW187" s="1053"/>
      <c r="BY187" s="1053"/>
      <c r="BZ187" s="1053"/>
      <c r="CA187" s="1053"/>
      <c r="CC187" s="1053"/>
      <c r="CD187" s="1053"/>
      <c r="CE187" s="1053"/>
      <c r="CG187" s="1053"/>
      <c r="CH187" s="1053"/>
      <c r="CI187" s="1053"/>
      <c r="CK187" s="1053"/>
      <c r="CL187" s="1053"/>
      <c r="CM187" s="1053"/>
      <c r="CO187" s="1053"/>
      <c r="CP187" s="1053"/>
      <c r="CQ187" s="1053"/>
      <c r="CS187" s="1057"/>
      <c r="CT187" s="1058"/>
      <c r="CU187" s="1058"/>
      <c r="CV187" s="1058"/>
      <c r="CW187" s="1058"/>
      <c r="CX187" s="1059"/>
      <c r="CZ187" s="1037"/>
      <c r="DA187" s="1038"/>
      <c r="DB187" s="1038"/>
      <c r="DC187" s="1038"/>
      <c r="DD187" s="1038"/>
      <c r="DE187" s="1038"/>
      <c r="DF187" s="1038"/>
      <c r="DG187" s="1038"/>
      <c r="DH187" s="1038"/>
      <c r="DI187" s="1038"/>
      <c r="DJ187" s="1038"/>
      <c r="DK187" s="1038"/>
      <c r="DL187" s="1038"/>
      <c r="DM187" s="1038"/>
      <c r="DN187" s="1038"/>
      <c r="DO187" s="1038"/>
      <c r="DP187" s="1038"/>
      <c r="DQ187" s="1038"/>
      <c r="DR187" s="1039"/>
      <c r="DS187" s="444"/>
      <c r="DT187" s="1037"/>
      <c r="DU187" s="1038"/>
      <c r="DV187" s="1038"/>
      <c r="DW187" s="1038"/>
      <c r="DX187" s="1038"/>
      <c r="DY187" s="1038"/>
      <c r="DZ187" s="1038"/>
      <c r="EA187" s="1038"/>
      <c r="EB187" s="1038"/>
      <c r="EC187" s="1038"/>
      <c r="ED187" s="1038"/>
      <c r="EE187" s="1038"/>
      <c r="EF187" s="1038"/>
      <c r="EG187" s="1038"/>
      <c r="EH187" s="1038"/>
      <c r="EI187" s="1038"/>
      <c r="EJ187" s="1038"/>
      <c r="EK187" s="1038"/>
      <c r="EL187" s="1039"/>
    </row>
    <row r="188" spans="1:142" ht="3.75" customHeight="1" x14ac:dyDescent="0.25">
      <c r="A188" s="1053"/>
      <c r="B188" s="1053"/>
      <c r="C188" s="1053"/>
      <c r="E188" s="1053"/>
      <c r="F188" s="1053"/>
      <c r="G188" s="1053"/>
      <c r="I188" s="1053"/>
      <c r="J188" s="1053"/>
      <c r="K188" s="1053"/>
      <c r="M188" s="1053"/>
      <c r="N188" s="1053"/>
      <c r="O188" s="1053"/>
      <c r="Q188" s="1053"/>
      <c r="R188" s="1053"/>
      <c r="S188" s="1053"/>
      <c r="U188" s="1057"/>
      <c r="V188" s="1058"/>
      <c r="W188" s="1058"/>
      <c r="X188" s="1058"/>
      <c r="Y188" s="1059"/>
      <c r="AA188" s="1037"/>
      <c r="AB188" s="1038"/>
      <c r="AC188" s="1038"/>
      <c r="AD188" s="1038"/>
      <c r="AE188" s="1038"/>
      <c r="AF188" s="1038"/>
      <c r="AG188" s="1038"/>
      <c r="AH188" s="1038"/>
      <c r="AI188" s="1038"/>
      <c r="AJ188" s="1038"/>
      <c r="AK188" s="1038"/>
      <c r="AL188" s="1038"/>
      <c r="AM188" s="1038"/>
      <c r="AN188" s="1038"/>
      <c r="AO188" s="1039"/>
      <c r="AP188" s="444"/>
      <c r="AQ188" s="1037"/>
      <c r="AR188" s="1038"/>
      <c r="AS188" s="1038"/>
      <c r="AT188" s="1038"/>
      <c r="AU188" s="1038"/>
      <c r="AV188" s="1038"/>
      <c r="AW188" s="1038"/>
      <c r="AX188" s="1038"/>
      <c r="AY188" s="1038"/>
      <c r="AZ188" s="1038"/>
      <c r="BA188" s="1038"/>
      <c r="BB188" s="1038"/>
      <c r="BC188" s="1038"/>
      <c r="BD188" s="1038"/>
      <c r="BE188" s="1039"/>
      <c r="BG188" s="1081"/>
      <c r="BH188" s="631"/>
      <c r="BI188" s="631"/>
      <c r="BJ188" s="631"/>
      <c r="BK188" s="631"/>
      <c r="BL188" s="1082"/>
      <c r="BM188" s="1081"/>
      <c r="BN188" s="631"/>
      <c r="BO188" s="1082"/>
      <c r="BP188" s="1081"/>
      <c r="BQ188" s="631"/>
      <c r="BR188" s="1082"/>
      <c r="BS188" s="73"/>
      <c r="BU188" s="1053"/>
      <c r="BV188" s="1053"/>
      <c r="BW188" s="1053"/>
      <c r="BY188" s="1053"/>
      <c r="BZ188" s="1053"/>
      <c r="CA188" s="1053"/>
      <c r="CC188" s="1053"/>
      <c r="CD188" s="1053"/>
      <c r="CE188" s="1053"/>
      <c r="CG188" s="1053"/>
      <c r="CH188" s="1053"/>
      <c r="CI188" s="1053"/>
      <c r="CK188" s="1053"/>
      <c r="CL188" s="1053"/>
      <c r="CM188" s="1053"/>
      <c r="CO188" s="1053"/>
      <c r="CP188" s="1053"/>
      <c r="CQ188" s="1053"/>
      <c r="CS188" s="1057"/>
      <c r="CT188" s="1058"/>
      <c r="CU188" s="1058"/>
      <c r="CV188" s="1058"/>
      <c r="CW188" s="1058"/>
      <c r="CX188" s="1059"/>
      <c r="CZ188" s="1037"/>
      <c r="DA188" s="1038"/>
      <c r="DB188" s="1038"/>
      <c r="DC188" s="1038"/>
      <c r="DD188" s="1038"/>
      <c r="DE188" s="1038"/>
      <c r="DF188" s="1038"/>
      <c r="DG188" s="1038"/>
      <c r="DH188" s="1038"/>
      <c r="DI188" s="1038"/>
      <c r="DJ188" s="1038"/>
      <c r="DK188" s="1038"/>
      <c r="DL188" s="1038"/>
      <c r="DM188" s="1038"/>
      <c r="DN188" s="1038"/>
      <c r="DO188" s="1038"/>
      <c r="DP188" s="1038"/>
      <c r="DQ188" s="1038"/>
      <c r="DR188" s="1039"/>
      <c r="DS188" s="444"/>
      <c r="DT188" s="1037"/>
      <c r="DU188" s="1038"/>
      <c r="DV188" s="1038"/>
      <c r="DW188" s="1038"/>
      <c r="DX188" s="1038"/>
      <c r="DY188" s="1038"/>
      <c r="DZ188" s="1038"/>
      <c r="EA188" s="1038"/>
      <c r="EB188" s="1038"/>
      <c r="EC188" s="1038"/>
      <c r="ED188" s="1038"/>
      <c r="EE188" s="1038"/>
      <c r="EF188" s="1038"/>
      <c r="EG188" s="1038"/>
      <c r="EH188" s="1038"/>
      <c r="EI188" s="1038"/>
      <c r="EJ188" s="1038"/>
      <c r="EK188" s="1038"/>
      <c r="EL188" s="1039"/>
    </row>
    <row r="189" spans="1:142" ht="3.75" customHeight="1" x14ac:dyDescent="0.25">
      <c r="A189" s="1053"/>
      <c r="B189" s="1053"/>
      <c r="C189" s="1053"/>
      <c r="E189" s="1053"/>
      <c r="F189" s="1053"/>
      <c r="G189" s="1053"/>
      <c r="I189" s="1053"/>
      <c r="J189" s="1053"/>
      <c r="K189" s="1053"/>
      <c r="M189" s="1053"/>
      <c r="N189" s="1053"/>
      <c r="O189" s="1053"/>
      <c r="Q189" s="1053"/>
      <c r="R189" s="1053"/>
      <c r="S189" s="1053"/>
      <c r="U189" s="1057"/>
      <c r="V189" s="1058"/>
      <c r="W189" s="1058"/>
      <c r="X189" s="1058"/>
      <c r="Y189" s="1059"/>
      <c r="AA189" s="1037"/>
      <c r="AB189" s="1038"/>
      <c r="AC189" s="1038"/>
      <c r="AD189" s="1038"/>
      <c r="AE189" s="1038"/>
      <c r="AF189" s="1038"/>
      <c r="AG189" s="1038"/>
      <c r="AH189" s="1038"/>
      <c r="AI189" s="1038"/>
      <c r="AJ189" s="1038"/>
      <c r="AK189" s="1038"/>
      <c r="AL189" s="1038"/>
      <c r="AM189" s="1038"/>
      <c r="AN189" s="1038"/>
      <c r="AO189" s="1039"/>
      <c r="AP189" s="444"/>
      <c r="AQ189" s="1037"/>
      <c r="AR189" s="1038"/>
      <c r="AS189" s="1038"/>
      <c r="AT189" s="1038"/>
      <c r="AU189" s="1038"/>
      <c r="AV189" s="1038"/>
      <c r="AW189" s="1038"/>
      <c r="AX189" s="1038"/>
      <c r="AY189" s="1038"/>
      <c r="AZ189" s="1038"/>
      <c r="BA189" s="1038"/>
      <c r="BB189" s="1038"/>
      <c r="BC189" s="1038"/>
      <c r="BD189" s="1038"/>
      <c r="BE189" s="1039"/>
      <c r="BG189" s="1081"/>
      <c r="BH189" s="631"/>
      <c r="BI189" s="631"/>
      <c r="BJ189" s="631"/>
      <c r="BK189" s="631"/>
      <c r="BL189" s="1082"/>
      <c r="BM189" s="1081"/>
      <c r="BN189" s="631"/>
      <c r="BO189" s="1082"/>
      <c r="BP189" s="1081"/>
      <c r="BQ189" s="631"/>
      <c r="BR189" s="1082"/>
      <c r="BS189" s="73"/>
      <c r="BU189" s="1053"/>
      <c r="BV189" s="1053"/>
      <c r="BW189" s="1053"/>
      <c r="BY189" s="1053"/>
      <c r="BZ189" s="1053"/>
      <c r="CA189" s="1053"/>
      <c r="CC189" s="1053"/>
      <c r="CD189" s="1053"/>
      <c r="CE189" s="1053"/>
      <c r="CG189" s="1053"/>
      <c r="CH189" s="1053"/>
      <c r="CI189" s="1053"/>
      <c r="CK189" s="1053"/>
      <c r="CL189" s="1053"/>
      <c r="CM189" s="1053"/>
      <c r="CO189" s="1053"/>
      <c r="CP189" s="1053"/>
      <c r="CQ189" s="1053"/>
      <c r="CS189" s="1057"/>
      <c r="CT189" s="1058"/>
      <c r="CU189" s="1058"/>
      <c r="CV189" s="1058"/>
      <c r="CW189" s="1058"/>
      <c r="CX189" s="1059"/>
      <c r="CZ189" s="1037"/>
      <c r="DA189" s="1038"/>
      <c r="DB189" s="1038"/>
      <c r="DC189" s="1038"/>
      <c r="DD189" s="1038"/>
      <c r="DE189" s="1038"/>
      <c r="DF189" s="1038"/>
      <c r="DG189" s="1038"/>
      <c r="DH189" s="1038"/>
      <c r="DI189" s="1038"/>
      <c r="DJ189" s="1038"/>
      <c r="DK189" s="1038"/>
      <c r="DL189" s="1038"/>
      <c r="DM189" s="1038"/>
      <c r="DN189" s="1038"/>
      <c r="DO189" s="1038"/>
      <c r="DP189" s="1038"/>
      <c r="DQ189" s="1038"/>
      <c r="DR189" s="1039"/>
      <c r="DS189" s="444"/>
      <c r="DT189" s="1037"/>
      <c r="DU189" s="1038"/>
      <c r="DV189" s="1038"/>
      <c r="DW189" s="1038"/>
      <c r="DX189" s="1038"/>
      <c r="DY189" s="1038"/>
      <c r="DZ189" s="1038"/>
      <c r="EA189" s="1038"/>
      <c r="EB189" s="1038"/>
      <c r="EC189" s="1038"/>
      <c r="ED189" s="1038"/>
      <c r="EE189" s="1038"/>
      <c r="EF189" s="1038"/>
      <c r="EG189" s="1038"/>
      <c r="EH189" s="1038"/>
      <c r="EI189" s="1038"/>
      <c r="EJ189" s="1038"/>
      <c r="EK189" s="1038"/>
      <c r="EL189" s="1039"/>
    </row>
    <row r="190" spans="1:142" ht="3.75" customHeight="1" x14ac:dyDescent="0.25">
      <c r="U190" s="1060"/>
      <c r="V190" s="1061"/>
      <c r="W190" s="1061"/>
      <c r="X190" s="1061"/>
      <c r="Y190" s="1062"/>
      <c r="AA190" s="1040"/>
      <c r="AB190" s="1041"/>
      <c r="AC190" s="1041"/>
      <c r="AD190" s="1041"/>
      <c r="AE190" s="1041"/>
      <c r="AF190" s="1041"/>
      <c r="AG190" s="1041"/>
      <c r="AH190" s="1041"/>
      <c r="AI190" s="1041"/>
      <c r="AJ190" s="1041"/>
      <c r="AK190" s="1041"/>
      <c r="AL190" s="1041"/>
      <c r="AM190" s="1041"/>
      <c r="AN190" s="1041"/>
      <c r="AO190" s="1042"/>
      <c r="AP190" s="444"/>
      <c r="AQ190" s="1040"/>
      <c r="AR190" s="1041"/>
      <c r="AS190" s="1041"/>
      <c r="AT190" s="1041"/>
      <c r="AU190" s="1041"/>
      <c r="AV190" s="1041"/>
      <c r="AW190" s="1041"/>
      <c r="AX190" s="1041"/>
      <c r="AY190" s="1041"/>
      <c r="AZ190" s="1041"/>
      <c r="BA190" s="1041"/>
      <c r="BB190" s="1041"/>
      <c r="BC190" s="1041"/>
      <c r="BD190" s="1041"/>
      <c r="BE190" s="1042"/>
      <c r="BG190" s="1083"/>
      <c r="BH190" s="1084"/>
      <c r="BI190" s="1084"/>
      <c r="BJ190" s="1084"/>
      <c r="BK190" s="1084"/>
      <c r="BL190" s="1085"/>
      <c r="BM190" s="1083"/>
      <c r="BN190" s="1084"/>
      <c r="BO190" s="1085"/>
      <c r="BP190" s="1083"/>
      <c r="BQ190" s="1084"/>
      <c r="BR190" s="1085"/>
      <c r="BS190" s="73"/>
      <c r="CS190" s="1060"/>
      <c r="CT190" s="1061"/>
      <c r="CU190" s="1061"/>
      <c r="CV190" s="1061"/>
      <c r="CW190" s="1061"/>
      <c r="CX190" s="1062"/>
      <c r="CZ190" s="1040"/>
      <c r="DA190" s="1041"/>
      <c r="DB190" s="1041"/>
      <c r="DC190" s="1041"/>
      <c r="DD190" s="1041"/>
      <c r="DE190" s="1041"/>
      <c r="DF190" s="1041"/>
      <c r="DG190" s="1041"/>
      <c r="DH190" s="1041"/>
      <c r="DI190" s="1041"/>
      <c r="DJ190" s="1041"/>
      <c r="DK190" s="1041"/>
      <c r="DL190" s="1041"/>
      <c r="DM190" s="1041"/>
      <c r="DN190" s="1041"/>
      <c r="DO190" s="1041"/>
      <c r="DP190" s="1041"/>
      <c r="DQ190" s="1041"/>
      <c r="DR190" s="1042"/>
      <c r="DS190" s="444"/>
      <c r="DT190" s="1040"/>
      <c r="DU190" s="1041"/>
      <c r="DV190" s="1041"/>
      <c r="DW190" s="1041"/>
      <c r="DX190" s="1041"/>
      <c r="DY190" s="1041"/>
      <c r="DZ190" s="1041"/>
      <c r="EA190" s="1041"/>
      <c r="EB190" s="1041"/>
      <c r="EC190" s="1041"/>
      <c r="ED190" s="1041"/>
      <c r="EE190" s="1041"/>
      <c r="EF190" s="1041"/>
      <c r="EG190" s="1041"/>
      <c r="EH190" s="1041"/>
      <c r="EI190" s="1041"/>
      <c r="EJ190" s="1041"/>
      <c r="EK190" s="1041"/>
      <c r="EL190" s="1042"/>
    </row>
    <row r="191" spans="1:142" ht="3.75" customHeight="1" thickBot="1" x14ac:dyDescent="0.3">
      <c r="A191" s="355"/>
      <c r="B191" s="355"/>
      <c r="C191" s="355"/>
      <c r="D191" s="355"/>
      <c r="E191" s="355"/>
      <c r="F191" s="355"/>
      <c r="G191" s="355"/>
      <c r="H191" s="355"/>
      <c r="I191" s="355"/>
      <c r="J191" s="355"/>
      <c r="K191" s="355"/>
      <c r="L191" s="355"/>
      <c r="M191" s="355"/>
      <c r="N191" s="355"/>
      <c r="O191" s="355"/>
      <c r="P191" s="355"/>
      <c r="Q191" s="355"/>
      <c r="R191" s="355"/>
      <c r="S191" s="355"/>
      <c r="T191" s="355"/>
      <c r="U191" s="355"/>
      <c r="V191" s="355"/>
      <c r="W191" s="355"/>
      <c r="X191" s="355"/>
      <c r="Y191" s="355"/>
      <c r="Z191" s="355"/>
      <c r="AA191" s="355"/>
      <c r="AB191" s="355"/>
      <c r="AC191" s="355"/>
      <c r="AD191" s="355"/>
      <c r="AE191" s="355"/>
      <c r="AF191" s="355"/>
      <c r="AG191" s="355"/>
      <c r="AH191" s="355"/>
      <c r="AI191" s="355"/>
      <c r="AJ191" s="355"/>
      <c r="AK191" s="355"/>
      <c r="AL191" s="355"/>
      <c r="AM191" s="355"/>
      <c r="AN191" s="355"/>
      <c r="AO191" s="355"/>
      <c r="AP191" s="355"/>
      <c r="AQ191" s="355"/>
      <c r="AR191" s="355"/>
      <c r="AS191" s="355"/>
      <c r="AT191" s="355"/>
      <c r="AU191" s="355"/>
      <c r="AV191" s="355"/>
      <c r="AW191" s="355"/>
      <c r="AX191" s="355"/>
      <c r="AY191" s="355"/>
      <c r="AZ191" s="355"/>
      <c r="BA191" s="355"/>
      <c r="BB191" s="355"/>
      <c r="BC191" s="355"/>
      <c r="BD191" s="355"/>
      <c r="BE191" s="355"/>
      <c r="BF191" s="355"/>
      <c r="BG191" s="355"/>
      <c r="BH191" s="355"/>
      <c r="BI191" s="355"/>
      <c r="BJ191" s="355"/>
      <c r="BK191" s="355"/>
      <c r="BL191" s="355"/>
      <c r="BM191" s="355"/>
      <c r="BN191" s="355"/>
      <c r="BO191" s="355"/>
      <c r="BP191" s="355"/>
      <c r="BQ191" s="355"/>
      <c r="BR191" s="355"/>
      <c r="BS191" s="360"/>
      <c r="BT191" s="355"/>
      <c r="BU191" s="355"/>
      <c r="BV191" s="355"/>
      <c r="BW191" s="355"/>
      <c r="BX191" s="355"/>
      <c r="BY191" s="355"/>
      <c r="BZ191" s="355"/>
      <c r="CA191" s="355"/>
      <c r="CB191" s="355"/>
      <c r="CC191" s="355"/>
      <c r="CD191" s="355"/>
      <c r="CE191" s="355"/>
      <c r="CF191" s="355"/>
      <c r="CG191" s="355"/>
      <c r="CH191" s="355"/>
      <c r="CI191" s="355"/>
      <c r="CJ191" s="355"/>
      <c r="CK191" s="355"/>
      <c r="CL191" s="355"/>
      <c r="CM191" s="355"/>
      <c r="CN191" s="355"/>
      <c r="CO191" s="355"/>
      <c r="CP191" s="355"/>
      <c r="CQ191" s="355"/>
      <c r="CR191" s="355"/>
      <c r="CS191" s="355"/>
      <c r="CT191" s="355"/>
      <c r="CU191" s="355"/>
      <c r="CV191" s="355"/>
      <c r="CW191" s="355"/>
      <c r="CX191" s="355"/>
      <c r="CY191" s="355"/>
      <c r="CZ191" s="355"/>
      <c r="DA191" s="355"/>
      <c r="DB191" s="355"/>
      <c r="DC191" s="355"/>
      <c r="DD191" s="355"/>
      <c r="DE191" s="355"/>
      <c r="DF191" s="355"/>
      <c r="DG191" s="355"/>
      <c r="DH191" s="355"/>
      <c r="DI191" s="355"/>
      <c r="DJ191" s="355"/>
      <c r="DK191" s="355"/>
      <c r="DL191" s="355"/>
      <c r="DM191" s="355"/>
      <c r="DN191" s="355"/>
      <c r="DO191" s="355"/>
      <c r="DP191" s="355"/>
      <c r="DQ191" s="355"/>
      <c r="DR191" s="355"/>
      <c r="DS191" s="355"/>
      <c r="DT191" s="355"/>
      <c r="DU191" s="355"/>
      <c r="DV191" s="355"/>
      <c r="DW191" s="355"/>
      <c r="DX191" s="355"/>
      <c r="DY191" s="355"/>
      <c r="DZ191" s="355"/>
      <c r="EA191" s="355"/>
      <c r="EB191" s="355"/>
      <c r="EC191" s="355"/>
      <c r="ED191" s="355"/>
      <c r="EE191" s="355"/>
      <c r="EF191" s="355"/>
      <c r="EG191" s="355"/>
      <c r="EH191" s="355"/>
      <c r="EI191" s="355"/>
      <c r="EJ191" s="355"/>
      <c r="EK191" s="355"/>
      <c r="EL191" s="355"/>
    </row>
    <row r="192" spans="1:142" ht="3.75" customHeight="1" x14ac:dyDescent="0.25">
      <c r="BS192" s="73"/>
    </row>
    <row r="193" spans="1:142" ht="3.75" customHeight="1" x14ac:dyDescent="0.25">
      <c r="A193" s="1103" t="s">
        <v>588</v>
      </c>
      <c r="B193" s="1103"/>
      <c r="C193" s="1103"/>
      <c r="D193" s="1103"/>
      <c r="E193" s="1103"/>
      <c r="F193" s="1103"/>
      <c r="G193" s="1103"/>
      <c r="H193" s="1103"/>
      <c r="I193" s="1103"/>
      <c r="J193" s="1103"/>
      <c r="K193" s="1103"/>
      <c r="L193" s="1103"/>
      <c r="M193" s="1103"/>
      <c r="N193" s="1103"/>
      <c r="O193" s="1103"/>
      <c r="P193" s="1103"/>
      <c r="Q193" s="1103"/>
      <c r="R193" s="1103"/>
      <c r="S193" s="1103"/>
      <c r="T193" s="1103"/>
      <c r="U193" s="1103"/>
      <c r="V193" s="1103"/>
      <c r="W193" s="1103"/>
      <c r="X193" s="1103"/>
      <c r="Y193" s="1103"/>
      <c r="Z193" s="1103"/>
      <c r="AA193" s="1103"/>
      <c r="AB193" s="1103"/>
      <c r="AC193" s="1103"/>
      <c r="AD193" s="1103"/>
      <c r="AQ193" s="1102"/>
      <c r="AR193" s="1102"/>
      <c r="AS193" s="1102"/>
      <c r="AT193" s="1102"/>
      <c r="AU193" s="1102"/>
      <c r="AV193" s="1102"/>
      <c r="AW193" s="1102"/>
      <c r="AX193" s="1102"/>
      <c r="BS193" s="73"/>
      <c r="CM193" s="631" t="s">
        <v>587</v>
      </c>
      <c r="CN193" s="631"/>
      <c r="CO193" s="631"/>
      <c r="CP193" s="631"/>
      <c r="CQ193" s="631"/>
      <c r="CR193" s="631"/>
      <c r="CS193" s="631"/>
      <c r="CT193" s="631"/>
      <c r="CU193" s="631"/>
      <c r="CV193" s="631"/>
      <c r="CW193" s="631"/>
      <c r="CX193" s="631"/>
      <c r="CY193" s="631"/>
      <c r="CZ193" s="631"/>
      <c r="DA193" s="631"/>
      <c r="DB193" s="631"/>
      <c r="DC193" s="631"/>
      <c r="DD193" s="631"/>
      <c r="DE193" s="631"/>
      <c r="DF193" s="631"/>
      <c r="DG193" s="631"/>
      <c r="DH193" s="631"/>
      <c r="DI193" s="631"/>
      <c r="DJ193" s="631"/>
      <c r="DK193" s="631"/>
      <c r="DL193" s="631"/>
      <c r="DM193" s="631"/>
      <c r="DN193" s="631"/>
      <c r="DO193" s="631"/>
      <c r="DP193" s="631"/>
      <c r="DQ193" s="631"/>
      <c r="DR193" s="631"/>
      <c r="DS193" s="631"/>
    </row>
    <row r="194" spans="1:142" ht="3.75" customHeight="1" x14ac:dyDescent="0.25">
      <c r="A194" s="1103"/>
      <c r="B194" s="1103"/>
      <c r="C194" s="1103"/>
      <c r="D194" s="1103"/>
      <c r="E194" s="1103"/>
      <c r="F194" s="1103"/>
      <c r="G194" s="1103"/>
      <c r="H194" s="1103"/>
      <c r="I194" s="1103"/>
      <c r="J194" s="1103"/>
      <c r="K194" s="1103"/>
      <c r="L194" s="1103"/>
      <c r="M194" s="1103"/>
      <c r="N194" s="1103"/>
      <c r="O194" s="1103"/>
      <c r="P194" s="1103"/>
      <c r="Q194" s="1103"/>
      <c r="R194" s="1103"/>
      <c r="S194" s="1103"/>
      <c r="T194" s="1103"/>
      <c r="U194" s="1103"/>
      <c r="V194" s="1103"/>
      <c r="W194" s="1103"/>
      <c r="X194" s="1103"/>
      <c r="Y194" s="1103"/>
      <c r="Z194" s="1103"/>
      <c r="AA194" s="1103"/>
      <c r="AB194" s="1103"/>
      <c r="AC194" s="1103"/>
      <c r="AD194" s="1103"/>
      <c r="AQ194" s="1102"/>
      <c r="AR194" s="1102"/>
      <c r="AS194" s="1102"/>
      <c r="AT194" s="1102"/>
      <c r="AU194" s="1102"/>
      <c r="AV194" s="1102"/>
      <c r="AW194" s="1102"/>
      <c r="AX194" s="1102"/>
      <c r="BS194" s="73"/>
      <c r="CM194" s="631"/>
      <c r="CN194" s="631"/>
      <c r="CO194" s="631"/>
      <c r="CP194" s="631"/>
      <c r="CQ194" s="631"/>
      <c r="CR194" s="631"/>
      <c r="CS194" s="631"/>
      <c r="CT194" s="631"/>
      <c r="CU194" s="631"/>
      <c r="CV194" s="631"/>
      <c r="CW194" s="631"/>
      <c r="CX194" s="631"/>
      <c r="CY194" s="631"/>
      <c r="CZ194" s="631"/>
      <c r="DA194" s="631"/>
      <c r="DB194" s="631"/>
      <c r="DC194" s="631"/>
      <c r="DD194" s="631"/>
      <c r="DE194" s="631"/>
      <c r="DF194" s="631"/>
      <c r="DG194" s="631"/>
      <c r="DH194" s="631"/>
      <c r="DI194" s="631"/>
      <c r="DJ194" s="631"/>
      <c r="DK194" s="631"/>
      <c r="DL194" s="631"/>
      <c r="DM194" s="631"/>
      <c r="DN194" s="631"/>
      <c r="DO194" s="631"/>
      <c r="DP194" s="631"/>
      <c r="DQ194" s="631"/>
      <c r="DR194" s="631"/>
      <c r="DS194" s="631"/>
    </row>
    <row r="195" spans="1:142" ht="3.75" customHeight="1" x14ac:dyDescent="0.25">
      <c r="A195" s="1103"/>
      <c r="B195" s="1103"/>
      <c r="C195" s="1103"/>
      <c r="D195" s="1103"/>
      <c r="E195" s="1103"/>
      <c r="F195" s="1103"/>
      <c r="G195" s="1103"/>
      <c r="H195" s="1103"/>
      <c r="I195" s="1103"/>
      <c r="J195" s="1103"/>
      <c r="K195" s="1103"/>
      <c r="L195" s="1103"/>
      <c r="M195" s="1103"/>
      <c r="N195" s="1103"/>
      <c r="O195" s="1103"/>
      <c r="P195" s="1103"/>
      <c r="Q195" s="1103"/>
      <c r="R195" s="1103"/>
      <c r="S195" s="1103"/>
      <c r="T195" s="1103"/>
      <c r="U195" s="1103"/>
      <c r="V195" s="1103"/>
      <c r="W195" s="1103"/>
      <c r="X195" s="1103"/>
      <c r="Y195" s="1103"/>
      <c r="Z195" s="1103"/>
      <c r="AA195" s="1103"/>
      <c r="AB195" s="1103"/>
      <c r="AC195" s="1103"/>
      <c r="AD195" s="1103"/>
      <c r="AQ195" s="1102"/>
      <c r="AR195" s="1102"/>
      <c r="AS195" s="1102"/>
      <c r="AT195" s="1102"/>
      <c r="AU195" s="1102"/>
      <c r="AV195" s="1102"/>
      <c r="AW195" s="1102"/>
      <c r="AX195" s="1102"/>
      <c r="BS195" s="73"/>
      <c r="CM195" s="631"/>
      <c r="CN195" s="631"/>
      <c r="CO195" s="631"/>
      <c r="CP195" s="631"/>
      <c r="CQ195" s="631"/>
      <c r="CR195" s="631"/>
      <c r="CS195" s="631"/>
      <c r="CT195" s="631"/>
      <c r="CU195" s="631"/>
      <c r="CV195" s="631"/>
      <c r="CW195" s="631"/>
      <c r="CX195" s="631"/>
      <c r="CY195" s="631"/>
      <c r="CZ195" s="631"/>
      <c r="DA195" s="631"/>
      <c r="DB195" s="631"/>
      <c r="DC195" s="631"/>
      <c r="DD195" s="631"/>
      <c r="DE195" s="631"/>
      <c r="DF195" s="631"/>
      <c r="DG195" s="631"/>
      <c r="DH195" s="631"/>
      <c r="DI195" s="631"/>
      <c r="DJ195" s="631"/>
      <c r="DK195" s="631"/>
      <c r="DL195" s="631"/>
      <c r="DM195" s="631"/>
      <c r="DN195" s="631"/>
      <c r="DO195" s="631"/>
      <c r="DP195" s="631"/>
      <c r="DQ195" s="631"/>
      <c r="DR195" s="631"/>
      <c r="DS195" s="631"/>
    </row>
    <row r="196" spans="1:142" ht="3.75" customHeight="1" x14ac:dyDescent="0.25">
      <c r="BS196" s="73"/>
    </row>
    <row r="197" spans="1:142" ht="3.75" customHeight="1" x14ac:dyDescent="0.25">
      <c r="A197" s="1103" t="s">
        <v>586</v>
      </c>
      <c r="B197" s="1103"/>
      <c r="C197" s="1103"/>
      <c r="D197" s="1103"/>
      <c r="E197" s="1103"/>
      <c r="F197" s="1103"/>
      <c r="G197" s="1103"/>
      <c r="H197" s="1103"/>
      <c r="I197" s="1103"/>
      <c r="J197" s="1103"/>
      <c r="K197" s="1103"/>
      <c r="L197" s="1103"/>
      <c r="M197" s="1103"/>
      <c r="N197" s="1103"/>
      <c r="O197" s="1103"/>
      <c r="P197" s="1103"/>
      <c r="Q197" s="1103"/>
      <c r="R197" s="1103"/>
      <c r="S197" s="1103"/>
      <c r="T197" s="1103"/>
      <c r="U197" s="1103"/>
      <c r="V197" s="1103"/>
      <c r="W197" s="1103"/>
      <c r="X197" s="1103"/>
      <c r="Y197" s="1103"/>
      <c r="Z197" s="1103"/>
      <c r="AA197" s="1103"/>
      <c r="AB197" s="1103"/>
      <c r="AC197" s="1103"/>
      <c r="AD197" s="1103"/>
      <c r="AE197" s="1103"/>
      <c r="AF197" s="1103"/>
      <c r="AG197" s="1103"/>
      <c r="AH197" s="1103"/>
      <c r="AI197" s="1103"/>
      <c r="AJ197" s="1103"/>
      <c r="AK197" s="1103"/>
      <c r="AL197" s="1103"/>
      <c r="AM197" s="1103"/>
      <c r="AN197" s="1103"/>
      <c r="AQ197" s="1102"/>
      <c r="AR197" s="1102"/>
      <c r="AS197" s="1102"/>
      <c r="AT197" s="1102"/>
      <c r="AU197" s="1102"/>
      <c r="AV197" s="1102"/>
      <c r="AW197" s="1102"/>
      <c r="AX197" s="1102"/>
      <c r="BS197" s="73"/>
      <c r="CI197" s="631" t="s">
        <v>584</v>
      </c>
      <c r="CJ197" s="631"/>
      <c r="CK197" s="631"/>
      <c r="CL197" s="631"/>
      <c r="CM197" s="631"/>
      <c r="CN197" s="631"/>
      <c r="CO197" s="631"/>
      <c r="CP197" s="361"/>
      <c r="CQ197" s="1102"/>
      <c r="CR197" s="1102"/>
      <c r="CS197" s="1102"/>
      <c r="CT197" s="1102"/>
      <c r="CU197" s="1102"/>
      <c r="CV197" s="1102"/>
      <c r="CW197" s="1102"/>
      <c r="CX197" s="1102"/>
      <c r="CZ197" s="361"/>
      <c r="DA197" s="361"/>
      <c r="DB197" s="361"/>
      <c r="DC197" s="361"/>
      <c r="DD197" s="631" t="s">
        <v>398</v>
      </c>
      <c r="DE197" s="631"/>
      <c r="DF197" s="631"/>
      <c r="DG197" s="631"/>
      <c r="DH197" s="631"/>
      <c r="DI197" s="631"/>
      <c r="DJ197" s="631"/>
      <c r="DK197" s="361"/>
      <c r="DL197" s="1102"/>
      <c r="DM197" s="1102"/>
      <c r="DN197" s="1102"/>
      <c r="DO197" s="1102"/>
      <c r="DP197" s="1102"/>
      <c r="DQ197" s="1102"/>
      <c r="DR197" s="1102"/>
      <c r="DS197" s="1102"/>
      <c r="DT197" s="1102"/>
      <c r="DU197" s="1102"/>
      <c r="DV197" s="1102"/>
      <c r="DW197" s="1102"/>
    </row>
    <row r="198" spans="1:142" ht="3.75" customHeight="1" x14ac:dyDescent="0.25">
      <c r="A198" s="1103"/>
      <c r="B198" s="1103"/>
      <c r="C198" s="1103"/>
      <c r="D198" s="1103"/>
      <c r="E198" s="1103"/>
      <c r="F198" s="1103"/>
      <c r="G198" s="1103"/>
      <c r="H198" s="1103"/>
      <c r="I198" s="1103"/>
      <c r="J198" s="1103"/>
      <c r="K198" s="1103"/>
      <c r="L198" s="1103"/>
      <c r="M198" s="1103"/>
      <c r="N198" s="1103"/>
      <c r="O198" s="1103"/>
      <c r="P198" s="1103"/>
      <c r="Q198" s="1103"/>
      <c r="R198" s="1103"/>
      <c r="S198" s="1103"/>
      <c r="T198" s="1103"/>
      <c r="U198" s="1103"/>
      <c r="V198" s="1103"/>
      <c r="W198" s="1103"/>
      <c r="X198" s="1103"/>
      <c r="Y198" s="1103"/>
      <c r="Z198" s="1103"/>
      <c r="AA198" s="1103"/>
      <c r="AB198" s="1103"/>
      <c r="AC198" s="1103"/>
      <c r="AD198" s="1103"/>
      <c r="AE198" s="1103"/>
      <c r="AF198" s="1103"/>
      <c r="AG198" s="1103"/>
      <c r="AH198" s="1103"/>
      <c r="AI198" s="1103"/>
      <c r="AJ198" s="1103"/>
      <c r="AK198" s="1103"/>
      <c r="AL198" s="1103"/>
      <c r="AM198" s="1103"/>
      <c r="AN198" s="1103"/>
      <c r="AQ198" s="1102"/>
      <c r="AR198" s="1102"/>
      <c r="AS198" s="1102"/>
      <c r="AT198" s="1102"/>
      <c r="AU198" s="1102"/>
      <c r="AV198" s="1102"/>
      <c r="AW198" s="1102"/>
      <c r="AX198" s="1102"/>
      <c r="BS198" s="73"/>
      <c r="CI198" s="631"/>
      <c r="CJ198" s="631"/>
      <c r="CK198" s="631"/>
      <c r="CL198" s="631"/>
      <c r="CM198" s="631"/>
      <c r="CN198" s="631"/>
      <c r="CO198" s="631"/>
      <c r="CP198" s="361"/>
      <c r="CQ198" s="1102"/>
      <c r="CR198" s="1102"/>
      <c r="CS198" s="1102"/>
      <c r="CT198" s="1102"/>
      <c r="CU198" s="1102"/>
      <c r="CV198" s="1102"/>
      <c r="CW198" s="1102"/>
      <c r="CX198" s="1102"/>
      <c r="CZ198" s="361"/>
      <c r="DA198" s="361"/>
      <c r="DB198" s="361"/>
      <c r="DC198" s="361"/>
      <c r="DD198" s="631"/>
      <c r="DE198" s="631"/>
      <c r="DF198" s="631"/>
      <c r="DG198" s="631"/>
      <c r="DH198" s="631"/>
      <c r="DI198" s="631"/>
      <c r="DJ198" s="631"/>
      <c r="DK198" s="361"/>
      <c r="DL198" s="1102"/>
      <c r="DM198" s="1102"/>
      <c r="DN198" s="1102"/>
      <c r="DO198" s="1102"/>
      <c r="DP198" s="1102"/>
      <c r="DQ198" s="1102"/>
      <c r="DR198" s="1102"/>
      <c r="DS198" s="1102"/>
      <c r="DT198" s="1102"/>
      <c r="DU198" s="1102"/>
      <c r="DV198" s="1102"/>
      <c r="DW198" s="1102"/>
    </row>
    <row r="199" spans="1:142" ht="3.75" customHeight="1" x14ac:dyDescent="0.25">
      <c r="A199" s="1103"/>
      <c r="B199" s="1103"/>
      <c r="C199" s="1103"/>
      <c r="D199" s="1103"/>
      <c r="E199" s="1103"/>
      <c r="F199" s="1103"/>
      <c r="G199" s="1103"/>
      <c r="H199" s="1103"/>
      <c r="I199" s="1103"/>
      <c r="J199" s="1103"/>
      <c r="K199" s="1103"/>
      <c r="L199" s="1103"/>
      <c r="M199" s="1103"/>
      <c r="N199" s="1103"/>
      <c r="O199" s="1103"/>
      <c r="P199" s="1103"/>
      <c r="Q199" s="1103"/>
      <c r="R199" s="1103"/>
      <c r="S199" s="1103"/>
      <c r="T199" s="1103"/>
      <c r="U199" s="1103"/>
      <c r="V199" s="1103"/>
      <c r="W199" s="1103"/>
      <c r="X199" s="1103"/>
      <c r="Y199" s="1103"/>
      <c r="Z199" s="1103"/>
      <c r="AA199" s="1103"/>
      <c r="AB199" s="1103"/>
      <c r="AC199" s="1103"/>
      <c r="AD199" s="1103"/>
      <c r="AE199" s="1103"/>
      <c r="AF199" s="1103"/>
      <c r="AG199" s="1103"/>
      <c r="AH199" s="1103"/>
      <c r="AI199" s="1103"/>
      <c r="AJ199" s="1103"/>
      <c r="AK199" s="1103"/>
      <c r="AL199" s="1103"/>
      <c r="AM199" s="1103"/>
      <c r="AN199" s="1103"/>
      <c r="AQ199" s="1102"/>
      <c r="AR199" s="1102"/>
      <c r="AS199" s="1102"/>
      <c r="AT199" s="1102"/>
      <c r="AU199" s="1102"/>
      <c r="AV199" s="1102"/>
      <c r="AW199" s="1102"/>
      <c r="AX199" s="1102"/>
      <c r="BS199" s="73"/>
      <c r="CI199" s="631"/>
      <c r="CJ199" s="631"/>
      <c r="CK199" s="631"/>
      <c r="CL199" s="631"/>
      <c r="CM199" s="631"/>
      <c r="CN199" s="631"/>
      <c r="CO199" s="631"/>
      <c r="CP199" s="361"/>
      <c r="CQ199" s="1102"/>
      <c r="CR199" s="1102"/>
      <c r="CS199" s="1102"/>
      <c r="CT199" s="1102"/>
      <c r="CU199" s="1102"/>
      <c r="CV199" s="1102"/>
      <c r="CW199" s="1102"/>
      <c r="CX199" s="1102"/>
      <c r="CZ199" s="361"/>
      <c r="DA199" s="361"/>
      <c r="DB199" s="361"/>
      <c r="DC199" s="361"/>
      <c r="DD199" s="631"/>
      <c r="DE199" s="631"/>
      <c r="DF199" s="631"/>
      <c r="DG199" s="631"/>
      <c r="DH199" s="631"/>
      <c r="DI199" s="631"/>
      <c r="DJ199" s="631"/>
      <c r="DK199" s="361"/>
      <c r="DL199" s="1102"/>
      <c r="DM199" s="1102"/>
      <c r="DN199" s="1102"/>
      <c r="DO199" s="1102"/>
      <c r="DP199" s="1102"/>
      <c r="DQ199" s="1102"/>
      <c r="DR199" s="1102"/>
      <c r="DS199" s="1102"/>
      <c r="DT199" s="1102"/>
      <c r="DU199" s="1102"/>
      <c r="DV199" s="1102"/>
      <c r="DW199" s="1102"/>
    </row>
    <row r="200" spans="1:142" ht="3.75" customHeight="1" x14ac:dyDescent="0.25">
      <c r="BS200" s="73"/>
    </row>
    <row r="201" spans="1:142" ht="3.75" customHeight="1" x14ac:dyDescent="0.25">
      <c r="A201" s="1103" t="s">
        <v>585</v>
      </c>
      <c r="B201" s="1103"/>
      <c r="C201" s="1103"/>
      <c r="D201" s="1103"/>
      <c r="E201" s="1103"/>
      <c r="F201" s="1103"/>
      <c r="G201" s="1103"/>
      <c r="H201" s="1103"/>
      <c r="I201" s="1103"/>
      <c r="J201" s="1103"/>
      <c r="K201" s="1103"/>
      <c r="L201" s="1103"/>
      <c r="M201" s="1103"/>
      <c r="N201" s="1103"/>
      <c r="O201" s="1103"/>
      <c r="P201" s="1103"/>
      <c r="Q201" s="1103"/>
      <c r="R201" s="1103"/>
      <c r="S201" s="1103"/>
      <c r="T201" s="1103"/>
      <c r="U201" s="1103"/>
      <c r="AQ201" s="1102"/>
      <c r="AR201" s="1102"/>
      <c r="AS201" s="1102"/>
      <c r="AT201" s="1102"/>
      <c r="AU201" s="1102"/>
      <c r="AV201" s="1102"/>
      <c r="AW201" s="1102"/>
      <c r="AX201" s="1102"/>
      <c r="BS201" s="73"/>
      <c r="CI201" s="631" t="s">
        <v>584</v>
      </c>
      <c r="CJ201" s="631"/>
      <c r="CK201" s="631"/>
      <c r="CL201" s="631"/>
      <c r="CM201" s="631"/>
      <c r="CN201" s="631"/>
      <c r="CO201" s="631"/>
      <c r="CP201" s="361"/>
      <c r="CQ201" s="1102"/>
      <c r="CR201" s="1102"/>
      <c r="CS201" s="1102"/>
      <c r="CT201" s="1102"/>
      <c r="CU201" s="1102"/>
      <c r="CV201" s="1102"/>
      <c r="CW201" s="1102"/>
      <c r="CX201" s="1102"/>
      <c r="CZ201" s="361"/>
      <c r="DA201" s="361"/>
      <c r="DB201" s="361"/>
      <c r="DC201" s="361"/>
      <c r="DD201" s="631" t="s">
        <v>398</v>
      </c>
      <c r="DE201" s="631"/>
      <c r="DF201" s="631"/>
      <c r="DG201" s="631"/>
      <c r="DH201" s="631"/>
      <c r="DI201" s="631"/>
      <c r="DJ201" s="631"/>
      <c r="DK201" s="361"/>
      <c r="DL201" s="1102"/>
      <c r="DM201" s="1102"/>
      <c r="DN201" s="1102"/>
      <c r="DO201" s="1102"/>
      <c r="DP201" s="1102"/>
      <c r="DQ201" s="1102"/>
      <c r="DR201" s="1102"/>
      <c r="DS201" s="1102"/>
      <c r="DT201" s="1102"/>
      <c r="DU201" s="1102"/>
      <c r="DV201" s="1102"/>
      <c r="DW201" s="1102"/>
    </row>
    <row r="202" spans="1:142" ht="3.75" customHeight="1" x14ac:dyDescent="0.25">
      <c r="A202" s="1103"/>
      <c r="B202" s="1103"/>
      <c r="C202" s="1103"/>
      <c r="D202" s="1103"/>
      <c r="E202" s="1103"/>
      <c r="F202" s="1103"/>
      <c r="G202" s="1103"/>
      <c r="H202" s="1103"/>
      <c r="I202" s="1103"/>
      <c r="J202" s="1103"/>
      <c r="K202" s="1103"/>
      <c r="L202" s="1103"/>
      <c r="M202" s="1103"/>
      <c r="N202" s="1103"/>
      <c r="O202" s="1103"/>
      <c r="P202" s="1103"/>
      <c r="Q202" s="1103"/>
      <c r="R202" s="1103"/>
      <c r="S202" s="1103"/>
      <c r="T202" s="1103"/>
      <c r="U202" s="1103"/>
      <c r="AQ202" s="1102"/>
      <c r="AR202" s="1102"/>
      <c r="AS202" s="1102"/>
      <c r="AT202" s="1102"/>
      <c r="AU202" s="1102"/>
      <c r="AV202" s="1102"/>
      <c r="AW202" s="1102"/>
      <c r="AX202" s="1102"/>
      <c r="BS202" s="73"/>
      <c r="CI202" s="631"/>
      <c r="CJ202" s="631"/>
      <c r="CK202" s="631"/>
      <c r="CL202" s="631"/>
      <c r="CM202" s="631"/>
      <c r="CN202" s="631"/>
      <c r="CO202" s="631"/>
      <c r="CP202" s="361"/>
      <c r="CQ202" s="1102"/>
      <c r="CR202" s="1102"/>
      <c r="CS202" s="1102"/>
      <c r="CT202" s="1102"/>
      <c r="CU202" s="1102"/>
      <c r="CV202" s="1102"/>
      <c r="CW202" s="1102"/>
      <c r="CX202" s="1102"/>
      <c r="CZ202" s="361"/>
      <c r="DA202" s="361"/>
      <c r="DB202" s="361"/>
      <c r="DC202" s="361"/>
      <c r="DD202" s="631"/>
      <c r="DE202" s="631"/>
      <c r="DF202" s="631"/>
      <c r="DG202" s="631"/>
      <c r="DH202" s="631"/>
      <c r="DI202" s="631"/>
      <c r="DJ202" s="631"/>
      <c r="DK202" s="361"/>
      <c r="DL202" s="1102"/>
      <c r="DM202" s="1102"/>
      <c r="DN202" s="1102"/>
      <c r="DO202" s="1102"/>
      <c r="DP202" s="1102"/>
      <c r="DQ202" s="1102"/>
      <c r="DR202" s="1102"/>
      <c r="DS202" s="1102"/>
      <c r="DT202" s="1102"/>
      <c r="DU202" s="1102"/>
      <c r="DV202" s="1102"/>
      <c r="DW202" s="1102"/>
    </row>
    <row r="203" spans="1:142" ht="3.75" customHeight="1" x14ac:dyDescent="0.25">
      <c r="A203" s="1103"/>
      <c r="B203" s="1103"/>
      <c r="C203" s="1103"/>
      <c r="D203" s="1103"/>
      <c r="E203" s="1103"/>
      <c r="F203" s="1103"/>
      <c r="G203" s="1103"/>
      <c r="H203" s="1103"/>
      <c r="I203" s="1103"/>
      <c r="J203" s="1103"/>
      <c r="K203" s="1103"/>
      <c r="L203" s="1103"/>
      <c r="M203" s="1103"/>
      <c r="N203" s="1103"/>
      <c r="O203" s="1103"/>
      <c r="P203" s="1103"/>
      <c r="Q203" s="1103"/>
      <c r="R203" s="1103"/>
      <c r="S203" s="1103"/>
      <c r="T203" s="1103"/>
      <c r="U203" s="1103"/>
      <c r="AQ203" s="1102"/>
      <c r="AR203" s="1102"/>
      <c r="AS203" s="1102"/>
      <c r="AT203" s="1102"/>
      <c r="AU203" s="1102"/>
      <c r="AV203" s="1102"/>
      <c r="AW203" s="1102"/>
      <c r="AX203" s="1102"/>
      <c r="BS203" s="73"/>
      <c r="CI203" s="631"/>
      <c r="CJ203" s="631"/>
      <c r="CK203" s="631"/>
      <c r="CL203" s="631"/>
      <c r="CM203" s="631"/>
      <c r="CN203" s="631"/>
      <c r="CO203" s="631"/>
      <c r="CP203" s="361"/>
      <c r="CQ203" s="1102"/>
      <c r="CR203" s="1102"/>
      <c r="CS203" s="1102"/>
      <c r="CT203" s="1102"/>
      <c r="CU203" s="1102"/>
      <c r="CV203" s="1102"/>
      <c r="CW203" s="1102"/>
      <c r="CX203" s="1102"/>
      <c r="CZ203" s="361"/>
      <c r="DA203" s="361"/>
      <c r="DB203" s="361"/>
      <c r="DC203" s="361"/>
      <c r="DD203" s="631"/>
      <c r="DE203" s="631"/>
      <c r="DF203" s="631"/>
      <c r="DG203" s="631"/>
      <c r="DH203" s="631"/>
      <c r="DI203" s="631"/>
      <c r="DJ203" s="631"/>
      <c r="DK203" s="361"/>
      <c r="DL203" s="1102"/>
      <c r="DM203" s="1102"/>
      <c r="DN203" s="1102"/>
      <c r="DO203" s="1102"/>
      <c r="DP203" s="1102"/>
      <c r="DQ203" s="1102"/>
      <c r="DR203" s="1102"/>
      <c r="DS203" s="1102"/>
      <c r="DT203" s="1102"/>
      <c r="DU203" s="1102"/>
      <c r="DV203" s="1102"/>
      <c r="DW203" s="1102"/>
    </row>
    <row r="204" spans="1:142" ht="3.75" customHeight="1" thickBot="1" x14ac:dyDescent="0.3">
      <c r="A204" s="355"/>
      <c r="B204" s="355"/>
      <c r="C204" s="355"/>
      <c r="D204" s="355"/>
      <c r="E204" s="355"/>
      <c r="F204" s="355"/>
      <c r="G204" s="355"/>
      <c r="H204" s="355"/>
      <c r="I204" s="355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55"/>
      <c r="AA204" s="355"/>
      <c r="AB204" s="355"/>
      <c r="AC204" s="355"/>
      <c r="AD204" s="355"/>
      <c r="AE204" s="355"/>
      <c r="AF204" s="355"/>
      <c r="AG204" s="355"/>
      <c r="AH204" s="355"/>
      <c r="AI204" s="355"/>
      <c r="AJ204" s="355"/>
      <c r="AK204" s="355"/>
      <c r="AL204" s="355"/>
      <c r="AM204" s="355"/>
      <c r="AN204" s="355"/>
      <c r="AO204" s="355"/>
      <c r="AP204" s="355"/>
      <c r="AQ204" s="355"/>
      <c r="AR204" s="355"/>
      <c r="AS204" s="355"/>
      <c r="AT204" s="355"/>
      <c r="AU204" s="355"/>
      <c r="AV204" s="355"/>
      <c r="AW204" s="355"/>
      <c r="AX204" s="355"/>
      <c r="AY204" s="355"/>
      <c r="AZ204" s="355"/>
      <c r="BA204" s="355"/>
      <c r="BB204" s="355"/>
      <c r="BC204" s="355"/>
      <c r="BD204" s="355"/>
      <c r="BE204" s="355"/>
      <c r="BF204" s="355"/>
      <c r="BG204" s="355"/>
      <c r="BH204" s="355"/>
      <c r="BI204" s="355"/>
      <c r="BJ204" s="355"/>
      <c r="BK204" s="355"/>
      <c r="BL204" s="355"/>
      <c r="BM204" s="355"/>
      <c r="BN204" s="355"/>
      <c r="BO204" s="355"/>
      <c r="BP204" s="355"/>
      <c r="BQ204" s="355"/>
      <c r="BR204" s="355"/>
      <c r="BS204" s="360"/>
      <c r="BT204" s="355"/>
      <c r="BU204" s="355"/>
      <c r="BV204" s="355"/>
      <c r="BW204" s="355"/>
      <c r="BX204" s="355"/>
      <c r="BY204" s="355"/>
      <c r="BZ204" s="355"/>
      <c r="CA204" s="355"/>
      <c r="CB204" s="355"/>
      <c r="CC204" s="355"/>
      <c r="CD204" s="355"/>
      <c r="CE204" s="355"/>
      <c r="CF204" s="355"/>
      <c r="CG204" s="355"/>
      <c r="CH204" s="355"/>
      <c r="CI204" s="355"/>
      <c r="CJ204" s="355"/>
      <c r="CK204" s="355"/>
      <c r="CL204" s="355"/>
      <c r="CM204" s="355"/>
      <c r="CN204" s="355"/>
      <c r="CO204" s="355"/>
      <c r="CP204" s="355"/>
      <c r="CQ204" s="355"/>
      <c r="CR204" s="355"/>
      <c r="CS204" s="355"/>
      <c r="CT204" s="355"/>
      <c r="CU204" s="355"/>
      <c r="CV204" s="355"/>
      <c r="CW204" s="355"/>
      <c r="CX204" s="355"/>
      <c r="CY204" s="355"/>
      <c r="CZ204" s="355"/>
      <c r="DA204" s="355"/>
      <c r="DB204" s="355"/>
      <c r="DC204" s="355"/>
      <c r="DD204" s="355"/>
      <c r="DE204" s="355"/>
      <c r="DF204" s="355"/>
      <c r="DG204" s="355"/>
      <c r="DH204" s="355"/>
      <c r="DI204" s="355"/>
      <c r="DJ204" s="355"/>
      <c r="DK204" s="355"/>
      <c r="DL204" s="355"/>
      <c r="DM204" s="355"/>
      <c r="DN204" s="355"/>
      <c r="DO204" s="355"/>
      <c r="DP204" s="355"/>
      <c r="DQ204" s="355"/>
      <c r="DR204" s="355"/>
      <c r="DS204" s="355"/>
      <c r="DT204" s="355"/>
      <c r="DU204" s="355"/>
      <c r="DV204" s="355"/>
      <c r="DW204" s="355"/>
      <c r="DX204" s="355"/>
      <c r="DY204" s="355"/>
      <c r="DZ204" s="355"/>
      <c r="EA204" s="355"/>
      <c r="EB204" s="355"/>
      <c r="EC204" s="355"/>
      <c r="ED204" s="355"/>
      <c r="EE204" s="355"/>
      <c r="EF204" s="355"/>
      <c r="EG204" s="355"/>
      <c r="EH204" s="355"/>
      <c r="EI204" s="355"/>
      <c r="EJ204" s="355"/>
      <c r="EK204" s="355"/>
      <c r="EL204" s="355"/>
    </row>
    <row r="206" spans="1:142" ht="3.75" customHeight="1" x14ac:dyDescent="0.25">
      <c r="A206" s="1077" t="s">
        <v>583</v>
      </c>
      <c r="B206" s="1077"/>
      <c r="C206" s="1077"/>
      <c r="D206" s="1077"/>
      <c r="E206" s="1077"/>
      <c r="F206" s="1077"/>
      <c r="G206" s="1077"/>
      <c r="H206" s="1077"/>
      <c r="I206" s="1077"/>
      <c r="J206" s="1077"/>
      <c r="K206" s="1077"/>
      <c r="L206" s="1077"/>
      <c r="M206" s="1077"/>
      <c r="N206" s="1077"/>
      <c r="O206" s="1077"/>
      <c r="P206" s="1077"/>
      <c r="Q206" s="1077"/>
      <c r="R206" s="1077"/>
      <c r="S206" s="1077"/>
      <c r="T206" s="1077"/>
      <c r="U206" s="1077"/>
      <c r="V206" s="1077"/>
      <c r="W206" s="1077"/>
      <c r="X206" s="1077"/>
      <c r="BU206" s="1102"/>
      <c r="BV206" s="1102"/>
      <c r="BW206" s="1102"/>
      <c r="BX206" s="1102"/>
      <c r="BY206" s="1077" t="s">
        <v>582</v>
      </c>
      <c r="BZ206" s="1077"/>
      <c r="CA206" s="1077"/>
      <c r="CB206" s="1077"/>
      <c r="CC206" s="1077"/>
      <c r="CD206" s="1077"/>
      <c r="CE206" s="1077"/>
      <c r="CF206" s="1077"/>
      <c r="CG206" s="1077"/>
      <c r="CH206" s="1077"/>
      <c r="CI206" s="1077"/>
      <c r="CJ206" s="1077"/>
      <c r="CK206" s="1077"/>
      <c r="CL206" s="1077"/>
      <c r="CM206" s="1077"/>
      <c r="CN206" s="1077"/>
      <c r="CO206" s="1077"/>
      <c r="CP206" s="1077"/>
      <c r="CQ206" s="1077"/>
      <c r="CR206" s="1077"/>
      <c r="CS206" s="1077"/>
      <c r="CT206" s="1077"/>
      <c r="CU206" s="1077"/>
      <c r="CV206" s="1077"/>
      <c r="CW206" s="1077"/>
      <c r="CX206" s="1077"/>
      <c r="CY206" s="1077"/>
      <c r="DK206" s="1102"/>
      <c r="DL206" s="1102"/>
      <c r="DM206" s="1102"/>
      <c r="DN206" s="1102"/>
      <c r="DO206" s="1077" t="s">
        <v>581</v>
      </c>
      <c r="DP206" s="1077"/>
      <c r="DQ206" s="1077"/>
      <c r="DR206" s="1077"/>
      <c r="DS206" s="1077"/>
      <c r="DT206" s="1077"/>
      <c r="DU206" s="1077"/>
      <c r="DV206" s="1077"/>
      <c r="DW206" s="1077"/>
      <c r="DX206" s="1077"/>
      <c r="DY206" s="1077"/>
      <c r="DZ206" s="1077"/>
      <c r="EA206" s="1077"/>
      <c r="EB206" s="1077"/>
      <c r="EC206" s="1077"/>
      <c r="ED206" s="1077"/>
      <c r="EE206" s="1077"/>
    </row>
    <row r="207" spans="1:142" ht="3.75" customHeight="1" x14ac:dyDescent="0.25">
      <c r="A207" s="1077"/>
      <c r="B207" s="1077"/>
      <c r="C207" s="1077"/>
      <c r="D207" s="1077"/>
      <c r="E207" s="1077"/>
      <c r="F207" s="1077"/>
      <c r="G207" s="1077"/>
      <c r="H207" s="1077"/>
      <c r="I207" s="1077"/>
      <c r="J207" s="1077"/>
      <c r="K207" s="1077"/>
      <c r="L207" s="1077"/>
      <c r="M207" s="1077"/>
      <c r="N207" s="1077"/>
      <c r="O207" s="1077"/>
      <c r="P207" s="1077"/>
      <c r="Q207" s="1077"/>
      <c r="R207" s="1077"/>
      <c r="S207" s="1077"/>
      <c r="T207" s="1077"/>
      <c r="U207" s="1077"/>
      <c r="V207" s="1077"/>
      <c r="W207" s="1077"/>
      <c r="X207" s="1077"/>
      <c r="BU207" s="1102"/>
      <c r="BV207" s="1102"/>
      <c r="BW207" s="1102"/>
      <c r="BX207" s="1102"/>
      <c r="BY207" s="1077"/>
      <c r="BZ207" s="1077"/>
      <c r="CA207" s="1077"/>
      <c r="CB207" s="1077"/>
      <c r="CC207" s="1077"/>
      <c r="CD207" s="1077"/>
      <c r="CE207" s="1077"/>
      <c r="CF207" s="1077"/>
      <c r="CG207" s="1077"/>
      <c r="CH207" s="1077"/>
      <c r="CI207" s="1077"/>
      <c r="CJ207" s="1077"/>
      <c r="CK207" s="1077"/>
      <c r="CL207" s="1077"/>
      <c r="CM207" s="1077"/>
      <c r="CN207" s="1077"/>
      <c r="CO207" s="1077"/>
      <c r="CP207" s="1077"/>
      <c r="CQ207" s="1077"/>
      <c r="CR207" s="1077"/>
      <c r="CS207" s="1077"/>
      <c r="CT207" s="1077"/>
      <c r="CU207" s="1077"/>
      <c r="CV207" s="1077"/>
      <c r="CW207" s="1077"/>
      <c r="CX207" s="1077"/>
      <c r="CY207" s="1077"/>
      <c r="CZ207" s="359"/>
      <c r="DA207" s="359"/>
      <c r="DB207" s="359"/>
      <c r="DC207" s="359"/>
      <c r="DD207" s="359"/>
      <c r="DE207" s="359"/>
      <c r="DF207" s="359"/>
      <c r="DG207" s="359"/>
      <c r="DH207" s="359"/>
      <c r="DK207" s="1102"/>
      <c r="DL207" s="1102"/>
      <c r="DM207" s="1102"/>
      <c r="DN207" s="1102"/>
      <c r="DO207" s="1077"/>
      <c r="DP207" s="1077"/>
      <c r="DQ207" s="1077"/>
      <c r="DR207" s="1077"/>
      <c r="DS207" s="1077"/>
      <c r="DT207" s="1077"/>
      <c r="DU207" s="1077"/>
      <c r="DV207" s="1077"/>
      <c r="DW207" s="1077"/>
      <c r="DX207" s="1077"/>
      <c r="DY207" s="1077"/>
      <c r="DZ207" s="1077"/>
      <c r="EA207" s="1077"/>
      <c r="EB207" s="1077"/>
      <c r="EC207" s="1077"/>
      <c r="ED207" s="1077"/>
      <c r="EE207" s="1077"/>
      <c r="EF207" s="357"/>
      <c r="EG207" s="357"/>
      <c r="EH207" s="357"/>
      <c r="EI207" s="357"/>
    </row>
    <row r="208" spans="1:142" ht="3.75" customHeight="1" x14ac:dyDescent="0.25">
      <c r="A208" s="1077"/>
      <c r="B208" s="1077"/>
      <c r="C208" s="1077"/>
      <c r="D208" s="1077"/>
      <c r="E208" s="1077"/>
      <c r="F208" s="1077"/>
      <c r="G208" s="1077"/>
      <c r="H208" s="1077"/>
      <c r="I208" s="1077"/>
      <c r="J208" s="1077"/>
      <c r="K208" s="1077"/>
      <c r="L208" s="1077"/>
      <c r="M208" s="1077"/>
      <c r="N208" s="1077"/>
      <c r="O208" s="1077"/>
      <c r="P208" s="1077"/>
      <c r="Q208" s="1077"/>
      <c r="R208" s="1077"/>
      <c r="S208" s="1077"/>
      <c r="T208" s="1077"/>
      <c r="U208" s="1077"/>
      <c r="V208" s="1077"/>
      <c r="W208" s="1077"/>
      <c r="X208" s="1077"/>
      <c r="BU208" s="1102"/>
      <c r="BV208" s="1102"/>
      <c r="BW208" s="1102"/>
      <c r="BX208" s="1102"/>
      <c r="BY208" s="1077"/>
      <c r="BZ208" s="1077"/>
      <c r="CA208" s="1077"/>
      <c r="CB208" s="1077"/>
      <c r="CC208" s="1077"/>
      <c r="CD208" s="1077"/>
      <c r="CE208" s="1077"/>
      <c r="CF208" s="1077"/>
      <c r="CG208" s="1077"/>
      <c r="CH208" s="1077"/>
      <c r="CI208" s="1077"/>
      <c r="CJ208" s="1077"/>
      <c r="CK208" s="1077"/>
      <c r="CL208" s="1077"/>
      <c r="CM208" s="1077"/>
      <c r="CN208" s="1077"/>
      <c r="CO208" s="1077"/>
      <c r="CP208" s="1077"/>
      <c r="CQ208" s="1077"/>
      <c r="CR208" s="1077"/>
      <c r="CS208" s="1077"/>
      <c r="CT208" s="1077"/>
      <c r="CU208" s="1077"/>
      <c r="CV208" s="1077"/>
      <c r="CW208" s="1077"/>
      <c r="CX208" s="1077"/>
      <c r="CY208" s="1077"/>
      <c r="CZ208" s="359"/>
      <c r="DA208" s="359"/>
      <c r="DB208" s="359"/>
      <c r="DC208" s="359"/>
      <c r="DD208" s="359"/>
      <c r="DE208" s="359"/>
      <c r="DF208" s="359"/>
      <c r="DG208" s="359"/>
      <c r="DH208" s="359"/>
      <c r="DK208" s="1102"/>
      <c r="DL208" s="1102"/>
      <c r="DM208" s="1102"/>
      <c r="DN208" s="1102"/>
      <c r="DO208" s="1077"/>
      <c r="DP208" s="1077"/>
      <c r="DQ208" s="1077"/>
      <c r="DR208" s="1077"/>
      <c r="DS208" s="1077"/>
      <c r="DT208" s="1077"/>
      <c r="DU208" s="1077"/>
      <c r="DV208" s="1077"/>
      <c r="DW208" s="1077"/>
      <c r="DX208" s="1077"/>
      <c r="DY208" s="1077"/>
      <c r="DZ208" s="1077"/>
      <c r="EA208" s="1077"/>
      <c r="EB208" s="1077"/>
      <c r="EC208" s="1077"/>
      <c r="ED208" s="1077"/>
      <c r="EE208" s="1077"/>
      <c r="EF208" s="357"/>
      <c r="EG208" s="357"/>
      <c r="EH208" s="357"/>
      <c r="EI208" s="357"/>
    </row>
    <row r="209" spans="1:139" ht="3.75" customHeight="1" x14ac:dyDescent="0.25">
      <c r="A209" s="1077"/>
      <c r="B209" s="1077"/>
      <c r="C209" s="1077"/>
      <c r="D209" s="1077"/>
      <c r="E209" s="1077"/>
      <c r="F209" s="1077"/>
      <c r="G209" s="1077"/>
      <c r="H209" s="1077"/>
      <c r="I209" s="1077"/>
      <c r="J209" s="1077"/>
      <c r="K209" s="1077"/>
      <c r="L209" s="1077"/>
      <c r="M209" s="1077"/>
      <c r="N209" s="1077"/>
      <c r="O209" s="1077"/>
      <c r="P209" s="1077"/>
      <c r="Q209" s="1077"/>
      <c r="R209" s="1077"/>
      <c r="S209" s="1077"/>
      <c r="T209" s="1077"/>
      <c r="U209" s="1077"/>
      <c r="V209" s="1077"/>
      <c r="W209" s="1077"/>
      <c r="X209" s="1077"/>
      <c r="BU209" s="1102"/>
      <c r="BV209" s="1102"/>
      <c r="BW209" s="1102"/>
      <c r="BX209" s="1102"/>
      <c r="BY209" s="1077"/>
      <c r="BZ209" s="1077"/>
      <c r="CA209" s="1077"/>
      <c r="CB209" s="1077"/>
      <c r="CC209" s="1077"/>
      <c r="CD209" s="1077"/>
      <c r="CE209" s="1077"/>
      <c r="CF209" s="1077"/>
      <c r="CG209" s="1077"/>
      <c r="CH209" s="1077"/>
      <c r="CI209" s="1077"/>
      <c r="CJ209" s="1077"/>
      <c r="CK209" s="1077"/>
      <c r="CL209" s="1077"/>
      <c r="CM209" s="1077"/>
      <c r="CN209" s="1077"/>
      <c r="CO209" s="1077"/>
      <c r="CP209" s="1077"/>
      <c r="CQ209" s="1077"/>
      <c r="CR209" s="1077"/>
      <c r="CS209" s="1077"/>
      <c r="CT209" s="1077"/>
      <c r="CU209" s="1077"/>
      <c r="CV209" s="1077"/>
      <c r="CW209" s="1077"/>
      <c r="CX209" s="1077"/>
      <c r="CY209" s="1077"/>
      <c r="CZ209" s="359"/>
      <c r="DA209" s="359"/>
      <c r="DB209" s="359"/>
      <c r="DC209" s="359"/>
      <c r="DD209" s="359"/>
      <c r="DE209" s="359"/>
      <c r="DF209" s="359"/>
      <c r="DG209" s="359"/>
      <c r="DH209" s="359"/>
      <c r="DK209" s="1102"/>
      <c r="DL209" s="1102"/>
      <c r="DM209" s="1102"/>
      <c r="DN209" s="1102"/>
      <c r="DO209" s="1077"/>
      <c r="DP209" s="1077"/>
      <c r="DQ209" s="1077"/>
      <c r="DR209" s="1077"/>
      <c r="DS209" s="1077"/>
      <c r="DT209" s="1077"/>
      <c r="DU209" s="1077"/>
      <c r="DV209" s="1077"/>
      <c r="DW209" s="1077"/>
      <c r="DX209" s="1077"/>
      <c r="DY209" s="1077"/>
      <c r="DZ209" s="1077"/>
      <c r="EA209" s="1077"/>
      <c r="EB209" s="1077"/>
      <c r="EC209" s="1077"/>
      <c r="ED209" s="1077"/>
      <c r="EE209" s="1077"/>
      <c r="EF209" s="357"/>
      <c r="EG209" s="357"/>
      <c r="EH209" s="357"/>
      <c r="EI209" s="357"/>
    </row>
  </sheetData>
  <mergeCells count="425">
    <mergeCell ref="A206:X209"/>
    <mergeCell ref="BY206:CY209"/>
    <mergeCell ref="DO206:EE209"/>
    <mergeCell ref="BU206:BX209"/>
    <mergeCell ref="DK206:DN209"/>
    <mergeCell ref="BS17:EL21"/>
    <mergeCell ref="A25:M27"/>
    <mergeCell ref="N24:BJ27"/>
    <mergeCell ref="A18:M20"/>
    <mergeCell ref="AF18:AS20"/>
    <mergeCell ref="BT24:CQ27"/>
    <mergeCell ref="BL25:BS27"/>
    <mergeCell ref="CS25:CX27"/>
    <mergeCell ref="CY24:DO27"/>
    <mergeCell ref="A46:W48"/>
    <mergeCell ref="Y46:AA48"/>
    <mergeCell ref="BE46:BG48"/>
    <mergeCell ref="AB46:AY48"/>
    <mergeCell ref="BH46:CT48"/>
    <mergeCell ref="DH41:DY43"/>
    <mergeCell ref="A41:W43"/>
    <mergeCell ref="Y41:AA43"/>
    <mergeCell ref="AB41:AH43"/>
    <mergeCell ref="AV41:AX43"/>
    <mergeCell ref="BS14:EL15"/>
    <mergeCell ref="DQ26:EL28"/>
    <mergeCell ref="AA4:DG9"/>
    <mergeCell ref="A4:T7"/>
    <mergeCell ref="A8:T11"/>
    <mergeCell ref="DN4:EL7"/>
    <mergeCell ref="DN8:EL11"/>
    <mergeCell ref="A15:M17"/>
    <mergeCell ref="AF15:AS17"/>
    <mergeCell ref="AA10:DG12"/>
    <mergeCell ref="DQ23:EL25"/>
    <mergeCell ref="N14:AE21"/>
    <mergeCell ref="AT14:BQ21"/>
    <mergeCell ref="BK51:BR52"/>
    <mergeCell ref="BK53:BR54"/>
    <mergeCell ref="BO55:BR60"/>
    <mergeCell ref="A51:P53"/>
    <mergeCell ref="AR51:BI53"/>
    <mergeCell ref="Y51:AP53"/>
    <mergeCell ref="R51:W53"/>
    <mergeCell ref="Y55:AP60"/>
    <mergeCell ref="AR55:BI60"/>
    <mergeCell ref="R55:W60"/>
    <mergeCell ref="A55:P62"/>
    <mergeCell ref="BK55:BN60"/>
    <mergeCell ref="Y61:AP66"/>
    <mergeCell ref="AR61:BI66"/>
    <mergeCell ref="R61:W66"/>
    <mergeCell ref="F66:P67"/>
    <mergeCell ref="R67:W72"/>
    <mergeCell ref="AR67:BI72"/>
    <mergeCell ref="Y67:AP72"/>
    <mergeCell ref="AY41:BN43"/>
    <mergeCell ref="CF41:CH43"/>
    <mergeCell ref="CI41:CS43"/>
    <mergeCell ref="DE41:DG43"/>
    <mergeCell ref="DN31:DP33"/>
    <mergeCell ref="DN35:DP37"/>
    <mergeCell ref="DQ35:EC37"/>
    <mergeCell ref="DQ31:EC33"/>
    <mergeCell ref="A32:AF37"/>
    <mergeCell ref="CA31:CX38"/>
    <mergeCell ref="BI32:BY37"/>
    <mergeCell ref="AH31:AY38"/>
    <mergeCell ref="R85:W90"/>
    <mergeCell ref="R91:W96"/>
    <mergeCell ref="Y91:AP96"/>
    <mergeCell ref="AR91:BI96"/>
    <mergeCell ref="BK91:BN96"/>
    <mergeCell ref="R73:W78"/>
    <mergeCell ref="R79:W84"/>
    <mergeCell ref="Y109:AP114"/>
    <mergeCell ref="AR109:BI114"/>
    <mergeCell ref="BK109:BN114"/>
    <mergeCell ref="BK103:BN108"/>
    <mergeCell ref="Y97:AP102"/>
    <mergeCell ref="R109:W114"/>
    <mergeCell ref="Y79:AP84"/>
    <mergeCell ref="Y73:AP78"/>
    <mergeCell ref="AR73:BI78"/>
    <mergeCell ref="AR79:BI84"/>
    <mergeCell ref="BK79:BN84"/>
    <mergeCell ref="BK73:BN78"/>
    <mergeCell ref="CL85:CQ90"/>
    <mergeCell ref="EE103:EH108"/>
    <mergeCell ref="AR97:BI102"/>
    <mergeCell ref="BK97:BN102"/>
    <mergeCell ref="DL103:EC108"/>
    <mergeCell ref="DL91:EC96"/>
    <mergeCell ref="Y103:AP108"/>
    <mergeCell ref="AR103:BI108"/>
    <mergeCell ref="BO79:BR84"/>
    <mergeCell ref="CL91:CQ96"/>
    <mergeCell ref="CS91:DJ96"/>
    <mergeCell ref="CS85:DJ90"/>
    <mergeCell ref="EE85:EH90"/>
    <mergeCell ref="BO73:BR78"/>
    <mergeCell ref="BK67:BN72"/>
    <mergeCell ref="BO67:BR72"/>
    <mergeCell ref="DL51:EC53"/>
    <mergeCell ref="EE51:EL52"/>
    <mergeCell ref="EE53:EL54"/>
    <mergeCell ref="BU55:CJ62"/>
    <mergeCell ref="CS55:DJ60"/>
    <mergeCell ref="DL55:EC60"/>
    <mergeCell ref="CL55:CQ60"/>
    <mergeCell ref="CL67:CQ72"/>
    <mergeCell ref="CL51:CQ53"/>
    <mergeCell ref="CS51:DJ53"/>
    <mergeCell ref="BU51:CJ53"/>
    <mergeCell ref="CS67:DJ72"/>
    <mergeCell ref="EE55:EH60"/>
    <mergeCell ref="EI55:EL60"/>
    <mergeCell ref="CS61:DJ66"/>
    <mergeCell ref="DL61:EC66"/>
    <mergeCell ref="EE61:EH66"/>
    <mergeCell ref="EI61:EL66"/>
    <mergeCell ref="EE67:EH72"/>
    <mergeCell ref="EI67:EL72"/>
    <mergeCell ref="DL67:EC72"/>
    <mergeCell ref="EI85:EL90"/>
    <mergeCell ref="CS73:DJ78"/>
    <mergeCell ref="DL73:EC78"/>
    <mergeCell ref="EE73:EH78"/>
    <mergeCell ref="EI73:EL78"/>
    <mergeCell ref="CS79:DJ84"/>
    <mergeCell ref="EE91:EH96"/>
    <mergeCell ref="EI91:EL96"/>
    <mergeCell ref="EI103:EL108"/>
    <mergeCell ref="DL79:EC84"/>
    <mergeCell ref="EE79:EH84"/>
    <mergeCell ref="EI79:EL84"/>
    <mergeCell ref="CL109:CQ114"/>
    <mergeCell ref="CS109:DJ114"/>
    <mergeCell ref="DL109:EC114"/>
    <mergeCell ref="EE109:EH114"/>
    <mergeCell ref="EI109:EL114"/>
    <mergeCell ref="CS103:DJ108"/>
    <mergeCell ref="B66:D68"/>
    <mergeCell ref="BO109:BR114"/>
    <mergeCell ref="CL97:CQ102"/>
    <mergeCell ref="CL103:CQ108"/>
    <mergeCell ref="CS97:DJ102"/>
    <mergeCell ref="DL97:EC102"/>
    <mergeCell ref="BO91:BR96"/>
    <mergeCell ref="R97:W102"/>
    <mergeCell ref="R103:W108"/>
    <mergeCell ref="Y85:AP90"/>
    <mergeCell ref="BO97:BR102"/>
    <mergeCell ref="DL85:EC90"/>
    <mergeCell ref="AR85:BI90"/>
    <mergeCell ref="BK85:BN90"/>
    <mergeCell ref="BO85:BR90"/>
    <mergeCell ref="CL73:CQ78"/>
    <mergeCell ref="CL79:CQ84"/>
    <mergeCell ref="CL61:CQ66"/>
    <mergeCell ref="DB117:DS119"/>
    <mergeCell ref="BU117:CJ119"/>
    <mergeCell ref="CU139:CZ144"/>
    <mergeCell ref="CU117:CZ119"/>
    <mergeCell ref="DU117:EL119"/>
    <mergeCell ref="AA127:AF132"/>
    <mergeCell ref="F68:P69"/>
    <mergeCell ref="B72:D74"/>
    <mergeCell ref="F72:P73"/>
    <mergeCell ref="F74:P75"/>
    <mergeCell ref="F76:P77"/>
    <mergeCell ref="BV66:BX68"/>
    <mergeCell ref="BZ66:CJ67"/>
    <mergeCell ref="BZ68:CJ69"/>
    <mergeCell ref="BV72:BX74"/>
    <mergeCell ref="BZ72:CJ73"/>
    <mergeCell ref="BZ74:CJ75"/>
    <mergeCell ref="BZ76:CJ77"/>
    <mergeCell ref="BK61:BN66"/>
    <mergeCell ref="BO61:BR66"/>
    <mergeCell ref="BO103:BR108"/>
    <mergeCell ref="A117:P119"/>
    <mergeCell ref="EE97:EH102"/>
    <mergeCell ref="EI97:EL102"/>
    <mergeCell ref="AA117:AF119"/>
    <mergeCell ref="AH117:AY119"/>
    <mergeCell ref="BA117:BR119"/>
    <mergeCell ref="BU120:CJ122"/>
    <mergeCell ref="CL120:CS121"/>
    <mergeCell ref="CM122:CN123"/>
    <mergeCell ref="CQ122:CR123"/>
    <mergeCell ref="BZ129:CL131"/>
    <mergeCell ref="CM129:CO131"/>
    <mergeCell ref="CQ129:CS131"/>
    <mergeCell ref="CU145:CZ150"/>
    <mergeCell ref="S125:U127"/>
    <mergeCell ref="DB145:DS150"/>
    <mergeCell ref="DU145:EL150"/>
    <mergeCell ref="CU127:CZ132"/>
    <mergeCell ref="DB127:DS132"/>
    <mergeCell ref="AA145:AF150"/>
    <mergeCell ref="W125:Y127"/>
    <mergeCell ref="S129:U131"/>
    <mergeCell ref="AH145:AY150"/>
    <mergeCell ref="BA145:BR150"/>
    <mergeCell ref="AH127:AY132"/>
    <mergeCell ref="BA127:BR132"/>
    <mergeCell ref="AA133:AF138"/>
    <mergeCell ref="AH133:AY138"/>
    <mergeCell ref="BA133:BR138"/>
    <mergeCell ref="CQ141:CS143"/>
    <mergeCell ref="BU144:BX147"/>
    <mergeCell ref="BZ145:CL147"/>
    <mergeCell ref="CM145:CO147"/>
    <mergeCell ref="CQ145:CS147"/>
    <mergeCell ref="BU132:BX135"/>
    <mergeCell ref="BU124:BX127"/>
    <mergeCell ref="BZ125:CL127"/>
    <mergeCell ref="DU127:EL132"/>
    <mergeCell ref="CU133:CZ138"/>
    <mergeCell ref="DB133:DS138"/>
    <mergeCell ref="DU133:EL138"/>
    <mergeCell ref="F137:R139"/>
    <mergeCell ref="W137:Y139"/>
    <mergeCell ref="AA121:AF126"/>
    <mergeCell ref="AH121:AY126"/>
    <mergeCell ref="BA121:BR126"/>
    <mergeCell ref="DB139:DS144"/>
    <mergeCell ref="DU139:EL144"/>
    <mergeCell ref="CM125:CO127"/>
    <mergeCell ref="CQ125:CS127"/>
    <mergeCell ref="BU128:BX131"/>
    <mergeCell ref="CU121:CZ126"/>
    <mergeCell ref="DB121:DS126"/>
    <mergeCell ref="DU121:EL126"/>
    <mergeCell ref="AA139:AF144"/>
    <mergeCell ref="AH139:AY144"/>
    <mergeCell ref="BA139:BR144"/>
    <mergeCell ref="BZ141:CL143"/>
    <mergeCell ref="CM141:CO143"/>
    <mergeCell ref="BZ133:CL135"/>
    <mergeCell ref="CM133:CO135"/>
    <mergeCell ref="A140:D143"/>
    <mergeCell ref="A144:D147"/>
    <mergeCell ref="BU140:BX143"/>
    <mergeCell ref="S133:U135"/>
    <mergeCell ref="S137:U139"/>
    <mergeCell ref="S141:U143"/>
    <mergeCell ref="R120:Y121"/>
    <mergeCell ref="F133:R135"/>
    <mergeCell ref="F129:R131"/>
    <mergeCell ref="F125:R127"/>
    <mergeCell ref="W129:Y131"/>
    <mergeCell ref="W133:Y135"/>
    <mergeCell ref="A120:P122"/>
    <mergeCell ref="A124:D127"/>
    <mergeCell ref="A128:D131"/>
    <mergeCell ref="A132:D135"/>
    <mergeCell ref="A136:D139"/>
    <mergeCell ref="S122:T123"/>
    <mergeCell ref="W122:X123"/>
    <mergeCell ref="F145:R147"/>
    <mergeCell ref="F141:R143"/>
    <mergeCell ref="S145:U147"/>
    <mergeCell ref="CQ133:CS135"/>
    <mergeCell ref="BU136:BX139"/>
    <mergeCell ref="BZ137:CL139"/>
    <mergeCell ref="CM137:CO139"/>
    <mergeCell ref="CQ137:CS139"/>
    <mergeCell ref="W141:Y143"/>
    <mergeCell ref="W145:Y147"/>
    <mergeCell ref="DL201:DW203"/>
    <mergeCell ref="CK172:CM174"/>
    <mergeCell ref="BG164:BL165"/>
    <mergeCell ref="BG166:BL170"/>
    <mergeCell ref="CI197:CO199"/>
    <mergeCell ref="CI201:CO203"/>
    <mergeCell ref="CM193:DS195"/>
    <mergeCell ref="BG186:BL190"/>
    <mergeCell ref="BU167:BW169"/>
    <mergeCell ref="BY172:CA174"/>
    <mergeCell ref="CC172:CE174"/>
    <mergeCell ref="CG172:CI174"/>
    <mergeCell ref="CQ197:CX199"/>
    <mergeCell ref="CQ201:CX203"/>
    <mergeCell ref="DD197:DJ199"/>
    <mergeCell ref="DD201:DJ203"/>
    <mergeCell ref="CS186:CX190"/>
    <mergeCell ref="DT171:EL175"/>
    <mergeCell ref="CZ176:DR180"/>
    <mergeCell ref="DT176:EL180"/>
    <mergeCell ref="AQ166:BE170"/>
    <mergeCell ref="AQ201:AX203"/>
    <mergeCell ref="A201:U203"/>
    <mergeCell ref="A197:AN199"/>
    <mergeCell ref="A193:AD195"/>
    <mergeCell ref="BG181:BL185"/>
    <mergeCell ref="AQ186:BE190"/>
    <mergeCell ref="DL197:DW199"/>
    <mergeCell ref="AQ193:AX195"/>
    <mergeCell ref="AQ197:AX199"/>
    <mergeCell ref="AQ171:BE175"/>
    <mergeCell ref="AQ176:BE180"/>
    <mergeCell ref="AQ181:BE185"/>
    <mergeCell ref="CS181:CX185"/>
    <mergeCell ref="CS176:CX180"/>
    <mergeCell ref="CS171:CX175"/>
    <mergeCell ref="BG176:BL180"/>
    <mergeCell ref="A187:C189"/>
    <mergeCell ref="E187:G189"/>
    <mergeCell ref="I187:K189"/>
    <mergeCell ref="E167:G169"/>
    <mergeCell ref="DV160:ED161"/>
    <mergeCell ref="DQ156:DX157"/>
    <mergeCell ref="AW157:AZ160"/>
    <mergeCell ref="AA162:AO164"/>
    <mergeCell ref="AA166:AO170"/>
    <mergeCell ref="BB159:BO160"/>
    <mergeCell ref="Z157:AT160"/>
    <mergeCell ref="BB157:BL158"/>
    <mergeCell ref="AQ162:BE164"/>
    <mergeCell ref="CG167:CI169"/>
    <mergeCell ref="CK167:CM169"/>
    <mergeCell ref="CO167:CQ169"/>
    <mergeCell ref="BY167:CA169"/>
    <mergeCell ref="CC167:CE169"/>
    <mergeCell ref="CZ166:DR170"/>
    <mergeCell ref="BM166:BO170"/>
    <mergeCell ref="BP166:BR170"/>
    <mergeCell ref="CS166:CX170"/>
    <mergeCell ref="DT166:EL170"/>
    <mergeCell ref="DT162:EL164"/>
    <mergeCell ref="BM162:BR163"/>
    <mergeCell ref="BM164:BR165"/>
    <mergeCell ref="CS162:CX164"/>
    <mergeCell ref="EM27:FJ30"/>
    <mergeCell ref="EM31:FJ35"/>
    <mergeCell ref="EM37:FJ40"/>
    <mergeCell ref="EM41:FJ45"/>
    <mergeCell ref="U186:Y190"/>
    <mergeCell ref="AA171:AO175"/>
    <mergeCell ref="AA176:AO180"/>
    <mergeCell ref="AA181:AO185"/>
    <mergeCell ref="AA186:AO190"/>
    <mergeCell ref="U171:Y175"/>
    <mergeCell ref="U176:Y180"/>
    <mergeCell ref="U181:Y185"/>
    <mergeCell ref="BG171:BL175"/>
    <mergeCell ref="BM186:BO190"/>
    <mergeCell ref="BP186:BR190"/>
    <mergeCell ref="BM176:BO180"/>
    <mergeCell ref="BP176:BR180"/>
    <mergeCell ref="BM181:BO185"/>
    <mergeCell ref="BP181:BR185"/>
    <mergeCell ref="U157:X160"/>
    <mergeCell ref="CX153:DO155"/>
    <mergeCell ref="DW152:ED153"/>
    <mergeCell ref="BU177:BW179"/>
    <mergeCell ref="EE156:EL157"/>
    <mergeCell ref="I167:K169"/>
    <mergeCell ref="M167:O169"/>
    <mergeCell ref="Q167:S169"/>
    <mergeCell ref="E172:G174"/>
    <mergeCell ref="I172:K174"/>
    <mergeCell ref="M172:O174"/>
    <mergeCell ref="Q172:S174"/>
    <mergeCell ref="CZ162:DR164"/>
    <mergeCell ref="CZ171:DR175"/>
    <mergeCell ref="M177:O179"/>
    <mergeCell ref="Q177:S179"/>
    <mergeCell ref="A182:C184"/>
    <mergeCell ref="E182:G184"/>
    <mergeCell ref="I182:K184"/>
    <mergeCell ref="M182:O184"/>
    <mergeCell ref="Q182:S184"/>
    <mergeCell ref="M187:O189"/>
    <mergeCell ref="Q187:S189"/>
    <mergeCell ref="CG177:CI179"/>
    <mergeCell ref="CK177:CM179"/>
    <mergeCell ref="CO177:CQ179"/>
    <mergeCell ref="CO172:CQ174"/>
    <mergeCell ref="BU172:BW174"/>
    <mergeCell ref="CZ181:DR185"/>
    <mergeCell ref="DT181:EL185"/>
    <mergeCell ref="A172:C174"/>
    <mergeCell ref="Q152:S165"/>
    <mergeCell ref="CO152:CQ165"/>
    <mergeCell ref="CK152:CM165"/>
    <mergeCell ref="BU152:BW165"/>
    <mergeCell ref="BY158:CA165"/>
    <mergeCell ref="CC157:CE165"/>
    <mergeCell ref="CG157:CI165"/>
    <mergeCell ref="BY152:CI153"/>
    <mergeCell ref="BY154:CI155"/>
    <mergeCell ref="U162:Y164"/>
    <mergeCell ref="Z153:AT155"/>
    <mergeCell ref="BM171:BO175"/>
    <mergeCell ref="BP171:BR175"/>
    <mergeCell ref="A177:C179"/>
    <mergeCell ref="E177:G179"/>
    <mergeCell ref="I177:K179"/>
    <mergeCell ref="CZ186:DR190"/>
    <mergeCell ref="DT186:EL190"/>
    <mergeCell ref="EC154:ED159"/>
    <mergeCell ref="DY154:EB155"/>
    <mergeCell ref="A167:C169"/>
    <mergeCell ref="U166:Y170"/>
    <mergeCell ref="BU182:BW184"/>
    <mergeCell ref="BY182:CA184"/>
    <mergeCell ref="CC182:CE184"/>
    <mergeCell ref="CG182:CI184"/>
    <mergeCell ref="CK182:CM184"/>
    <mergeCell ref="CO182:CQ184"/>
    <mergeCell ref="BU187:BW189"/>
    <mergeCell ref="BY187:CA189"/>
    <mergeCell ref="CC187:CE189"/>
    <mergeCell ref="CG187:CI189"/>
    <mergeCell ref="CK187:CM189"/>
    <mergeCell ref="CO187:CQ189"/>
    <mergeCell ref="A152:C165"/>
    <mergeCell ref="E152:G165"/>
    <mergeCell ref="I152:K165"/>
    <mergeCell ref="M152:O165"/>
    <mergeCell ref="BY177:CA179"/>
    <mergeCell ref="CC177:CE179"/>
  </mergeCells>
  <printOptions horizontalCentered="1" verticalCentered="1"/>
  <pageMargins left="0.2" right="0.2" top="0.25" bottom="0.2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742F54-7498-45E4-8500-33F865781456}">
          <x14:formula1>
            <xm:f>'Data Conversions'!$X$3:$X$36</xm:f>
          </x14:formula1>
          <xm:sqref>EM31:FJ35</xm:sqref>
        </x14:dataValidation>
        <x14:dataValidation type="list" allowBlank="1" showInputMessage="1" showErrorMessage="1" xr:uid="{5BEA3468-7C57-46ED-8923-A36853D3122C}">
          <x14:formula1>
            <xm:f>'Data Conversions'!$X$41:$X$58</xm:f>
          </x14:formula1>
          <xm:sqref>EM41:FJ45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E8A80-C8EE-4A17-94EC-7F0BCBC6CA44}">
  <sheetPr codeName="Sheet7"/>
  <dimension ref="A1:FJ209"/>
  <sheetViews>
    <sheetView showGridLines="0" view="pageLayout" zoomScale="130" zoomScaleNormal="120" zoomScalePageLayoutView="130" workbookViewId="0">
      <selection activeCell="EM31" sqref="EM31:FJ35"/>
    </sheetView>
  </sheetViews>
  <sheetFormatPr defaultColWidth="0.7109375" defaultRowHeight="3.75" customHeight="1" x14ac:dyDescent="0.25"/>
  <sheetData>
    <row r="1" spans="1:142" ht="3.75" customHeight="1" thickTop="1" x14ac:dyDescent="0.25">
      <c r="A1" s="373"/>
      <c r="B1" s="373"/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4"/>
      <c r="U1" s="374"/>
      <c r="V1" s="374"/>
      <c r="W1" s="374"/>
      <c r="X1" s="373"/>
      <c r="Y1" s="373"/>
      <c r="Z1" s="373"/>
      <c r="AA1" s="373"/>
      <c r="AB1" s="373"/>
      <c r="AC1" s="373"/>
      <c r="AD1" s="373"/>
      <c r="AE1" s="373"/>
      <c r="AF1" s="373"/>
      <c r="AG1" s="373"/>
      <c r="AH1" s="373"/>
      <c r="AI1" s="373"/>
      <c r="AJ1" s="373"/>
      <c r="AK1" s="373"/>
      <c r="AL1" s="373"/>
      <c r="AM1" s="373"/>
      <c r="AN1" s="373"/>
      <c r="AO1" s="373"/>
      <c r="AP1" s="373"/>
      <c r="AQ1" s="373"/>
      <c r="AR1" s="373"/>
      <c r="AS1" s="373"/>
      <c r="AT1" s="373"/>
      <c r="AU1" s="373"/>
      <c r="AV1" s="373"/>
      <c r="AW1" s="373"/>
      <c r="AX1" s="373"/>
      <c r="AY1" s="373"/>
      <c r="AZ1" s="373"/>
      <c r="BA1" s="373"/>
      <c r="BB1" s="373"/>
      <c r="BC1" s="373"/>
      <c r="BD1" s="373"/>
      <c r="BE1" s="373"/>
      <c r="BF1" s="373"/>
      <c r="BG1" s="373"/>
      <c r="BH1" s="373"/>
      <c r="BI1" s="373"/>
      <c r="BJ1" s="373"/>
      <c r="BK1" s="373"/>
      <c r="BL1" s="373"/>
      <c r="BM1" s="373"/>
      <c r="BN1" s="373"/>
      <c r="BO1" s="373"/>
      <c r="BP1" s="373"/>
      <c r="BQ1" s="373"/>
      <c r="BR1" s="373"/>
      <c r="BS1" s="373"/>
      <c r="BT1" s="373"/>
      <c r="BU1" s="373"/>
      <c r="BV1" s="373"/>
      <c r="BW1" s="373"/>
      <c r="BX1" s="373"/>
      <c r="BY1" s="373"/>
      <c r="BZ1" s="373"/>
      <c r="CA1" s="373"/>
      <c r="CB1" s="373"/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N1" s="373"/>
      <c r="CO1" s="373"/>
      <c r="CP1" s="373"/>
      <c r="CQ1" s="373"/>
      <c r="CR1" s="373"/>
      <c r="CS1" s="373"/>
      <c r="CT1" s="373"/>
      <c r="CU1" s="373"/>
      <c r="CV1" s="373"/>
      <c r="CW1" s="373"/>
      <c r="CX1" s="373"/>
      <c r="CY1" s="373"/>
      <c r="CZ1" s="373"/>
      <c r="DA1" s="373"/>
      <c r="DB1" s="373"/>
      <c r="DC1" s="373"/>
      <c r="DD1" s="373"/>
      <c r="DE1" s="373"/>
      <c r="DF1" s="373"/>
      <c r="DG1" s="373"/>
      <c r="DH1" s="373"/>
      <c r="DI1" s="373"/>
      <c r="DJ1" s="373"/>
      <c r="DK1" s="373"/>
      <c r="DL1" s="373"/>
      <c r="DM1" s="373"/>
      <c r="DN1" s="373"/>
      <c r="DO1" s="373"/>
      <c r="DP1" s="373"/>
      <c r="DQ1" s="373"/>
      <c r="DR1" s="373"/>
      <c r="DS1" s="373"/>
      <c r="DT1" s="373"/>
      <c r="DU1" s="373"/>
      <c r="DV1" s="373"/>
      <c r="DW1" s="373"/>
      <c r="DX1" s="373"/>
      <c r="DY1" s="373"/>
      <c r="DZ1" s="373"/>
      <c r="EA1" s="373"/>
      <c r="EB1" s="373"/>
      <c r="EC1" s="373"/>
      <c r="ED1" s="373"/>
      <c r="EE1" s="373"/>
      <c r="EF1" s="373"/>
      <c r="EG1" s="373"/>
      <c r="EH1" s="373"/>
      <c r="EI1" s="373"/>
      <c r="EJ1" s="373"/>
      <c r="EK1" s="373"/>
      <c r="EL1" s="373"/>
    </row>
    <row r="4" spans="1:142" ht="3.75" customHeight="1" x14ac:dyDescent="0.25">
      <c r="A4" s="1125" t="s">
        <v>653</v>
      </c>
      <c r="B4" s="1125"/>
      <c r="C4" s="1125"/>
      <c r="D4" s="1125"/>
      <c r="E4" s="1125"/>
      <c r="F4" s="1125"/>
      <c r="G4" s="1125"/>
      <c r="H4" s="1125"/>
      <c r="I4" s="1125"/>
      <c r="J4" s="1125"/>
      <c r="K4" s="1125"/>
      <c r="L4" s="1125"/>
      <c r="M4" s="1125"/>
      <c r="N4" s="1125"/>
      <c r="O4" s="1125"/>
      <c r="P4" s="1125"/>
      <c r="Q4" s="1125"/>
      <c r="R4" s="1125"/>
      <c r="S4" s="1125"/>
      <c r="T4" s="1125"/>
      <c r="AA4" s="1122" t="s">
        <v>652</v>
      </c>
      <c r="AB4" s="1122"/>
      <c r="AC4" s="1122"/>
      <c r="AD4" s="1122"/>
      <c r="AE4" s="1122"/>
      <c r="AF4" s="1122"/>
      <c r="AG4" s="1122"/>
      <c r="AH4" s="1122"/>
      <c r="AI4" s="1122"/>
      <c r="AJ4" s="1122"/>
      <c r="AK4" s="1122"/>
      <c r="AL4" s="1122"/>
      <c r="AM4" s="1122"/>
      <c r="AN4" s="1122"/>
      <c r="AO4" s="1122"/>
      <c r="AP4" s="1122"/>
      <c r="AQ4" s="1122"/>
      <c r="AR4" s="1122"/>
      <c r="AS4" s="1122"/>
      <c r="AT4" s="1122"/>
      <c r="AU4" s="1122"/>
      <c r="AV4" s="1122"/>
      <c r="AW4" s="1122"/>
      <c r="AX4" s="1122"/>
      <c r="AY4" s="1122"/>
      <c r="AZ4" s="1122"/>
      <c r="BA4" s="1122"/>
      <c r="BB4" s="1122"/>
      <c r="BC4" s="1122"/>
      <c r="BD4" s="1122"/>
      <c r="BE4" s="1122"/>
      <c r="BF4" s="1122"/>
      <c r="BG4" s="1122"/>
      <c r="BH4" s="1122"/>
      <c r="BI4" s="1122"/>
      <c r="BJ4" s="1122"/>
      <c r="BK4" s="1122"/>
      <c r="BL4" s="1122"/>
      <c r="BM4" s="1122"/>
      <c r="BN4" s="1122"/>
      <c r="BO4" s="1122"/>
      <c r="BP4" s="1122"/>
      <c r="BQ4" s="1122"/>
      <c r="BR4" s="1122"/>
      <c r="BS4" s="1122"/>
      <c r="BT4" s="1122"/>
      <c r="BU4" s="1122"/>
      <c r="BV4" s="1122"/>
      <c r="BW4" s="1122"/>
      <c r="BX4" s="1122"/>
      <c r="BY4" s="1122"/>
      <c r="BZ4" s="1122"/>
      <c r="CA4" s="1122"/>
      <c r="CB4" s="1122"/>
      <c r="CC4" s="1122"/>
      <c r="CD4" s="1122"/>
      <c r="CE4" s="1122"/>
      <c r="CF4" s="1122"/>
      <c r="CG4" s="1122"/>
      <c r="CH4" s="1122"/>
      <c r="CI4" s="1122"/>
      <c r="CJ4" s="1122"/>
      <c r="CK4" s="1122"/>
      <c r="CL4" s="1122"/>
      <c r="CM4" s="1122"/>
      <c r="CN4" s="1122"/>
      <c r="CO4" s="1122"/>
      <c r="CP4" s="1122"/>
      <c r="CQ4" s="1122"/>
      <c r="CR4" s="1122"/>
      <c r="CS4" s="1122"/>
      <c r="CT4" s="1122"/>
      <c r="CU4" s="1122"/>
      <c r="CV4" s="1122"/>
      <c r="CW4" s="1122"/>
      <c r="CX4" s="1122"/>
      <c r="CY4" s="1122"/>
      <c r="CZ4" s="1122"/>
      <c r="DA4" s="1122"/>
      <c r="DB4" s="1122"/>
      <c r="DC4" s="1122"/>
      <c r="DD4" s="1122"/>
      <c r="DE4" s="1122"/>
      <c r="DF4" s="1122"/>
      <c r="DG4" s="1122"/>
      <c r="DN4" s="1126" t="s">
        <v>651</v>
      </c>
      <c r="DO4" s="1126"/>
      <c r="DP4" s="1126"/>
      <c r="DQ4" s="1126"/>
      <c r="DR4" s="1126"/>
      <c r="DS4" s="1126"/>
      <c r="DT4" s="1126"/>
      <c r="DU4" s="1126"/>
      <c r="DV4" s="1126"/>
      <c r="DW4" s="1126"/>
      <c r="DX4" s="1126"/>
      <c r="DY4" s="1126"/>
      <c r="DZ4" s="1126"/>
      <c r="EA4" s="1126"/>
      <c r="EB4" s="1126"/>
      <c r="EC4" s="1126"/>
      <c r="ED4" s="1126"/>
      <c r="EE4" s="1126"/>
      <c r="EF4" s="1126"/>
      <c r="EG4" s="1126"/>
      <c r="EH4" s="1126"/>
      <c r="EI4" s="1126"/>
      <c r="EJ4" s="1126"/>
      <c r="EK4" s="1126"/>
      <c r="EL4" s="1126"/>
    </row>
    <row r="5" spans="1:142" ht="3.75" customHeight="1" x14ac:dyDescent="0.25">
      <c r="A5" s="1125"/>
      <c r="B5" s="1125"/>
      <c r="C5" s="1125"/>
      <c r="D5" s="1125"/>
      <c r="E5" s="1125"/>
      <c r="F5" s="1125"/>
      <c r="G5" s="1125"/>
      <c r="H5" s="1125"/>
      <c r="I5" s="1125"/>
      <c r="J5" s="1125"/>
      <c r="K5" s="1125"/>
      <c r="L5" s="1125"/>
      <c r="M5" s="1125"/>
      <c r="N5" s="1125"/>
      <c r="O5" s="1125"/>
      <c r="P5" s="1125"/>
      <c r="Q5" s="1125"/>
      <c r="R5" s="1125"/>
      <c r="S5" s="1125"/>
      <c r="T5" s="1125"/>
      <c r="AA5" s="1123"/>
      <c r="AB5" s="1123"/>
      <c r="AC5" s="1123"/>
      <c r="AD5" s="1123"/>
      <c r="AE5" s="1123"/>
      <c r="AF5" s="1123"/>
      <c r="AG5" s="1123"/>
      <c r="AH5" s="1123"/>
      <c r="AI5" s="1123"/>
      <c r="AJ5" s="1123"/>
      <c r="AK5" s="1123"/>
      <c r="AL5" s="1123"/>
      <c r="AM5" s="1123"/>
      <c r="AN5" s="1123"/>
      <c r="AO5" s="1123"/>
      <c r="AP5" s="1123"/>
      <c r="AQ5" s="1123"/>
      <c r="AR5" s="1123"/>
      <c r="AS5" s="1123"/>
      <c r="AT5" s="1123"/>
      <c r="AU5" s="1123"/>
      <c r="AV5" s="1123"/>
      <c r="AW5" s="1123"/>
      <c r="AX5" s="1123"/>
      <c r="AY5" s="1123"/>
      <c r="AZ5" s="1123"/>
      <c r="BA5" s="1123"/>
      <c r="BB5" s="1123"/>
      <c r="BC5" s="1123"/>
      <c r="BD5" s="1123"/>
      <c r="BE5" s="1123"/>
      <c r="BF5" s="1123"/>
      <c r="BG5" s="1123"/>
      <c r="BH5" s="1123"/>
      <c r="BI5" s="1123"/>
      <c r="BJ5" s="1123"/>
      <c r="BK5" s="1123"/>
      <c r="BL5" s="1123"/>
      <c r="BM5" s="1123"/>
      <c r="BN5" s="1123"/>
      <c r="BO5" s="1123"/>
      <c r="BP5" s="1123"/>
      <c r="BQ5" s="1123"/>
      <c r="BR5" s="1123"/>
      <c r="BS5" s="1123"/>
      <c r="BT5" s="1123"/>
      <c r="BU5" s="1123"/>
      <c r="BV5" s="1123"/>
      <c r="BW5" s="1123"/>
      <c r="BX5" s="1123"/>
      <c r="BY5" s="1123"/>
      <c r="BZ5" s="1123"/>
      <c r="CA5" s="1123"/>
      <c r="CB5" s="1123"/>
      <c r="CC5" s="1123"/>
      <c r="CD5" s="1123"/>
      <c r="CE5" s="1123"/>
      <c r="CF5" s="1123"/>
      <c r="CG5" s="1123"/>
      <c r="CH5" s="1123"/>
      <c r="CI5" s="1123"/>
      <c r="CJ5" s="1123"/>
      <c r="CK5" s="1123"/>
      <c r="CL5" s="1123"/>
      <c r="CM5" s="1123"/>
      <c r="CN5" s="1123"/>
      <c r="CO5" s="1123"/>
      <c r="CP5" s="1123"/>
      <c r="CQ5" s="1123"/>
      <c r="CR5" s="1123"/>
      <c r="CS5" s="1123"/>
      <c r="CT5" s="1123"/>
      <c r="CU5" s="1123"/>
      <c r="CV5" s="1123"/>
      <c r="CW5" s="1123"/>
      <c r="CX5" s="1123"/>
      <c r="CY5" s="1123"/>
      <c r="CZ5" s="1123"/>
      <c r="DA5" s="1123"/>
      <c r="DB5" s="1123"/>
      <c r="DC5" s="1123"/>
      <c r="DD5" s="1123"/>
      <c r="DE5" s="1123"/>
      <c r="DF5" s="1123"/>
      <c r="DG5" s="1123"/>
      <c r="DN5" s="1126"/>
      <c r="DO5" s="1126"/>
      <c r="DP5" s="1126"/>
      <c r="DQ5" s="1126"/>
      <c r="DR5" s="1126"/>
      <c r="DS5" s="1126"/>
      <c r="DT5" s="1126"/>
      <c r="DU5" s="1126"/>
      <c r="DV5" s="1126"/>
      <c r="DW5" s="1126"/>
      <c r="DX5" s="1126"/>
      <c r="DY5" s="1126"/>
      <c r="DZ5" s="1126"/>
      <c r="EA5" s="1126"/>
      <c r="EB5" s="1126"/>
      <c r="EC5" s="1126"/>
      <c r="ED5" s="1126"/>
      <c r="EE5" s="1126"/>
      <c r="EF5" s="1126"/>
      <c r="EG5" s="1126"/>
      <c r="EH5" s="1126"/>
      <c r="EI5" s="1126"/>
      <c r="EJ5" s="1126"/>
      <c r="EK5" s="1126"/>
      <c r="EL5" s="1126"/>
    </row>
    <row r="6" spans="1:142" ht="3.75" customHeight="1" x14ac:dyDescent="0.25">
      <c r="A6" s="1125"/>
      <c r="B6" s="1125"/>
      <c r="C6" s="1125"/>
      <c r="D6" s="1125"/>
      <c r="E6" s="1125"/>
      <c r="F6" s="1125"/>
      <c r="G6" s="1125"/>
      <c r="H6" s="1125"/>
      <c r="I6" s="1125"/>
      <c r="J6" s="1125"/>
      <c r="K6" s="1125"/>
      <c r="L6" s="1125"/>
      <c r="M6" s="1125"/>
      <c r="N6" s="1125"/>
      <c r="O6" s="1125"/>
      <c r="P6" s="1125"/>
      <c r="Q6" s="1125"/>
      <c r="R6" s="1125"/>
      <c r="S6" s="1125"/>
      <c r="T6" s="1125"/>
      <c r="AA6" s="1123"/>
      <c r="AB6" s="1123"/>
      <c r="AC6" s="1123"/>
      <c r="AD6" s="1123"/>
      <c r="AE6" s="1123"/>
      <c r="AF6" s="1123"/>
      <c r="AG6" s="1123"/>
      <c r="AH6" s="1123"/>
      <c r="AI6" s="1123"/>
      <c r="AJ6" s="1123"/>
      <c r="AK6" s="1123"/>
      <c r="AL6" s="1123"/>
      <c r="AM6" s="1123"/>
      <c r="AN6" s="1123"/>
      <c r="AO6" s="1123"/>
      <c r="AP6" s="1123"/>
      <c r="AQ6" s="1123"/>
      <c r="AR6" s="1123"/>
      <c r="AS6" s="1123"/>
      <c r="AT6" s="1123"/>
      <c r="AU6" s="1123"/>
      <c r="AV6" s="1123"/>
      <c r="AW6" s="1123"/>
      <c r="AX6" s="1123"/>
      <c r="AY6" s="1123"/>
      <c r="AZ6" s="1123"/>
      <c r="BA6" s="1123"/>
      <c r="BB6" s="1123"/>
      <c r="BC6" s="1123"/>
      <c r="BD6" s="1123"/>
      <c r="BE6" s="1123"/>
      <c r="BF6" s="1123"/>
      <c r="BG6" s="1123"/>
      <c r="BH6" s="1123"/>
      <c r="BI6" s="1123"/>
      <c r="BJ6" s="1123"/>
      <c r="BK6" s="1123"/>
      <c r="BL6" s="1123"/>
      <c r="BM6" s="1123"/>
      <c r="BN6" s="1123"/>
      <c r="BO6" s="1123"/>
      <c r="BP6" s="1123"/>
      <c r="BQ6" s="1123"/>
      <c r="BR6" s="1123"/>
      <c r="BS6" s="1123"/>
      <c r="BT6" s="1123"/>
      <c r="BU6" s="1123"/>
      <c r="BV6" s="1123"/>
      <c r="BW6" s="1123"/>
      <c r="BX6" s="1123"/>
      <c r="BY6" s="1123"/>
      <c r="BZ6" s="1123"/>
      <c r="CA6" s="1123"/>
      <c r="CB6" s="1123"/>
      <c r="CC6" s="1123"/>
      <c r="CD6" s="1123"/>
      <c r="CE6" s="1123"/>
      <c r="CF6" s="1123"/>
      <c r="CG6" s="1123"/>
      <c r="CH6" s="1123"/>
      <c r="CI6" s="1123"/>
      <c r="CJ6" s="1123"/>
      <c r="CK6" s="1123"/>
      <c r="CL6" s="1123"/>
      <c r="CM6" s="1123"/>
      <c r="CN6" s="1123"/>
      <c r="CO6" s="1123"/>
      <c r="CP6" s="1123"/>
      <c r="CQ6" s="1123"/>
      <c r="CR6" s="1123"/>
      <c r="CS6" s="1123"/>
      <c r="CT6" s="1123"/>
      <c r="CU6" s="1123"/>
      <c r="CV6" s="1123"/>
      <c r="CW6" s="1123"/>
      <c r="CX6" s="1123"/>
      <c r="CY6" s="1123"/>
      <c r="CZ6" s="1123"/>
      <c r="DA6" s="1123"/>
      <c r="DB6" s="1123"/>
      <c r="DC6" s="1123"/>
      <c r="DD6" s="1123"/>
      <c r="DE6" s="1123"/>
      <c r="DF6" s="1123"/>
      <c r="DG6" s="1123"/>
      <c r="DN6" s="1126"/>
      <c r="DO6" s="1126"/>
      <c r="DP6" s="1126"/>
      <c r="DQ6" s="1126"/>
      <c r="DR6" s="1126"/>
      <c r="DS6" s="1126"/>
      <c r="DT6" s="1126"/>
      <c r="DU6" s="1126"/>
      <c r="DV6" s="1126"/>
      <c r="DW6" s="1126"/>
      <c r="DX6" s="1126"/>
      <c r="DY6" s="1126"/>
      <c r="DZ6" s="1126"/>
      <c r="EA6" s="1126"/>
      <c r="EB6" s="1126"/>
      <c r="EC6" s="1126"/>
      <c r="ED6" s="1126"/>
      <c r="EE6" s="1126"/>
      <c r="EF6" s="1126"/>
      <c r="EG6" s="1126"/>
      <c r="EH6" s="1126"/>
      <c r="EI6" s="1126"/>
      <c r="EJ6" s="1126"/>
      <c r="EK6" s="1126"/>
      <c r="EL6" s="1126"/>
    </row>
    <row r="7" spans="1:142" ht="3.75" customHeight="1" x14ac:dyDescent="0.25">
      <c r="A7" s="1125"/>
      <c r="B7" s="1125"/>
      <c r="C7" s="1125"/>
      <c r="D7" s="1125"/>
      <c r="E7" s="1125"/>
      <c r="F7" s="1125"/>
      <c r="G7" s="1125"/>
      <c r="H7" s="1125"/>
      <c r="I7" s="1125"/>
      <c r="J7" s="1125"/>
      <c r="K7" s="1125"/>
      <c r="L7" s="1125"/>
      <c r="M7" s="1125"/>
      <c r="N7" s="1125"/>
      <c r="O7" s="1125"/>
      <c r="P7" s="1125"/>
      <c r="Q7" s="1125"/>
      <c r="R7" s="1125"/>
      <c r="S7" s="1125"/>
      <c r="T7" s="1125"/>
      <c r="AA7" s="1123"/>
      <c r="AB7" s="1123"/>
      <c r="AC7" s="1123"/>
      <c r="AD7" s="1123"/>
      <c r="AE7" s="1123"/>
      <c r="AF7" s="1123"/>
      <c r="AG7" s="1123"/>
      <c r="AH7" s="1123"/>
      <c r="AI7" s="1123"/>
      <c r="AJ7" s="1123"/>
      <c r="AK7" s="1123"/>
      <c r="AL7" s="1123"/>
      <c r="AM7" s="1123"/>
      <c r="AN7" s="1123"/>
      <c r="AO7" s="1123"/>
      <c r="AP7" s="1123"/>
      <c r="AQ7" s="1123"/>
      <c r="AR7" s="1123"/>
      <c r="AS7" s="1123"/>
      <c r="AT7" s="1123"/>
      <c r="AU7" s="1123"/>
      <c r="AV7" s="1123"/>
      <c r="AW7" s="1123"/>
      <c r="AX7" s="1123"/>
      <c r="AY7" s="1123"/>
      <c r="AZ7" s="1123"/>
      <c r="BA7" s="1123"/>
      <c r="BB7" s="1123"/>
      <c r="BC7" s="1123"/>
      <c r="BD7" s="1123"/>
      <c r="BE7" s="1123"/>
      <c r="BF7" s="1123"/>
      <c r="BG7" s="1123"/>
      <c r="BH7" s="1123"/>
      <c r="BI7" s="1123"/>
      <c r="BJ7" s="1123"/>
      <c r="BK7" s="1123"/>
      <c r="BL7" s="1123"/>
      <c r="BM7" s="1123"/>
      <c r="BN7" s="1123"/>
      <c r="BO7" s="1123"/>
      <c r="BP7" s="1123"/>
      <c r="BQ7" s="1123"/>
      <c r="BR7" s="1123"/>
      <c r="BS7" s="1123"/>
      <c r="BT7" s="1123"/>
      <c r="BU7" s="1123"/>
      <c r="BV7" s="1123"/>
      <c r="BW7" s="1123"/>
      <c r="BX7" s="1123"/>
      <c r="BY7" s="1123"/>
      <c r="BZ7" s="1123"/>
      <c r="CA7" s="1123"/>
      <c r="CB7" s="1123"/>
      <c r="CC7" s="1123"/>
      <c r="CD7" s="1123"/>
      <c r="CE7" s="1123"/>
      <c r="CF7" s="1123"/>
      <c r="CG7" s="1123"/>
      <c r="CH7" s="1123"/>
      <c r="CI7" s="1123"/>
      <c r="CJ7" s="1123"/>
      <c r="CK7" s="1123"/>
      <c r="CL7" s="1123"/>
      <c r="CM7" s="1123"/>
      <c r="CN7" s="1123"/>
      <c r="CO7" s="1123"/>
      <c r="CP7" s="1123"/>
      <c r="CQ7" s="1123"/>
      <c r="CR7" s="1123"/>
      <c r="CS7" s="1123"/>
      <c r="CT7" s="1123"/>
      <c r="CU7" s="1123"/>
      <c r="CV7" s="1123"/>
      <c r="CW7" s="1123"/>
      <c r="CX7" s="1123"/>
      <c r="CY7" s="1123"/>
      <c r="CZ7" s="1123"/>
      <c r="DA7" s="1123"/>
      <c r="DB7" s="1123"/>
      <c r="DC7" s="1123"/>
      <c r="DD7" s="1123"/>
      <c r="DE7" s="1123"/>
      <c r="DF7" s="1123"/>
      <c r="DG7" s="1123"/>
      <c r="DN7" s="1126"/>
      <c r="DO7" s="1126"/>
      <c r="DP7" s="1126"/>
      <c r="DQ7" s="1126"/>
      <c r="DR7" s="1126"/>
      <c r="DS7" s="1126"/>
      <c r="DT7" s="1126"/>
      <c r="DU7" s="1126"/>
      <c r="DV7" s="1126"/>
      <c r="DW7" s="1126"/>
      <c r="DX7" s="1126"/>
      <c r="DY7" s="1126"/>
      <c r="DZ7" s="1126"/>
      <c r="EA7" s="1126"/>
      <c r="EB7" s="1126"/>
      <c r="EC7" s="1126"/>
      <c r="ED7" s="1126"/>
      <c r="EE7" s="1126"/>
      <c r="EF7" s="1126"/>
      <c r="EG7" s="1126"/>
      <c r="EH7" s="1126"/>
      <c r="EI7" s="1126"/>
      <c r="EJ7" s="1126"/>
      <c r="EK7" s="1126"/>
      <c r="EL7" s="1126"/>
    </row>
    <row r="8" spans="1:142" ht="3.75" customHeight="1" x14ac:dyDescent="0.25">
      <c r="A8" s="1125" t="s">
        <v>650</v>
      </c>
      <c r="B8" s="1125"/>
      <c r="C8" s="1125"/>
      <c r="D8" s="1125"/>
      <c r="E8" s="1125"/>
      <c r="F8" s="1125"/>
      <c r="G8" s="1125"/>
      <c r="H8" s="1125"/>
      <c r="I8" s="1125"/>
      <c r="J8" s="1125"/>
      <c r="K8" s="1125"/>
      <c r="L8" s="1125"/>
      <c r="M8" s="1125"/>
      <c r="N8" s="1125"/>
      <c r="O8" s="1125"/>
      <c r="P8" s="1125"/>
      <c r="Q8" s="1125"/>
      <c r="R8" s="1125"/>
      <c r="S8" s="1125"/>
      <c r="T8" s="1125"/>
      <c r="AA8" s="1123"/>
      <c r="AB8" s="1123"/>
      <c r="AC8" s="1123"/>
      <c r="AD8" s="1123"/>
      <c r="AE8" s="1123"/>
      <c r="AF8" s="1123"/>
      <c r="AG8" s="1123"/>
      <c r="AH8" s="1123"/>
      <c r="AI8" s="1123"/>
      <c r="AJ8" s="1123"/>
      <c r="AK8" s="1123"/>
      <c r="AL8" s="1123"/>
      <c r="AM8" s="1123"/>
      <c r="AN8" s="1123"/>
      <c r="AO8" s="1123"/>
      <c r="AP8" s="1123"/>
      <c r="AQ8" s="1123"/>
      <c r="AR8" s="1123"/>
      <c r="AS8" s="1123"/>
      <c r="AT8" s="1123"/>
      <c r="AU8" s="1123"/>
      <c r="AV8" s="1123"/>
      <c r="AW8" s="1123"/>
      <c r="AX8" s="1123"/>
      <c r="AY8" s="1123"/>
      <c r="AZ8" s="1123"/>
      <c r="BA8" s="1123"/>
      <c r="BB8" s="1123"/>
      <c r="BC8" s="1123"/>
      <c r="BD8" s="1123"/>
      <c r="BE8" s="1123"/>
      <c r="BF8" s="1123"/>
      <c r="BG8" s="1123"/>
      <c r="BH8" s="1123"/>
      <c r="BI8" s="1123"/>
      <c r="BJ8" s="1123"/>
      <c r="BK8" s="1123"/>
      <c r="BL8" s="1123"/>
      <c r="BM8" s="1123"/>
      <c r="BN8" s="1123"/>
      <c r="BO8" s="1123"/>
      <c r="BP8" s="1123"/>
      <c r="BQ8" s="1123"/>
      <c r="BR8" s="1123"/>
      <c r="BS8" s="1123"/>
      <c r="BT8" s="1123"/>
      <c r="BU8" s="1123"/>
      <c r="BV8" s="1123"/>
      <c r="BW8" s="1123"/>
      <c r="BX8" s="1123"/>
      <c r="BY8" s="1123"/>
      <c r="BZ8" s="1123"/>
      <c r="CA8" s="1123"/>
      <c r="CB8" s="1123"/>
      <c r="CC8" s="1123"/>
      <c r="CD8" s="1123"/>
      <c r="CE8" s="1123"/>
      <c r="CF8" s="1123"/>
      <c r="CG8" s="1123"/>
      <c r="CH8" s="1123"/>
      <c r="CI8" s="1123"/>
      <c r="CJ8" s="1123"/>
      <c r="CK8" s="1123"/>
      <c r="CL8" s="1123"/>
      <c r="CM8" s="1123"/>
      <c r="CN8" s="1123"/>
      <c r="CO8" s="1123"/>
      <c r="CP8" s="1123"/>
      <c r="CQ8" s="1123"/>
      <c r="CR8" s="1123"/>
      <c r="CS8" s="1123"/>
      <c r="CT8" s="1123"/>
      <c r="CU8" s="1123"/>
      <c r="CV8" s="1123"/>
      <c r="CW8" s="1123"/>
      <c r="CX8" s="1123"/>
      <c r="CY8" s="1123"/>
      <c r="CZ8" s="1123"/>
      <c r="DA8" s="1123"/>
      <c r="DB8" s="1123"/>
      <c r="DC8" s="1123"/>
      <c r="DD8" s="1123"/>
      <c r="DE8" s="1123"/>
      <c r="DF8" s="1123"/>
      <c r="DG8" s="1123"/>
      <c r="DN8" s="1126" t="s">
        <v>649</v>
      </c>
      <c r="DO8" s="1126"/>
      <c r="DP8" s="1126"/>
      <c r="DQ8" s="1126"/>
      <c r="DR8" s="1126"/>
      <c r="DS8" s="1126"/>
      <c r="DT8" s="1126"/>
      <c r="DU8" s="1126"/>
      <c r="DV8" s="1126"/>
      <c r="DW8" s="1126"/>
      <c r="DX8" s="1126"/>
      <c r="DY8" s="1126"/>
      <c r="DZ8" s="1126"/>
      <c r="EA8" s="1126"/>
      <c r="EB8" s="1126"/>
      <c r="EC8" s="1126"/>
      <c r="ED8" s="1126"/>
      <c r="EE8" s="1126"/>
      <c r="EF8" s="1126"/>
      <c r="EG8" s="1126"/>
      <c r="EH8" s="1126"/>
      <c r="EI8" s="1126"/>
      <c r="EJ8" s="1126"/>
      <c r="EK8" s="1126"/>
      <c r="EL8" s="1126"/>
    </row>
    <row r="9" spans="1:142" ht="3.75" customHeight="1" x14ac:dyDescent="0.25">
      <c r="A9" s="1125"/>
      <c r="B9" s="1125"/>
      <c r="C9" s="1125"/>
      <c r="D9" s="1125"/>
      <c r="E9" s="1125"/>
      <c r="F9" s="1125"/>
      <c r="G9" s="1125"/>
      <c r="H9" s="1125"/>
      <c r="I9" s="1125"/>
      <c r="J9" s="1125"/>
      <c r="K9" s="1125"/>
      <c r="L9" s="1125"/>
      <c r="M9" s="1125"/>
      <c r="N9" s="1125"/>
      <c r="O9" s="1125"/>
      <c r="P9" s="1125"/>
      <c r="Q9" s="1125"/>
      <c r="R9" s="1125"/>
      <c r="S9" s="1125"/>
      <c r="T9" s="1125"/>
      <c r="AA9" s="1124"/>
      <c r="AB9" s="1124"/>
      <c r="AC9" s="1124"/>
      <c r="AD9" s="1124"/>
      <c r="AE9" s="1124"/>
      <c r="AF9" s="1124"/>
      <c r="AG9" s="1124"/>
      <c r="AH9" s="1124"/>
      <c r="AI9" s="1124"/>
      <c r="AJ9" s="1124"/>
      <c r="AK9" s="1124"/>
      <c r="AL9" s="1124"/>
      <c r="AM9" s="1124"/>
      <c r="AN9" s="1124"/>
      <c r="AO9" s="1124"/>
      <c r="AP9" s="1124"/>
      <c r="AQ9" s="1124"/>
      <c r="AR9" s="1124"/>
      <c r="AS9" s="1124"/>
      <c r="AT9" s="1124"/>
      <c r="AU9" s="1124"/>
      <c r="AV9" s="1124"/>
      <c r="AW9" s="1124"/>
      <c r="AX9" s="1124"/>
      <c r="AY9" s="1124"/>
      <c r="AZ9" s="1124"/>
      <c r="BA9" s="1124"/>
      <c r="BB9" s="1124"/>
      <c r="BC9" s="1124"/>
      <c r="BD9" s="1124"/>
      <c r="BE9" s="1124"/>
      <c r="BF9" s="1124"/>
      <c r="BG9" s="1124"/>
      <c r="BH9" s="1124"/>
      <c r="BI9" s="1124"/>
      <c r="BJ9" s="1124"/>
      <c r="BK9" s="1124"/>
      <c r="BL9" s="1124"/>
      <c r="BM9" s="1124"/>
      <c r="BN9" s="1124"/>
      <c r="BO9" s="1124"/>
      <c r="BP9" s="1124"/>
      <c r="BQ9" s="1124"/>
      <c r="BR9" s="1124"/>
      <c r="BS9" s="1124"/>
      <c r="BT9" s="1124"/>
      <c r="BU9" s="1124"/>
      <c r="BV9" s="1124"/>
      <c r="BW9" s="1124"/>
      <c r="BX9" s="1124"/>
      <c r="BY9" s="1124"/>
      <c r="BZ9" s="1124"/>
      <c r="CA9" s="1124"/>
      <c r="CB9" s="1124"/>
      <c r="CC9" s="1124"/>
      <c r="CD9" s="1124"/>
      <c r="CE9" s="1124"/>
      <c r="CF9" s="1124"/>
      <c r="CG9" s="1124"/>
      <c r="CH9" s="1124"/>
      <c r="CI9" s="1124"/>
      <c r="CJ9" s="1124"/>
      <c r="CK9" s="1124"/>
      <c r="CL9" s="1124"/>
      <c r="CM9" s="1124"/>
      <c r="CN9" s="1124"/>
      <c r="CO9" s="1124"/>
      <c r="CP9" s="1124"/>
      <c r="CQ9" s="1124"/>
      <c r="CR9" s="1124"/>
      <c r="CS9" s="1124"/>
      <c r="CT9" s="1124"/>
      <c r="CU9" s="1124"/>
      <c r="CV9" s="1124"/>
      <c r="CW9" s="1124"/>
      <c r="CX9" s="1124"/>
      <c r="CY9" s="1124"/>
      <c r="CZ9" s="1124"/>
      <c r="DA9" s="1124"/>
      <c r="DB9" s="1124"/>
      <c r="DC9" s="1124"/>
      <c r="DD9" s="1124"/>
      <c r="DE9" s="1124"/>
      <c r="DF9" s="1124"/>
      <c r="DG9" s="1124"/>
      <c r="DN9" s="1126"/>
      <c r="DO9" s="1126"/>
      <c r="DP9" s="1126"/>
      <c r="DQ9" s="1126"/>
      <c r="DR9" s="1126"/>
      <c r="DS9" s="1126"/>
      <c r="DT9" s="1126"/>
      <c r="DU9" s="1126"/>
      <c r="DV9" s="1126"/>
      <c r="DW9" s="1126"/>
      <c r="DX9" s="1126"/>
      <c r="DY9" s="1126"/>
      <c r="DZ9" s="1126"/>
      <c r="EA9" s="1126"/>
      <c r="EB9" s="1126"/>
      <c r="EC9" s="1126"/>
      <c r="ED9" s="1126"/>
      <c r="EE9" s="1126"/>
      <c r="EF9" s="1126"/>
      <c r="EG9" s="1126"/>
      <c r="EH9" s="1126"/>
      <c r="EI9" s="1126"/>
      <c r="EJ9" s="1126"/>
      <c r="EK9" s="1126"/>
      <c r="EL9" s="1126"/>
    </row>
    <row r="10" spans="1:142" ht="3.75" customHeight="1" x14ac:dyDescent="0.25">
      <c r="A10" s="1125"/>
      <c r="B10" s="1125"/>
      <c r="C10" s="1125"/>
      <c r="D10" s="1125"/>
      <c r="E10" s="1125"/>
      <c r="F10" s="1125"/>
      <c r="G10" s="1125"/>
      <c r="H10" s="1125"/>
      <c r="I10" s="1125"/>
      <c r="J10" s="1125"/>
      <c r="K10" s="1125"/>
      <c r="L10" s="1125"/>
      <c r="M10" s="1125"/>
      <c r="N10" s="1125"/>
      <c r="O10" s="1125"/>
      <c r="P10" s="1125"/>
      <c r="Q10" s="1125"/>
      <c r="R10" s="1125"/>
      <c r="S10" s="1125"/>
      <c r="T10" s="1125"/>
      <c r="AA10" s="631" t="s">
        <v>648</v>
      </c>
      <c r="AB10" s="631"/>
      <c r="AC10" s="631"/>
      <c r="AD10" s="631"/>
      <c r="AE10" s="631"/>
      <c r="AF10" s="631"/>
      <c r="AG10" s="631"/>
      <c r="AH10" s="631"/>
      <c r="AI10" s="631"/>
      <c r="AJ10" s="631"/>
      <c r="AK10" s="631"/>
      <c r="AL10" s="631"/>
      <c r="AM10" s="631"/>
      <c r="AN10" s="631"/>
      <c r="AO10" s="631"/>
      <c r="AP10" s="631"/>
      <c r="AQ10" s="631"/>
      <c r="AR10" s="631"/>
      <c r="AS10" s="631"/>
      <c r="AT10" s="631"/>
      <c r="AU10" s="631"/>
      <c r="AV10" s="631"/>
      <c r="AW10" s="631"/>
      <c r="AX10" s="631"/>
      <c r="AY10" s="631"/>
      <c r="AZ10" s="631"/>
      <c r="BA10" s="631"/>
      <c r="BB10" s="631"/>
      <c r="BC10" s="631"/>
      <c r="BD10" s="631"/>
      <c r="BE10" s="631"/>
      <c r="BF10" s="631"/>
      <c r="BG10" s="631"/>
      <c r="BH10" s="631"/>
      <c r="BI10" s="631"/>
      <c r="BJ10" s="631"/>
      <c r="BK10" s="631"/>
      <c r="BL10" s="631"/>
      <c r="BM10" s="631"/>
      <c r="BN10" s="631"/>
      <c r="BO10" s="631"/>
      <c r="BP10" s="631"/>
      <c r="BQ10" s="631"/>
      <c r="BR10" s="631"/>
      <c r="BS10" s="631"/>
      <c r="BT10" s="631"/>
      <c r="BU10" s="631"/>
      <c r="BV10" s="631"/>
      <c r="BW10" s="631"/>
      <c r="BX10" s="631"/>
      <c r="BY10" s="631"/>
      <c r="BZ10" s="631"/>
      <c r="CA10" s="631"/>
      <c r="CB10" s="631"/>
      <c r="CC10" s="631"/>
      <c r="CD10" s="631"/>
      <c r="CE10" s="631"/>
      <c r="CF10" s="631"/>
      <c r="CG10" s="631"/>
      <c r="CH10" s="631"/>
      <c r="CI10" s="631"/>
      <c r="CJ10" s="631"/>
      <c r="CK10" s="631"/>
      <c r="CL10" s="631"/>
      <c r="CM10" s="631"/>
      <c r="CN10" s="631"/>
      <c r="CO10" s="631"/>
      <c r="CP10" s="631"/>
      <c r="CQ10" s="631"/>
      <c r="CR10" s="631"/>
      <c r="CS10" s="631"/>
      <c r="CT10" s="631"/>
      <c r="CU10" s="631"/>
      <c r="CV10" s="631"/>
      <c r="CW10" s="631"/>
      <c r="CX10" s="631"/>
      <c r="CY10" s="631"/>
      <c r="CZ10" s="631"/>
      <c r="DA10" s="631"/>
      <c r="DB10" s="631"/>
      <c r="DC10" s="631"/>
      <c r="DD10" s="631"/>
      <c r="DE10" s="631"/>
      <c r="DF10" s="631"/>
      <c r="DG10" s="631"/>
      <c r="DN10" s="1126"/>
      <c r="DO10" s="1126"/>
      <c r="DP10" s="1126"/>
      <c r="DQ10" s="1126"/>
      <c r="DR10" s="1126"/>
      <c r="DS10" s="1126"/>
      <c r="DT10" s="1126"/>
      <c r="DU10" s="1126"/>
      <c r="DV10" s="1126"/>
      <c r="DW10" s="1126"/>
      <c r="DX10" s="1126"/>
      <c r="DY10" s="1126"/>
      <c r="DZ10" s="1126"/>
      <c r="EA10" s="1126"/>
      <c r="EB10" s="1126"/>
      <c r="EC10" s="1126"/>
      <c r="ED10" s="1126"/>
      <c r="EE10" s="1126"/>
      <c r="EF10" s="1126"/>
      <c r="EG10" s="1126"/>
      <c r="EH10" s="1126"/>
      <c r="EI10" s="1126"/>
      <c r="EJ10" s="1126"/>
      <c r="EK10" s="1126"/>
      <c r="EL10" s="1126"/>
    </row>
    <row r="11" spans="1:142" ht="3.75" customHeight="1" x14ac:dyDescent="0.25">
      <c r="A11" s="1125"/>
      <c r="B11" s="1125"/>
      <c r="C11" s="1125"/>
      <c r="D11" s="1125"/>
      <c r="E11" s="1125"/>
      <c r="F11" s="1125"/>
      <c r="G11" s="1125"/>
      <c r="H11" s="1125"/>
      <c r="I11" s="1125"/>
      <c r="J11" s="1125"/>
      <c r="K11" s="1125"/>
      <c r="L11" s="1125"/>
      <c r="M11" s="1125"/>
      <c r="N11" s="1125"/>
      <c r="O11" s="1125"/>
      <c r="P11" s="1125"/>
      <c r="Q11" s="1125"/>
      <c r="R11" s="1125"/>
      <c r="S11" s="1125"/>
      <c r="T11" s="1125"/>
      <c r="AA11" s="631"/>
      <c r="AB11" s="631"/>
      <c r="AC11" s="631"/>
      <c r="AD11" s="631"/>
      <c r="AE11" s="631"/>
      <c r="AF11" s="631"/>
      <c r="AG11" s="631"/>
      <c r="AH11" s="631"/>
      <c r="AI11" s="631"/>
      <c r="AJ11" s="631"/>
      <c r="AK11" s="631"/>
      <c r="AL11" s="631"/>
      <c r="AM11" s="631"/>
      <c r="AN11" s="631"/>
      <c r="AO11" s="631"/>
      <c r="AP11" s="631"/>
      <c r="AQ11" s="631"/>
      <c r="AR11" s="631"/>
      <c r="AS11" s="631"/>
      <c r="AT11" s="631"/>
      <c r="AU11" s="631"/>
      <c r="AV11" s="631"/>
      <c r="AW11" s="631"/>
      <c r="AX11" s="631"/>
      <c r="AY11" s="631"/>
      <c r="AZ11" s="631"/>
      <c r="BA11" s="631"/>
      <c r="BB11" s="631"/>
      <c r="BC11" s="631"/>
      <c r="BD11" s="631"/>
      <c r="BE11" s="631"/>
      <c r="BF11" s="631"/>
      <c r="BG11" s="631"/>
      <c r="BH11" s="631"/>
      <c r="BI11" s="631"/>
      <c r="BJ11" s="631"/>
      <c r="BK11" s="631"/>
      <c r="BL11" s="631"/>
      <c r="BM11" s="631"/>
      <c r="BN11" s="631"/>
      <c r="BO11" s="631"/>
      <c r="BP11" s="631"/>
      <c r="BQ11" s="631"/>
      <c r="BR11" s="631"/>
      <c r="BS11" s="631"/>
      <c r="BT11" s="631"/>
      <c r="BU11" s="631"/>
      <c r="BV11" s="631"/>
      <c r="BW11" s="631"/>
      <c r="BX11" s="631"/>
      <c r="BY11" s="631"/>
      <c r="BZ11" s="631"/>
      <c r="CA11" s="631"/>
      <c r="CB11" s="631"/>
      <c r="CC11" s="631"/>
      <c r="CD11" s="631"/>
      <c r="CE11" s="631"/>
      <c r="CF11" s="631"/>
      <c r="CG11" s="631"/>
      <c r="CH11" s="631"/>
      <c r="CI11" s="631"/>
      <c r="CJ11" s="631"/>
      <c r="CK11" s="631"/>
      <c r="CL11" s="631"/>
      <c r="CM11" s="631"/>
      <c r="CN11" s="631"/>
      <c r="CO11" s="631"/>
      <c r="CP11" s="631"/>
      <c r="CQ11" s="631"/>
      <c r="CR11" s="631"/>
      <c r="CS11" s="631"/>
      <c r="CT11" s="631"/>
      <c r="CU11" s="631"/>
      <c r="CV11" s="631"/>
      <c r="CW11" s="631"/>
      <c r="CX11" s="631"/>
      <c r="CY11" s="631"/>
      <c r="CZ11" s="631"/>
      <c r="DA11" s="631"/>
      <c r="DB11" s="631"/>
      <c r="DC11" s="631"/>
      <c r="DD11" s="631"/>
      <c r="DE11" s="631"/>
      <c r="DF11" s="631"/>
      <c r="DG11" s="631"/>
      <c r="DN11" s="1126"/>
      <c r="DO11" s="1126"/>
      <c r="DP11" s="1126"/>
      <c r="DQ11" s="1126"/>
      <c r="DR11" s="1126"/>
      <c r="DS11" s="1126"/>
      <c r="DT11" s="1126"/>
      <c r="DU11" s="1126"/>
      <c r="DV11" s="1126"/>
      <c r="DW11" s="1126"/>
      <c r="DX11" s="1126"/>
      <c r="DY11" s="1126"/>
      <c r="DZ11" s="1126"/>
      <c r="EA11" s="1126"/>
      <c r="EB11" s="1126"/>
      <c r="EC11" s="1126"/>
      <c r="ED11" s="1126"/>
      <c r="EE11" s="1126"/>
      <c r="EF11" s="1126"/>
      <c r="EG11" s="1126"/>
      <c r="EH11" s="1126"/>
      <c r="EI11" s="1126"/>
      <c r="EJ11" s="1126"/>
      <c r="EK11" s="1126"/>
      <c r="EL11" s="1126"/>
    </row>
    <row r="12" spans="1:142" ht="3.75" customHeight="1" x14ac:dyDescent="0.25">
      <c r="A12" s="364"/>
      <c r="B12" s="364"/>
      <c r="C12" s="364"/>
      <c r="D12" s="364"/>
      <c r="E12" s="364"/>
      <c r="F12" s="364"/>
      <c r="G12" s="364"/>
      <c r="H12" s="364"/>
      <c r="I12" s="364"/>
      <c r="J12" s="364"/>
      <c r="K12" s="364"/>
      <c r="L12" s="364"/>
      <c r="M12" s="364"/>
      <c r="N12" s="364"/>
      <c r="O12" s="364"/>
      <c r="P12" s="364"/>
      <c r="Q12" s="364"/>
      <c r="R12" s="364"/>
      <c r="S12" s="364"/>
      <c r="T12" s="364"/>
      <c r="U12" s="364"/>
      <c r="V12" s="364"/>
      <c r="W12" s="364"/>
      <c r="X12" s="364"/>
      <c r="Y12" s="364"/>
      <c r="Z12" s="364"/>
      <c r="AA12" s="1084"/>
      <c r="AB12" s="1084"/>
      <c r="AC12" s="1084"/>
      <c r="AD12" s="1084"/>
      <c r="AE12" s="1084"/>
      <c r="AF12" s="1084"/>
      <c r="AG12" s="1084"/>
      <c r="AH12" s="1084"/>
      <c r="AI12" s="1084"/>
      <c r="AJ12" s="1084"/>
      <c r="AK12" s="1084"/>
      <c r="AL12" s="1084"/>
      <c r="AM12" s="1084"/>
      <c r="AN12" s="1084"/>
      <c r="AO12" s="1084"/>
      <c r="AP12" s="1084"/>
      <c r="AQ12" s="1084"/>
      <c r="AR12" s="1084"/>
      <c r="AS12" s="1084"/>
      <c r="AT12" s="1084"/>
      <c r="AU12" s="1084"/>
      <c r="AV12" s="1084"/>
      <c r="AW12" s="1084"/>
      <c r="AX12" s="1084"/>
      <c r="AY12" s="1084"/>
      <c r="AZ12" s="1084"/>
      <c r="BA12" s="1084"/>
      <c r="BB12" s="1084"/>
      <c r="BC12" s="1084"/>
      <c r="BD12" s="1084"/>
      <c r="BE12" s="1084"/>
      <c r="BF12" s="1084"/>
      <c r="BG12" s="1084"/>
      <c r="BH12" s="1084"/>
      <c r="BI12" s="1084"/>
      <c r="BJ12" s="1084"/>
      <c r="BK12" s="1084"/>
      <c r="BL12" s="1084"/>
      <c r="BM12" s="1084"/>
      <c r="BN12" s="1084"/>
      <c r="BO12" s="1084"/>
      <c r="BP12" s="1084"/>
      <c r="BQ12" s="1084"/>
      <c r="BR12" s="1084"/>
      <c r="BS12" s="1084"/>
      <c r="BT12" s="1084"/>
      <c r="BU12" s="1084"/>
      <c r="BV12" s="1084"/>
      <c r="BW12" s="1084"/>
      <c r="BX12" s="1084"/>
      <c r="BY12" s="1084"/>
      <c r="BZ12" s="1084"/>
      <c r="CA12" s="1084"/>
      <c r="CB12" s="1084"/>
      <c r="CC12" s="1084"/>
      <c r="CD12" s="1084"/>
      <c r="CE12" s="1084"/>
      <c r="CF12" s="1084"/>
      <c r="CG12" s="1084"/>
      <c r="CH12" s="1084"/>
      <c r="CI12" s="1084"/>
      <c r="CJ12" s="1084"/>
      <c r="CK12" s="1084"/>
      <c r="CL12" s="1084"/>
      <c r="CM12" s="1084"/>
      <c r="CN12" s="1084"/>
      <c r="CO12" s="1084"/>
      <c r="CP12" s="1084"/>
      <c r="CQ12" s="1084"/>
      <c r="CR12" s="1084"/>
      <c r="CS12" s="1084"/>
      <c r="CT12" s="1084"/>
      <c r="CU12" s="1084"/>
      <c r="CV12" s="1084"/>
      <c r="CW12" s="1084"/>
      <c r="CX12" s="1084"/>
      <c r="CY12" s="1084"/>
      <c r="CZ12" s="1084"/>
      <c r="DA12" s="1084"/>
      <c r="DB12" s="1084"/>
      <c r="DC12" s="1084"/>
      <c r="DD12" s="1084"/>
      <c r="DE12" s="1084"/>
      <c r="DF12" s="1084"/>
      <c r="DG12" s="1084"/>
      <c r="DH12" s="364"/>
      <c r="DI12" s="364"/>
      <c r="DJ12" s="364"/>
      <c r="DK12" s="364"/>
      <c r="DL12" s="364"/>
      <c r="DM12" s="364"/>
      <c r="DN12" s="364"/>
      <c r="DO12" s="364"/>
      <c r="DP12" s="364"/>
      <c r="DQ12" s="364"/>
      <c r="DR12" s="364"/>
      <c r="DS12" s="364"/>
      <c r="DT12" s="364"/>
      <c r="DU12" s="364"/>
      <c r="DV12" s="364"/>
      <c r="DW12" s="364"/>
      <c r="DX12" s="364"/>
      <c r="DY12" s="364"/>
      <c r="DZ12" s="364"/>
      <c r="EA12" s="364"/>
      <c r="EB12" s="364"/>
      <c r="EC12" s="364"/>
      <c r="ED12" s="364"/>
      <c r="EE12" s="364"/>
      <c r="EF12" s="364"/>
      <c r="EG12" s="364"/>
      <c r="EH12" s="364"/>
      <c r="EI12" s="364"/>
      <c r="EJ12" s="364"/>
      <c r="EK12" s="364"/>
      <c r="EL12" s="364"/>
    </row>
    <row r="14" spans="1:142" ht="3.75" customHeight="1" x14ac:dyDescent="0.25">
      <c r="N14" s="1129" t="s">
        <v>647</v>
      </c>
      <c r="O14" s="1130"/>
      <c r="P14" s="1130"/>
      <c r="Q14" s="1130"/>
      <c r="R14" s="1130"/>
      <c r="S14" s="1130"/>
      <c r="T14" s="1130"/>
      <c r="U14" s="1130"/>
      <c r="V14" s="1130"/>
      <c r="W14" s="1130"/>
      <c r="X14" s="1130"/>
      <c r="Y14" s="1130"/>
      <c r="Z14" s="1130"/>
      <c r="AA14" s="1130"/>
      <c r="AB14" s="1130"/>
      <c r="AC14" s="1130"/>
      <c r="AD14" s="1130"/>
      <c r="AE14" s="1131"/>
      <c r="AT14" s="1129" t="s">
        <v>646</v>
      </c>
      <c r="AU14" s="1113"/>
      <c r="AV14" s="1113"/>
      <c r="AW14" s="1113"/>
      <c r="AX14" s="1113"/>
      <c r="AY14" s="1113"/>
      <c r="AZ14" s="1113"/>
      <c r="BA14" s="1113"/>
      <c r="BB14" s="1113"/>
      <c r="BC14" s="1113"/>
      <c r="BD14" s="1113"/>
      <c r="BE14" s="1113"/>
      <c r="BF14" s="1113"/>
      <c r="BG14" s="1113"/>
      <c r="BH14" s="1113"/>
      <c r="BI14" s="1113"/>
      <c r="BJ14" s="1113"/>
      <c r="BK14" s="1113"/>
      <c r="BL14" s="1113"/>
      <c r="BM14" s="1113"/>
      <c r="BN14" s="1113"/>
      <c r="BO14" s="1113"/>
      <c r="BP14" s="1113"/>
      <c r="BQ14" s="1114"/>
      <c r="BS14" s="1121" t="s">
        <v>645</v>
      </c>
      <c r="BT14" s="1121"/>
      <c r="BU14" s="1121"/>
      <c r="BV14" s="1121"/>
      <c r="BW14" s="1121"/>
      <c r="BX14" s="1121"/>
      <c r="BY14" s="1121"/>
      <c r="BZ14" s="1121"/>
      <c r="CA14" s="1121"/>
      <c r="CB14" s="1121"/>
      <c r="CC14" s="1121"/>
      <c r="CD14" s="1121"/>
      <c r="CE14" s="1121"/>
      <c r="CF14" s="1121"/>
      <c r="CG14" s="1121"/>
      <c r="CH14" s="1121"/>
      <c r="CI14" s="1121"/>
      <c r="CJ14" s="1121"/>
      <c r="CK14" s="1121"/>
      <c r="CL14" s="1121"/>
      <c r="CM14" s="1121"/>
      <c r="CN14" s="1121"/>
      <c r="CO14" s="1121"/>
      <c r="CP14" s="1121"/>
      <c r="CQ14" s="1121"/>
      <c r="CR14" s="1121"/>
      <c r="CS14" s="1121"/>
      <c r="CT14" s="1121"/>
      <c r="CU14" s="1121"/>
      <c r="CV14" s="1121"/>
      <c r="CW14" s="1121"/>
      <c r="CX14" s="1121"/>
      <c r="CY14" s="1121"/>
      <c r="CZ14" s="1121"/>
      <c r="DA14" s="1121"/>
      <c r="DB14" s="1121"/>
      <c r="DC14" s="1121"/>
      <c r="DD14" s="1121"/>
      <c r="DE14" s="1121"/>
      <c r="DF14" s="1121"/>
      <c r="DG14" s="1121"/>
      <c r="DH14" s="1121"/>
      <c r="DI14" s="1121"/>
      <c r="DJ14" s="1121"/>
      <c r="DK14" s="1121"/>
      <c r="DL14" s="1121"/>
      <c r="DM14" s="1121"/>
      <c r="DN14" s="1121"/>
      <c r="DO14" s="1121"/>
      <c r="DP14" s="1121"/>
      <c r="DQ14" s="1121"/>
      <c r="DR14" s="1121"/>
      <c r="DS14" s="1121"/>
      <c r="DT14" s="1121"/>
      <c r="DU14" s="1121"/>
      <c r="DV14" s="1121"/>
      <c r="DW14" s="1121"/>
      <c r="DX14" s="1121"/>
      <c r="DY14" s="1121"/>
      <c r="DZ14" s="1121"/>
      <c r="EA14" s="1121"/>
      <c r="EB14" s="1121"/>
      <c r="EC14" s="1121"/>
      <c r="ED14" s="1121"/>
      <c r="EE14" s="1121"/>
      <c r="EF14" s="1121"/>
      <c r="EG14" s="1121"/>
      <c r="EH14" s="1121"/>
      <c r="EI14" s="1121"/>
      <c r="EJ14" s="1121"/>
      <c r="EK14" s="1121"/>
      <c r="EL14" s="1121"/>
    </row>
    <row r="15" spans="1:142" ht="3.75" customHeight="1" x14ac:dyDescent="0.25">
      <c r="A15" s="1127" t="s">
        <v>639</v>
      </c>
      <c r="B15" s="1127"/>
      <c r="C15" s="1127"/>
      <c r="D15" s="1127"/>
      <c r="E15" s="1127"/>
      <c r="F15" s="1127"/>
      <c r="G15" s="1127"/>
      <c r="H15" s="1127"/>
      <c r="I15" s="1127"/>
      <c r="J15" s="1127"/>
      <c r="K15" s="1127"/>
      <c r="L15" s="1127"/>
      <c r="M15" s="1127"/>
      <c r="N15" s="1132"/>
      <c r="O15" s="1133"/>
      <c r="P15" s="1133"/>
      <c r="Q15" s="1133"/>
      <c r="R15" s="1133"/>
      <c r="S15" s="1133"/>
      <c r="T15" s="1133"/>
      <c r="U15" s="1133"/>
      <c r="V15" s="1133"/>
      <c r="W15" s="1133"/>
      <c r="X15" s="1133"/>
      <c r="Y15" s="1133"/>
      <c r="Z15" s="1133"/>
      <c r="AA15" s="1133"/>
      <c r="AB15" s="1133"/>
      <c r="AC15" s="1133"/>
      <c r="AD15" s="1133"/>
      <c r="AE15" s="1134"/>
      <c r="AF15" s="1077" t="s">
        <v>644</v>
      </c>
      <c r="AG15" s="1077"/>
      <c r="AH15" s="1077"/>
      <c r="AI15" s="1077"/>
      <c r="AJ15" s="1077"/>
      <c r="AK15" s="1077"/>
      <c r="AL15" s="1077"/>
      <c r="AM15" s="1077"/>
      <c r="AN15" s="1077"/>
      <c r="AO15" s="1077"/>
      <c r="AP15" s="1077"/>
      <c r="AQ15" s="1077"/>
      <c r="AR15" s="1077"/>
      <c r="AS15" s="1077"/>
      <c r="AT15" s="1115"/>
      <c r="AU15" s="1116"/>
      <c r="AV15" s="1116"/>
      <c r="AW15" s="1116"/>
      <c r="AX15" s="1116"/>
      <c r="AY15" s="1116"/>
      <c r="AZ15" s="1116"/>
      <c r="BA15" s="1116"/>
      <c r="BB15" s="1116"/>
      <c r="BC15" s="1116"/>
      <c r="BD15" s="1116"/>
      <c r="BE15" s="1116"/>
      <c r="BF15" s="1116"/>
      <c r="BG15" s="1116"/>
      <c r="BH15" s="1116"/>
      <c r="BI15" s="1116"/>
      <c r="BJ15" s="1116"/>
      <c r="BK15" s="1116"/>
      <c r="BL15" s="1116"/>
      <c r="BM15" s="1116"/>
      <c r="BN15" s="1116"/>
      <c r="BO15" s="1116"/>
      <c r="BP15" s="1116"/>
      <c r="BQ15" s="1117"/>
      <c r="BS15" s="1121"/>
      <c r="BT15" s="1121"/>
      <c r="BU15" s="1121"/>
      <c r="BV15" s="1121"/>
      <c r="BW15" s="1121"/>
      <c r="BX15" s="1121"/>
      <c r="BY15" s="1121"/>
      <c r="BZ15" s="1121"/>
      <c r="CA15" s="1121"/>
      <c r="CB15" s="1121"/>
      <c r="CC15" s="1121"/>
      <c r="CD15" s="1121"/>
      <c r="CE15" s="1121"/>
      <c r="CF15" s="1121"/>
      <c r="CG15" s="1121"/>
      <c r="CH15" s="1121"/>
      <c r="CI15" s="1121"/>
      <c r="CJ15" s="1121"/>
      <c r="CK15" s="1121"/>
      <c r="CL15" s="1121"/>
      <c r="CM15" s="1121"/>
      <c r="CN15" s="1121"/>
      <c r="CO15" s="1121"/>
      <c r="CP15" s="1121"/>
      <c r="CQ15" s="1121"/>
      <c r="CR15" s="1121"/>
      <c r="CS15" s="1121"/>
      <c r="CT15" s="1121"/>
      <c r="CU15" s="1121"/>
      <c r="CV15" s="1121"/>
      <c r="CW15" s="1121"/>
      <c r="CX15" s="1121"/>
      <c r="CY15" s="1121"/>
      <c r="CZ15" s="1121"/>
      <c r="DA15" s="1121"/>
      <c r="DB15" s="1121"/>
      <c r="DC15" s="1121"/>
      <c r="DD15" s="1121"/>
      <c r="DE15" s="1121"/>
      <c r="DF15" s="1121"/>
      <c r="DG15" s="1121"/>
      <c r="DH15" s="1121"/>
      <c r="DI15" s="1121"/>
      <c r="DJ15" s="1121"/>
      <c r="DK15" s="1121"/>
      <c r="DL15" s="1121"/>
      <c r="DM15" s="1121"/>
      <c r="DN15" s="1121"/>
      <c r="DO15" s="1121"/>
      <c r="DP15" s="1121"/>
      <c r="DQ15" s="1121"/>
      <c r="DR15" s="1121"/>
      <c r="DS15" s="1121"/>
      <c r="DT15" s="1121"/>
      <c r="DU15" s="1121"/>
      <c r="DV15" s="1121"/>
      <c r="DW15" s="1121"/>
      <c r="DX15" s="1121"/>
      <c r="DY15" s="1121"/>
      <c r="DZ15" s="1121"/>
      <c r="EA15" s="1121"/>
      <c r="EB15" s="1121"/>
      <c r="EC15" s="1121"/>
      <c r="ED15" s="1121"/>
      <c r="EE15" s="1121"/>
      <c r="EF15" s="1121"/>
      <c r="EG15" s="1121"/>
      <c r="EH15" s="1121"/>
      <c r="EI15" s="1121"/>
      <c r="EJ15" s="1121"/>
      <c r="EK15" s="1121"/>
      <c r="EL15" s="1121"/>
    </row>
    <row r="16" spans="1:142" ht="3.75" customHeight="1" x14ac:dyDescent="0.25">
      <c r="A16" s="1127"/>
      <c r="B16" s="1127"/>
      <c r="C16" s="1127"/>
      <c r="D16" s="1127"/>
      <c r="E16" s="1127"/>
      <c r="F16" s="1127"/>
      <c r="G16" s="1127"/>
      <c r="H16" s="1127"/>
      <c r="I16" s="1127"/>
      <c r="J16" s="1127"/>
      <c r="K16" s="1127"/>
      <c r="L16" s="1127"/>
      <c r="M16" s="1127"/>
      <c r="N16" s="1132"/>
      <c r="O16" s="1133"/>
      <c r="P16" s="1133"/>
      <c r="Q16" s="1133"/>
      <c r="R16" s="1133"/>
      <c r="S16" s="1133"/>
      <c r="T16" s="1133"/>
      <c r="U16" s="1133"/>
      <c r="V16" s="1133"/>
      <c r="W16" s="1133"/>
      <c r="X16" s="1133"/>
      <c r="Y16" s="1133"/>
      <c r="Z16" s="1133"/>
      <c r="AA16" s="1133"/>
      <c r="AB16" s="1133"/>
      <c r="AC16" s="1133"/>
      <c r="AD16" s="1133"/>
      <c r="AE16" s="1134"/>
      <c r="AF16" s="1077"/>
      <c r="AG16" s="1077"/>
      <c r="AH16" s="1077"/>
      <c r="AI16" s="1077"/>
      <c r="AJ16" s="1077"/>
      <c r="AK16" s="1077"/>
      <c r="AL16" s="1077"/>
      <c r="AM16" s="1077"/>
      <c r="AN16" s="1077"/>
      <c r="AO16" s="1077"/>
      <c r="AP16" s="1077"/>
      <c r="AQ16" s="1077"/>
      <c r="AR16" s="1077"/>
      <c r="AS16" s="1077"/>
      <c r="AT16" s="1115"/>
      <c r="AU16" s="1116"/>
      <c r="AV16" s="1116"/>
      <c r="AW16" s="1116"/>
      <c r="AX16" s="1116"/>
      <c r="AY16" s="1116"/>
      <c r="AZ16" s="1116"/>
      <c r="BA16" s="1116"/>
      <c r="BB16" s="1116"/>
      <c r="BC16" s="1116"/>
      <c r="BD16" s="1116"/>
      <c r="BE16" s="1116"/>
      <c r="BF16" s="1116"/>
      <c r="BG16" s="1116"/>
      <c r="BH16" s="1116"/>
      <c r="BI16" s="1116"/>
      <c r="BJ16" s="1116"/>
      <c r="BK16" s="1116"/>
      <c r="BL16" s="1116"/>
      <c r="BM16" s="1116"/>
      <c r="BN16" s="1116"/>
      <c r="BO16" s="1116"/>
      <c r="BP16" s="1116"/>
      <c r="BQ16" s="1117"/>
      <c r="BS16" s="364"/>
      <c r="BT16" s="364"/>
      <c r="BU16" s="364"/>
      <c r="BV16" s="364"/>
      <c r="BW16" s="364"/>
      <c r="BX16" s="364"/>
      <c r="BY16" s="364"/>
      <c r="BZ16" s="364"/>
      <c r="CA16" s="364"/>
      <c r="CB16" s="364"/>
      <c r="CC16" s="364"/>
      <c r="CD16" s="364"/>
      <c r="CE16" s="364"/>
      <c r="CF16" s="364"/>
      <c r="CG16" s="364"/>
      <c r="CH16" s="364"/>
      <c r="CI16" s="364"/>
      <c r="CJ16" s="364"/>
      <c r="CK16" s="364"/>
      <c r="CL16" s="364"/>
      <c r="CM16" s="364"/>
      <c r="CN16" s="364"/>
      <c r="CO16" s="364"/>
      <c r="CP16" s="364"/>
      <c r="CQ16" s="364"/>
      <c r="CR16" s="364"/>
      <c r="CS16" s="364"/>
      <c r="CT16" s="364"/>
      <c r="CU16" s="364"/>
      <c r="CV16" s="364"/>
      <c r="CW16" s="364"/>
      <c r="CX16" s="364"/>
      <c r="CY16" s="364"/>
      <c r="CZ16" s="364"/>
      <c r="DA16" s="364"/>
      <c r="DB16" s="364"/>
      <c r="DC16" s="364"/>
      <c r="DD16" s="364"/>
      <c r="DE16" s="364"/>
      <c r="DF16" s="364"/>
      <c r="DG16" s="364"/>
      <c r="DH16" s="364"/>
      <c r="DI16" s="364"/>
      <c r="DJ16" s="364"/>
      <c r="DK16" s="364"/>
      <c r="DL16" s="364"/>
      <c r="DM16" s="364"/>
      <c r="DN16" s="364"/>
      <c r="DO16" s="364"/>
      <c r="DP16" s="364"/>
      <c r="DQ16" s="364"/>
      <c r="DR16" s="364"/>
      <c r="DS16" s="364"/>
      <c r="DT16" s="364"/>
      <c r="DU16" s="364"/>
      <c r="DV16" s="364"/>
      <c r="DW16" s="364"/>
      <c r="DX16" s="364"/>
      <c r="DY16" s="364"/>
      <c r="DZ16" s="364"/>
      <c r="EA16" s="364"/>
      <c r="EB16" s="364"/>
      <c r="EC16" s="364"/>
      <c r="ED16" s="364"/>
      <c r="EE16" s="364"/>
      <c r="EF16" s="364"/>
      <c r="EG16" s="364"/>
      <c r="EH16" s="364"/>
      <c r="EI16" s="364"/>
      <c r="EJ16" s="364"/>
      <c r="EK16" s="364"/>
      <c r="EL16" s="364"/>
    </row>
    <row r="17" spans="1:166" ht="3.75" customHeight="1" x14ac:dyDescent="0.25">
      <c r="A17" s="1127"/>
      <c r="B17" s="1127"/>
      <c r="C17" s="1127"/>
      <c r="D17" s="1127"/>
      <c r="E17" s="1127"/>
      <c r="F17" s="1127"/>
      <c r="G17" s="1127"/>
      <c r="H17" s="1127"/>
      <c r="I17" s="1127"/>
      <c r="J17" s="1127"/>
      <c r="K17" s="1127"/>
      <c r="L17" s="1127"/>
      <c r="M17" s="1127"/>
      <c r="N17" s="1132"/>
      <c r="O17" s="1133"/>
      <c r="P17" s="1133"/>
      <c r="Q17" s="1133"/>
      <c r="R17" s="1133"/>
      <c r="S17" s="1133"/>
      <c r="T17" s="1133"/>
      <c r="U17" s="1133"/>
      <c r="V17" s="1133"/>
      <c r="W17" s="1133"/>
      <c r="X17" s="1133"/>
      <c r="Y17" s="1133"/>
      <c r="Z17" s="1133"/>
      <c r="AA17" s="1133"/>
      <c r="AB17" s="1133"/>
      <c r="AC17" s="1133"/>
      <c r="AD17" s="1133"/>
      <c r="AE17" s="1134"/>
      <c r="AF17" s="1077"/>
      <c r="AG17" s="1077"/>
      <c r="AH17" s="1077"/>
      <c r="AI17" s="1077"/>
      <c r="AJ17" s="1077"/>
      <c r="AK17" s="1077"/>
      <c r="AL17" s="1077"/>
      <c r="AM17" s="1077"/>
      <c r="AN17" s="1077"/>
      <c r="AO17" s="1077"/>
      <c r="AP17" s="1077"/>
      <c r="AQ17" s="1077"/>
      <c r="AR17" s="1077"/>
      <c r="AS17" s="1077"/>
      <c r="AT17" s="1115"/>
      <c r="AU17" s="1116"/>
      <c r="AV17" s="1116"/>
      <c r="AW17" s="1116"/>
      <c r="AX17" s="1116"/>
      <c r="AY17" s="1116"/>
      <c r="AZ17" s="1116"/>
      <c r="BA17" s="1116"/>
      <c r="BB17" s="1116"/>
      <c r="BC17" s="1116"/>
      <c r="BD17" s="1116"/>
      <c r="BE17" s="1116"/>
      <c r="BF17" s="1116"/>
      <c r="BG17" s="1116"/>
      <c r="BH17" s="1116"/>
      <c r="BI17" s="1116"/>
      <c r="BJ17" s="1116"/>
      <c r="BK17" s="1116"/>
      <c r="BL17" s="1116"/>
      <c r="BM17" s="1116"/>
      <c r="BN17" s="1116"/>
      <c r="BO17" s="1116"/>
      <c r="BP17" s="1116"/>
      <c r="BQ17" s="1117"/>
      <c r="BS17" s="1138" t="str">
        <f>CONCATENATE('Data Entry'!B5," - ",'Data Entry'!B7," - ",'Data Entry'!B9)</f>
        <v xml:space="preserve"> -  - </v>
      </c>
      <c r="BT17" s="1139"/>
      <c r="BU17" s="1139"/>
      <c r="BV17" s="1139"/>
      <c r="BW17" s="1139"/>
      <c r="BX17" s="1139"/>
      <c r="BY17" s="1139"/>
      <c r="BZ17" s="1139"/>
      <c r="CA17" s="1139"/>
      <c r="CB17" s="1139"/>
      <c r="CC17" s="1139"/>
      <c r="CD17" s="1139"/>
      <c r="CE17" s="1139"/>
      <c r="CF17" s="1139"/>
      <c r="CG17" s="1139"/>
      <c r="CH17" s="1139"/>
      <c r="CI17" s="1139"/>
      <c r="CJ17" s="1139"/>
      <c r="CK17" s="1139"/>
      <c r="CL17" s="1139"/>
      <c r="CM17" s="1139"/>
      <c r="CN17" s="1139"/>
      <c r="CO17" s="1139"/>
      <c r="CP17" s="1139"/>
      <c r="CQ17" s="1139"/>
      <c r="CR17" s="1139"/>
      <c r="CS17" s="1139"/>
      <c r="CT17" s="1139"/>
      <c r="CU17" s="1139"/>
      <c r="CV17" s="1139"/>
      <c r="CW17" s="1139"/>
      <c r="CX17" s="1139"/>
      <c r="CY17" s="1139"/>
      <c r="CZ17" s="1139"/>
      <c r="DA17" s="1139"/>
      <c r="DB17" s="1139"/>
      <c r="DC17" s="1139"/>
      <c r="DD17" s="1139"/>
      <c r="DE17" s="1139"/>
      <c r="DF17" s="1139"/>
      <c r="DG17" s="1139"/>
      <c r="DH17" s="1139"/>
      <c r="DI17" s="1139"/>
      <c r="DJ17" s="1139"/>
      <c r="DK17" s="1139"/>
      <c r="DL17" s="1139"/>
      <c r="DM17" s="1139"/>
      <c r="DN17" s="1139"/>
      <c r="DO17" s="1139"/>
      <c r="DP17" s="1139"/>
      <c r="DQ17" s="1139"/>
      <c r="DR17" s="1139"/>
      <c r="DS17" s="1139"/>
      <c r="DT17" s="1139"/>
      <c r="DU17" s="1139"/>
      <c r="DV17" s="1139"/>
      <c r="DW17" s="1139"/>
      <c r="DX17" s="1139"/>
      <c r="DY17" s="1139"/>
      <c r="DZ17" s="1139"/>
      <c r="EA17" s="1139"/>
      <c r="EB17" s="1139"/>
      <c r="EC17" s="1139"/>
      <c r="ED17" s="1139"/>
      <c r="EE17" s="1139"/>
      <c r="EF17" s="1139"/>
      <c r="EG17" s="1139"/>
      <c r="EH17" s="1139"/>
      <c r="EI17" s="1139"/>
      <c r="EJ17" s="1139"/>
      <c r="EK17" s="1139"/>
      <c r="EL17" s="1140"/>
    </row>
    <row r="18" spans="1:166" ht="3.75" customHeight="1" x14ac:dyDescent="0.25">
      <c r="A18" s="1127" t="s">
        <v>643</v>
      </c>
      <c r="B18" s="1127"/>
      <c r="C18" s="1127"/>
      <c r="D18" s="1127"/>
      <c r="E18" s="1127"/>
      <c r="F18" s="1127"/>
      <c r="G18" s="1127"/>
      <c r="H18" s="1127"/>
      <c r="I18" s="1127"/>
      <c r="J18" s="1127"/>
      <c r="K18" s="1127"/>
      <c r="L18" s="1127"/>
      <c r="M18" s="1127"/>
      <c r="N18" s="1132"/>
      <c r="O18" s="1133"/>
      <c r="P18" s="1133"/>
      <c r="Q18" s="1133"/>
      <c r="R18" s="1133"/>
      <c r="S18" s="1133"/>
      <c r="T18" s="1133"/>
      <c r="U18" s="1133"/>
      <c r="V18" s="1133"/>
      <c r="W18" s="1133"/>
      <c r="X18" s="1133"/>
      <c r="Y18" s="1133"/>
      <c r="Z18" s="1133"/>
      <c r="AA18" s="1133"/>
      <c r="AB18" s="1133"/>
      <c r="AC18" s="1133"/>
      <c r="AD18" s="1133"/>
      <c r="AE18" s="1134"/>
      <c r="AF18" s="1077" t="s">
        <v>642</v>
      </c>
      <c r="AG18" s="1077"/>
      <c r="AH18" s="1077"/>
      <c r="AI18" s="1077"/>
      <c r="AJ18" s="1077"/>
      <c r="AK18" s="1077"/>
      <c r="AL18" s="1077"/>
      <c r="AM18" s="1077"/>
      <c r="AN18" s="1077"/>
      <c r="AO18" s="1077"/>
      <c r="AP18" s="1077"/>
      <c r="AQ18" s="1077"/>
      <c r="AR18" s="1077"/>
      <c r="AS18" s="1077"/>
      <c r="AT18" s="1115"/>
      <c r="AU18" s="1116"/>
      <c r="AV18" s="1116"/>
      <c r="AW18" s="1116"/>
      <c r="AX18" s="1116"/>
      <c r="AY18" s="1116"/>
      <c r="AZ18" s="1116"/>
      <c r="BA18" s="1116"/>
      <c r="BB18" s="1116"/>
      <c r="BC18" s="1116"/>
      <c r="BD18" s="1116"/>
      <c r="BE18" s="1116"/>
      <c r="BF18" s="1116"/>
      <c r="BG18" s="1116"/>
      <c r="BH18" s="1116"/>
      <c r="BI18" s="1116"/>
      <c r="BJ18" s="1116"/>
      <c r="BK18" s="1116"/>
      <c r="BL18" s="1116"/>
      <c r="BM18" s="1116"/>
      <c r="BN18" s="1116"/>
      <c r="BO18" s="1116"/>
      <c r="BP18" s="1116"/>
      <c r="BQ18" s="1117"/>
      <c r="BS18" s="1141"/>
      <c r="BT18" s="1077"/>
      <c r="BU18" s="1077"/>
      <c r="BV18" s="1077"/>
      <c r="BW18" s="1077"/>
      <c r="BX18" s="1077"/>
      <c r="BY18" s="1077"/>
      <c r="BZ18" s="1077"/>
      <c r="CA18" s="1077"/>
      <c r="CB18" s="1077"/>
      <c r="CC18" s="1077"/>
      <c r="CD18" s="1077"/>
      <c r="CE18" s="1077"/>
      <c r="CF18" s="1077"/>
      <c r="CG18" s="1077"/>
      <c r="CH18" s="1077"/>
      <c r="CI18" s="1077"/>
      <c r="CJ18" s="1077"/>
      <c r="CK18" s="1077"/>
      <c r="CL18" s="1077"/>
      <c r="CM18" s="1077"/>
      <c r="CN18" s="1077"/>
      <c r="CO18" s="1077"/>
      <c r="CP18" s="1077"/>
      <c r="CQ18" s="1077"/>
      <c r="CR18" s="1077"/>
      <c r="CS18" s="1077"/>
      <c r="CT18" s="1077"/>
      <c r="CU18" s="1077"/>
      <c r="CV18" s="1077"/>
      <c r="CW18" s="1077"/>
      <c r="CX18" s="1077"/>
      <c r="CY18" s="1077"/>
      <c r="CZ18" s="1077"/>
      <c r="DA18" s="1077"/>
      <c r="DB18" s="1077"/>
      <c r="DC18" s="1077"/>
      <c r="DD18" s="1077"/>
      <c r="DE18" s="1077"/>
      <c r="DF18" s="1077"/>
      <c r="DG18" s="1077"/>
      <c r="DH18" s="1077"/>
      <c r="DI18" s="1077"/>
      <c r="DJ18" s="1077"/>
      <c r="DK18" s="1077"/>
      <c r="DL18" s="1077"/>
      <c r="DM18" s="1077"/>
      <c r="DN18" s="1077"/>
      <c r="DO18" s="1077"/>
      <c r="DP18" s="1077"/>
      <c r="DQ18" s="1077"/>
      <c r="DR18" s="1077"/>
      <c r="DS18" s="1077"/>
      <c r="DT18" s="1077"/>
      <c r="DU18" s="1077"/>
      <c r="DV18" s="1077"/>
      <c r="DW18" s="1077"/>
      <c r="DX18" s="1077"/>
      <c r="DY18" s="1077"/>
      <c r="DZ18" s="1077"/>
      <c r="EA18" s="1077"/>
      <c r="EB18" s="1077"/>
      <c r="EC18" s="1077"/>
      <c r="ED18" s="1077"/>
      <c r="EE18" s="1077"/>
      <c r="EF18" s="1077"/>
      <c r="EG18" s="1077"/>
      <c r="EH18" s="1077"/>
      <c r="EI18" s="1077"/>
      <c r="EJ18" s="1077"/>
      <c r="EK18" s="1077"/>
      <c r="EL18" s="1142"/>
    </row>
    <row r="19" spans="1:166" ht="3.75" customHeight="1" x14ac:dyDescent="0.25">
      <c r="A19" s="1127"/>
      <c r="B19" s="1127"/>
      <c r="C19" s="1127"/>
      <c r="D19" s="1127"/>
      <c r="E19" s="1127"/>
      <c r="F19" s="1127"/>
      <c r="G19" s="1127"/>
      <c r="H19" s="1127"/>
      <c r="I19" s="1127"/>
      <c r="J19" s="1127"/>
      <c r="K19" s="1127"/>
      <c r="L19" s="1127"/>
      <c r="M19" s="1127"/>
      <c r="N19" s="1132"/>
      <c r="O19" s="1133"/>
      <c r="P19" s="1133"/>
      <c r="Q19" s="1133"/>
      <c r="R19" s="1133"/>
      <c r="S19" s="1133"/>
      <c r="T19" s="1133"/>
      <c r="U19" s="1133"/>
      <c r="V19" s="1133"/>
      <c r="W19" s="1133"/>
      <c r="X19" s="1133"/>
      <c r="Y19" s="1133"/>
      <c r="Z19" s="1133"/>
      <c r="AA19" s="1133"/>
      <c r="AB19" s="1133"/>
      <c r="AC19" s="1133"/>
      <c r="AD19" s="1133"/>
      <c r="AE19" s="1134"/>
      <c r="AF19" s="1077"/>
      <c r="AG19" s="1077"/>
      <c r="AH19" s="1077"/>
      <c r="AI19" s="1077"/>
      <c r="AJ19" s="1077"/>
      <c r="AK19" s="1077"/>
      <c r="AL19" s="1077"/>
      <c r="AM19" s="1077"/>
      <c r="AN19" s="1077"/>
      <c r="AO19" s="1077"/>
      <c r="AP19" s="1077"/>
      <c r="AQ19" s="1077"/>
      <c r="AR19" s="1077"/>
      <c r="AS19" s="1077"/>
      <c r="AT19" s="1115"/>
      <c r="AU19" s="1116"/>
      <c r="AV19" s="1116"/>
      <c r="AW19" s="1116"/>
      <c r="AX19" s="1116"/>
      <c r="AY19" s="1116"/>
      <c r="AZ19" s="1116"/>
      <c r="BA19" s="1116"/>
      <c r="BB19" s="1116"/>
      <c r="BC19" s="1116"/>
      <c r="BD19" s="1116"/>
      <c r="BE19" s="1116"/>
      <c r="BF19" s="1116"/>
      <c r="BG19" s="1116"/>
      <c r="BH19" s="1116"/>
      <c r="BI19" s="1116"/>
      <c r="BJ19" s="1116"/>
      <c r="BK19" s="1116"/>
      <c r="BL19" s="1116"/>
      <c r="BM19" s="1116"/>
      <c r="BN19" s="1116"/>
      <c r="BO19" s="1116"/>
      <c r="BP19" s="1116"/>
      <c r="BQ19" s="1117"/>
      <c r="BS19" s="1141"/>
      <c r="BT19" s="1077"/>
      <c r="BU19" s="1077"/>
      <c r="BV19" s="1077"/>
      <c r="BW19" s="1077"/>
      <c r="BX19" s="1077"/>
      <c r="BY19" s="1077"/>
      <c r="BZ19" s="1077"/>
      <c r="CA19" s="1077"/>
      <c r="CB19" s="1077"/>
      <c r="CC19" s="1077"/>
      <c r="CD19" s="1077"/>
      <c r="CE19" s="1077"/>
      <c r="CF19" s="1077"/>
      <c r="CG19" s="1077"/>
      <c r="CH19" s="1077"/>
      <c r="CI19" s="1077"/>
      <c r="CJ19" s="1077"/>
      <c r="CK19" s="1077"/>
      <c r="CL19" s="1077"/>
      <c r="CM19" s="1077"/>
      <c r="CN19" s="1077"/>
      <c r="CO19" s="1077"/>
      <c r="CP19" s="1077"/>
      <c r="CQ19" s="1077"/>
      <c r="CR19" s="1077"/>
      <c r="CS19" s="1077"/>
      <c r="CT19" s="1077"/>
      <c r="CU19" s="1077"/>
      <c r="CV19" s="1077"/>
      <c r="CW19" s="1077"/>
      <c r="CX19" s="1077"/>
      <c r="CY19" s="1077"/>
      <c r="CZ19" s="1077"/>
      <c r="DA19" s="1077"/>
      <c r="DB19" s="1077"/>
      <c r="DC19" s="1077"/>
      <c r="DD19" s="1077"/>
      <c r="DE19" s="1077"/>
      <c r="DF19" s="1077"/>
      <c r="DG19" s="1077"/>
      <c r="DH19" s="1077"/>
      <c r="DI19" s="1077"/>
      <c r="DJ19" s="1077"/>
      <c r="DK19" s="1077"/>
      <c r="DL19" s="1077"/>
      <c r="DM19" s="1077"/>
      <c r="DN19" s="1077"/>
      <c r="DO19" s="1077"/>
      <c r="DP19" s="1077"/>
      <c r="DQ19" s="1077"/>
      <c r="DR19" s="1077"/>
      <c r="DS19" s="1077"/>
      <c r="DT19" s="1077"/>
      <c r="DU19" s="1077"/>
      <c r="DV19" s="1077"/>
      <c r="DW19" s="1077"/>
      <c r="DX19" s="1077"/>
      <c r="DY19" s="1077"/>
      <c r="DZ19" s="1077"/>
      <c r="EA19" s="1077"/>
      <c r="EB19" s="1077"/>
      <c r="EC19" s="1077"/>
      <c r="ED19" s="1077"/>
      <c r="EE19" s="1077"/>
      <c r="EF19" s="1077"/>
      <c r="EG19" s="1077"/>
      <c r="EH19" s="1077"/>
      <c r="EI19" s="1077"/>
      <c r="EJ19" s="1077"/>
      <c r="EK19" s="1077"/>
      <c r="EL19" s="1142"/>
    </row>
    <row r="20" spans="1:166" ht="3.75" customHeight="1" x14ac:dyDescent="0.25">
      <c r="A20" s="1127"/>
      <c r="B20" s="1127"/>
      <c r="C20" s="1127"/>
      <c r="D20" s="1127"/>
      <c r="E20" s="1127"/>
      <c r="F20" s="1127"/>
      <c r="G20" s="1127"/>
      <c r="H20" s="1127"/>
      <c r="I20" s="1127"/>
      <c r="J20" s="1127"/>
      <c r="K20" s="1127"/>
      <c r="L20" s="1127"/>
      <c r="M20" s="1127"/>
      <c r="N20" s="1132"/>
      <c r="O20" s="1133"/>
      <c r="P20" s="1133"/>
      <c r="Q20" s="1133"/>
      <c r="R20" s="1133"/>
      <c r="S20" s="1133"/>
      <c r="T20" s="1133"/>
      <c r="U20" s="1133"/>
      <c r="V20" s="1133"/>
      <c r="W20" s="1133"/>
      <c r="X20" s="1133"/>
      <c r="Y20" s="1133"/>
      <c r="Z20" s="1133"/>
      <c r="AA20" s="1133"/>
      <c r="AB20" s="1133"/>
      <c r="AC20" s="1133"/>
      <c r="AD20" s="1133"/>
      <c r="AE20" s="1134"/>
      <c r="AF20" s="1077"/>
      <c r="AG20" s="1077"/>
      <c r="AH20" s="1077"/>
      <c r="AI20" s="1077"/>
      <c r="AJ20" s="1077"/>
      <c r="AK20" s="1077"/>
      <c r="AL20" s="1077"/>
      <c r="AM20" s="1077"/>
      <c r="AN20" s="1077"/>
      <c r="AO20" s="1077"/>
      <c r="AP20" s="1077"/>
      <c r="AQ20" s="1077"/>
      <c r="AR20" s="1077"/>
      <c r="AS20" s="1077"/>
      <c r="AT20" s="1115"/>
      <c r="AU20" s="1116"/>
      <c r="AV20" s="1116"/>
      <c r="AW20" s="1116"/>
      <c r="AX20" s="1116"/>
      <c r="AY20" s="1116"/>
      <c r="AZ20" s="1116"/>
      <c r="BA20" s="1116"/>
      <c r="BB20" s="1116"/>
      <c r="BC20" s="1116"/>
      <c r="BD20" s="1116"/>
      <c r="BE20" s="1116"/>
      <c r="BF20" s="1116"/>
      <c r="BG20" s="1116"/>
      <c r="BH20" s="1116"/>
      <c r="BI20" s="1116"/>
      <c r="BJ20" s="1116"/>
      <c r="BK20" s="1116"/>
      <c r="BL20" s="1116"/>
      <c r="BM20" s="1116"/>
      <c r="BN20" s="1116"/>
      <c r="BO20" s="1116"/>
      <c r="BP20" s="1116"/>
      <c r="BQ20" s="1117"/>
      <c r="BS20" s="1141"/>
      <c r="BT20" s="1077"/>
      <c r="BU20" s="1077"/>
      <c r="BV20" s="1077"/>
      <c r="BW20" s="1077"/>
      <c r="BX20" s="1077"/>
      <c r="BY20" s="1077"/>
      <c r="BZ20" s="1077"/>
      <c r="CA20" s="1077"/>
      <c r="CB20" s="1077"/>
      <c r="CC20" s="1077"/>
      <c r="CD20" s="1077"/>
      <c r="CE20" s="1077"/>
      <c r="CF20" s="1077"/>
      <c r="CG20" s="1077"/>
      <c r="CH20" s="1077"/>
      <c r="CI20" s="1077"/>
      <c r="CJ20" s="1077"/>
      <c r="CK20" s="1077"/>
      <c r="CL20" s="1077"/>
      <c r="CM20" s="1077"/>
      <c r="CN20" s="1077"/>
      <c r="CO20" s="1077"/>
      <c r="CP20" s="1077"/>
      <c r="CQ20" s="1077"/>
      <c r="CR20" s="1077"/>
      <c r="CS20" s="1077"/>
      <c r="CT20" s="1077"/>
      <c r="CU20" s="1077"/>
      <c r="CV20" s="1077"/>
      <c r="CW20" s="1077"/>
      <c r="CX20" s="1077"/>
      <c r="CY20" s="1077"/>
      <c r="CZ20" s="1077"/>
      <c r="DA20" s="1077"/>
      <c r="DB20" s="1077"/>
      <c r="DC20" s="1077"/>
      <c r="DD20" s="1077"/>
      <c r="DE20" s="1077"/>
      <c r="DF20" s="1077"/>
      <c r="DG20" s="1077"/>
      <c r="DH20" s="1077"/>
      <c r="DI20" s="1077"/>
      <c r="DJ20" s="1077"/>
      <c r="DK20" s="1077"/>
      <c r="DL20" s="1077"/>
      <c r="DM20" s="1077"/>
      <c r="DN20" s="1077"/>
      <c r="DO20" s="1077"/>
      <c r="DP20" s="1077"/>
      <c r="DQ20" s="1077"/>
      <c r="DR20" s="1077"/>
      <c r="DS20" s="1077"/>
      <c r="DT20" s="1077"/>
      <c r="DU20" s="1077"/>
      <c r="DV20" s="1077"/>
      <c r="DW20" s="1077"/>
      <c r="DX20" s="1077"/>
      <c r="DY20" s="1077"/>
      <c r="DZ20" s="1077"/>
      <c r="EA20" s="1077"/>
      <c r="EB20" s="1077"/>
      <c r="EC20" s="1077"/>
      <c r="ED20" s="1077"/>
      <c r="EE20" s="1077"/>
      <c r="EF20" s="1077"/>
      <c r="EG20" s="1077"/>
      <c r="EH20" s="1077"/>
      <c r="EI20" s="1077"/>
      <c r="EJ20" s="1077"/>
      <c r="EK20" s="1077"/>
      <c r="EL20" s="1142"/>
    </row>
    <row r="21" spans="1:166" ht="3.75" customHeight="1" x14ac:dyDescent="0.25">
      <c r="N21" s="1135"/>
      <c r="O21" s="1136"/>
      <c r="P21" s="1136"/>
      <c r="Q21" s="1136"/>
      <c r="R21" s="1136"/>
      <c r="S21" s="1136"/>
      <c r="T21" s="1136"/>
      <c r="U21" s="1136"/>
      <c r="V21" s="1136"/>
      <c r="W21" s="1136"/>
      <c r="X21" s="1136"/>
      <c r="Y21" s="1136"/>
      <c r="Z21" s="1136"/>
      <c r="AA21" s="1136"/>
      <c r="AB21" s="1136"/>
      <c r="AC21" s="1136"/>
      <c r="AD21" s="1136"/>
      <c r="AE21" s="1137"/>
      <c r="AT21" s="1118"/>
      <c r="AU21" s="1119"/>
      <c r="AV21" s="1119"/>
      <c r="AW21" s="1119"/>
      <c r="AX21" s="1119"/>
      <c r="AY21" s="1119"/>
      <c r="AZ21" s="1119"/>
      <c r="BA21" s="1119"/>
      <c r="BB21" s="1119"/>
      <c r="BC21" s="1119"/>
      <c r="BD21" s="1119"/>
      <c r="BE21" s="1119"/>
      <c r="BF21" s="1119"/>
      <c r="BG21" s="1119"/>
      <c r="BH21" s="1119"/>
      <c r="BI21" s="1119"/>
      <c r="BJ21" s="1119"/>
      <c r="BK21" s="1119"/>
      <c r="BL21" s="1119"/>
      <c r="BM21" s="1119"/>
      <c r="BN21" s="1119"/>
      <c r="BO21" s="1119"/>
      <c r="BP21" s="1119"/>
      <c r="BQ21" s="1120"/>
      <c r="BS21" s="1143"/>
      <c r="BT21" s="1144"/>
      <c r="BU21" s="1144"/>
      <c r="BV21" s="1144"/>
      <c r="BW21" s="1144"/>
      <c r="BX21" s="1144"/>
      <c r="BY21" s="1144"/>
      <c r="BZ21" s="1144"/>
      <c r="CA21" s="1144"/>
      <c r="CB21" s="1144"/>
      <c r="CC21" s="1144"/>
      <c r="CD21" s="1144"/>
      <c r="CE21" s="1144"/>
      <c r="CF21" s="1144"/>
      <c r="CG21" s="1144"/>
      <c r="CH21" s="1144"/>
      <c r="CI21" s="1144"/>
      <c r="CJ21" s="1144"/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4"/>
      <c r="CU21" s="1144"/>
      <c r="CV21" s="1144"/>
      <c r="CW21" s="1144"/>
      <c r="CX21" s="1144"/>
      <c r="CY21" s="1144"/>
      <c r="CZ21" s="1144"/>
      <c r="DA21" s="1144"/>
      <c r="DB21" s="1144"/>
      <c r="DC21" s="1144"/>
      <c r="DD21" s="1144"/>
      <c r="DE21" s="1144"/>
      <c r="DF21" s="1144"/>
      <c r="DG21" s="1144"/>
      <c r="DH21" s="1144"/>
      <c r="DI21" s="1144"/>
      <c r="DJ21" s="1144"/>
      <c r="DK21" s="1144"/>
      <c r="DL21" s="1144"/>
      <c r="DM21" s="1144"/>
      <c r="DN21" s="1144"/>
      <c r="DO21" s="1144"/>
      <c r="DP21" s="1144"/>
      <c r="DQ21" s="1144"/>
      <c r="DR21" s="1144"/>
      <c r="DS21" s="1144"/>
      <c r="DT21" s="1144"/>
      <c r="DU21" s="1144"/>
      <c r="DV21" s="1144"/>
      <c r="DW21" s="1144"/>
      <c r="DX21" s="1144"/>
      <c r="DY21" s="1144"/>
      <c r="DZ21" s="1144"/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4"/>
      <c r="EK21" s="1144"/>
      <c r="EL21" s="1145"/>
    </row>
    <row r="22" spans="1:166" ht="3.75" customHeight="1" thickBot="1" x14ac:dyDescent="0.3">
      <c r="A22" s="355"/>
      <c r="B22" s="355"/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  <c r="W22" s="355"/>
      <c r="X22" s="355"/>
      <c r="Y22" s="355"/>
      <c r="Z22" s="355"/>
      <c r="AA22" s="355"/>
      <c r="AB22" s="355"/>
      <c r="AC22" s="355"/>
      <c r="AD22" s="355"/>
      <c r="AE22" s="355"/>
      <c r="AF22" s="355"/>
      <c r="AG22" s="355"/>
      <c r="AH22" s="355"/>
      <c r="AI22" s="355"/>
      <c r="AJ22" s="355"/>
      <c r="AK22" s="355"/>
      <c r="AL22" s="355"/>
      <c r="AM22" s="355"/>
      <c r="AN22" s="355"/>
      <c r="AO22" s="355"/>
      <c r="AP22" s="355"/>
      <c r="AQ22" s="355"/>
      <c r="AR22" s="355"/>
      <c r="AS22" s="355"/>
      <c r="AT22" s="355"/>
      <c r="AU22" s="355"/>
      <c r="AV22" s="355"/>
      <c r="AW22" s="355"/>
      <c r="AX22" s="355"/>
      <c r="AY22" s="355"/>
      <c r="AZ22" s="355"/>
      <c r="BA22" s="355"/>
      <c r="BB22" s="355"/>
      <c r="BC22" s="355"/>
      <c r="BD22" s="355"/>
      <c r="BE22" s="355"/>
      <c r="BF22" s="355"/>
      <c r="BG22" s="355"/>
      <c r="BH22" s="355"/>
      <c r="BI22" s="355"/>
      <c r="BJ22" s="355"/>
      <c r="BK22" s="355"/>
      <c r="BL22" s="355"/>
      <c r="BM22" s="355"/>
      <c r="BN22" s="355"/>
      <c r="BO22" s="355"/>
      <c r="BP22" s="355"/>
      <c r="BQ22" s="355"/>
      <c r="BR22" s="355"/>
      <c r="BS22" s="355"/>
      <c r="BT22" s="355"/>
      <c r="BU22" s="355"/>
      <c r="BV22" s="355"/>
      <c r="BW22" s="355"/>
      <c r="BX22" s="355"/>
      <c r="BY22" s="355"/>
      <c r="BZ22" s="355"/>
      <c r="CA22" s="355"/>
      <c r="CB22" s="355"/>
      <c r="CC22" s="355"/>
      <c r="CD22" s="355"/>
      <c r="CE22" s="355"/>
      <c r="CF22" s="355"/>
      <c r="CG22" s="355"/>
      <c r="CH22" s="355"/>
      <c r="CI22" s="355"/>
      <c r="CJ22" s="355"/>
      <c r="CK22" s="355"/>
      <c r="CL22" s="355"/>
      <c r="CM22" s="355"/>
      <c r="CN22" s="355"/>
      <c r="CO22" s="355"/>
      <c r="CP22" s="355"/>
      <c r="CQ22" s="355"/>
      <c r="CR22" s="355"/>
      <c r="CS22" s="355"/>
      <c r="CT22" s="355"/>
      <c r="CU22" s="355"/>
      <c r="CV22" s="355"/>
      <c r="CW22" s="355"/>
      <c r="CX22" s="355"/>
      <c r="CY22" s="355"/>
      <c r="CZ22" s="355"/>
      <c r="DA22" s="355"/>
      <c r="DB22" s="355"/>
      <c r="DC22" s="355"/>
      <c r="DD22" s="355"/>
      <c r="DE22" s="355"/>
      <c r="DF22" s="355"/>
      <c r="DG22" s="355"/>
      <c r="DH22" s="355"/>
      <c r="DI22" s="355"/>
      <c r="DJ22" s="355"/>
      <c r="DK22" s="355"/>
      <c r="DL22" s="355"/>
      <c r="DM22" s="355"/>
      <c r="DN22" s="355"/>
      <c r="DO22" s="355"/>
      <c r="DP22" s="355"/>
      <c r="DQ22" s="355"/>
      <c r="DR22" s="355"/>
      <c r="DS22" s="355"/>
      <c r="DT22" s="355"/>
      <c r="DU22" s="355"/>
      <c r="DV22" s="355"/>
      <c r="DW22" s="355"/>
      <c r="DX22" s="355"/>
      <c r="DY22" s="355"/>
      <c r="DZ22" s="355"/>
      <c r="EA22" s="355"/>
      <c r="EB22" s="355"/>
      <c r="EC22" s="355"/>
      <c r="ED22" s="355"/>
      <c r="EE22" s="355"/>
      <c r="EF22" s="355"/>
      <c r="EG22" s="355"/>
      <c r="EH22" s="355"/>
      <c r="EI22" s="355"/>
      <c r="EJ22" s="355"/>
      <c r="EK22" s="355"/>
      <c r="EL22" s="355"/>
    </row>
    <row r="23" spans="1:166" ht="3.75" customHeight="1" x14ac:dyDescent="0.25">
      <c r="DQ23" s="1128" t="s">
        <v>641</v>
      </c>
      <c r="DR23" s="1128"/>
      <c r="DS23" s="1128"/>
      <c r="DT23" s="1128"/>
      <c r="DU23" s="1128"/>
      <c r="DV23" s="1128"/>
      <c r="DW23" s="1128"/>
      <c r="DX23" s="1128"/>
      <c r="DY23" s="1128"/>
      <c r="DZ23" s="1128"/>
      <c r="EA23" s="1128"/>
      <c r="EB23" s="1128"/>
      <c r="EC23" s="1128"/>
      <c r="ED23" s="1128"/>
      <c r="EE23" s="1128"/>
      <c r="EF23" s="1128"/>
      <c r="EG23" s="1128"/>
      <c r="EH23" s="1128"/>
      <c r="EI23" s="1128"/>
      <c r="EJ23" s="1128"/>
      <c r="EK23" s="1128"/>
      <c r="EL23" s="1128"/>
    </row>
    <row r="24" spans="1:166" ht="3.75" customHeight="1" x14ac:dyDescent="0.3">
      <c r="N24" s="779" t="str">
        <f>CONCATENATE("Closet Factory, Deerfield"," - ",'Data Entry'!F3)</f>
        <v>Closet Factory, Deerfield - SCOTT</v>
      </c>
      <c r="O24" s="779"/>
      <c r="P24" s="779"/>
      <c r="Q24" s="779"/>
      <c r="R24" s="779"/>
      <c r="S24" s="779"/>
      <c r="T24" s="779"/>
      <c r="U24" s="779"/>
      <c r="V24" s="779"/>
      <c r="W24" s="779"/>
      <c r="X24" s="779"/>
      <c r="Y24" s="779"/>
      <c r="Z24" s="779"/>
      <c r="AA24" s="779"/>
      <c r="AB24" s="779"/>
      <c r="AC24" s="779"/>
      <c r="AD24" s="779"/>
      <c r="AE24" s="779"/>
      <c r="AF24" s="779"/>
      <c r="AG24" s="779"/>
      <c r="AH24" s="779"/>
      <c r="AI24" s="779"/>
      <c r="AJ24" s="779"/>
      <c r="AK24" s="779"/>
      <c r="AL24" s="779"/>
      <c r="AM24" s="779"/>
      <c r="AN24" s="779"/>
      <c r="AO24" s="779"/>
      <c r="AP24" s="779"/>
      <c r="AQ24" s="779"/>
      <c r="AR24" s="779"/>
      <c r="AS24" s="779"/>
      <c r="AT24" s="779"/>
      <c r="AU24" s="779"/>
      <c r="AV24" s="779"/>
      <c r="AW24" s="779"/>
      <c r="AX24" s="779"/>
      <c r="AY24" s="779"/>
      <c r="AZ24" s="779"/>
      <c r="BA24" s="779"/>
      <c r="BB24" s="779"/>
      <c r="BC24" s="779"/>
      <c r="BD24" s="779"/>
      <c r="BE24" s="779"/>
      <c r="BF24" s="779"/>
      <c r="BG24" s="779"/>
      <c r="BH24" s="779"/>
      <c r="BI24" s="779"/>
      <c r="BJ24" s="779"/>
      <c r="BT24" s="779" t="s">
        <v>640</v>
      </c>
      <c r="BU24" s="779"/>
      <c r="BV24" s="779"/>
      <c r="BW24" s="779"/>
      <c r="BX24" s="779"/>
      <c r="BY24" s="779"/>
      <c r="BZ24" s="779"/>
      <c r="CA24" s="779"/>
      <c r="CB24" s="779"/>
      <c r="CC24" s="779"/>
      <c r="CD24" s="779"/>
      <c r="CE24" s="779"/>
      <c r="CF24" s="779"/>
      <c r="CG24" s="779"/>
      <c r="CH24" s="779"/>
      <c r="CI24" s="779"/>
      <c r="CJ24" s="779"/>
      <c r="CK24" s="779"/>
      <c r="CL24" s="779"/>
      <c r="CM24" s="779"/>
      <c r="CN24" s="779"/>
      <c r="CO24" s="779"/>
      <c r="CP24" s="779"/>
      <c r="CQ24" s="779"/>
      <c r="CS24" s="372"/>
      <c r="CT24" s="372"/>
      <c r="CY24" s="697">
        <f ca="1">TODAY()</f>
        <v>46160</v>
      </c>
      <c r="CZ24" s="631"/>
      <c r="DA24" s="631"/>
      <c r="DB24" s="631"/>
      <c r="DC24" s="631"/>
      <c r="DD24" s="631"/>
      <c r="DE24" s="631"/>
      <c r="DF24" s="631"/>
      <c r="DG24" s="631"/>
      <c r="DH24" s="631"/>
      <c r="DI24" s="631"/>
      <c r="DJ24" s="631"/>
      <c r="DK24" s="631"/>
      <c r="DL24" s="631"/>
      <c r="DM24" s="631"/>
      <c r="DN24" s="631"/>
      <c r="DO24" s="631"/>
      <c r="DQ24" s="1091"/>
      <c r="DR24" s="1091"/>
      <c r="DS24" s="1091"/>
      <c r="DT24" s="1091"/>
      <c r="DU24" s="1091"/>
      <c r="DV24" s="1091"/>
      <c r="DW24" s="1091"/>
      <c r="DX24" s="1091"/>
      <c r="DY24" s="1091"/>
      <c r="DZ24" s="1091"/>
      <c r="EA24" s="1091"/>
      <c r="EB24" s="1091"/>
      <c r="EC24" s="1091"/>
      <c r="ED24" s="1091"/>
      <c r="EE24" s="1091"/>
      <c r="EF24" s="1091"/>
      <c r="EG24" s="1091"/>
      <c r="EH24" s="1091"/>
      <c r="EI24" s="1091"/>
      <c r="EJ24" s="1091"/>
      <c r="EK24" s="1091"/>
      <c r="EL24" s="1091"/>
    </row>
    <row r="25" spans="1:166" ht="3.75" customHeight="1" x14ac:dyDescent="0.25">
      <c r="A25" s="1146" t="s">
        <v>639</v>
      </c>
      <c r="B25" s="1146"/>
      <c r="C25" s="1146"/>
      <c r="D25" s="1146"/>
      <c r="E25" s="1146"/>
      <c r="F25" s="1146"/>
      <c r="G25" s="1146"/>
      <c r="H25" s="1146"/>
      <c r="I25" s="1146"/>
      <c r="J25" s="1146"/>
      <c r="K25" s="1146"/>
      <c r="L25" s="1146"/>
      <c r="M25" s="1146"/>
      <c r="N25" s="779"/>
      <c r="O25" s="779"/>
      <c r="P25" s="779"/>
      <c r="Q25" s="779"/>
      <c r="R25" s="779"/>
      <c r="S25" s="779"/>
      <c r="T25" s="779"/>
      <c r="U25" s="779"/>
      <c r="V25" s="779"/>
      <c r="W25" s="779"/>
      <c r="X25" s="779"/>
      <c r="Y25" s="779"/>
      <c r="Z25" s="779"/>
      <c r="AA25" s="779"/>
      <c r="AB25" s="779"/>
      <c r="AC25" s="779"/>
      <c r="AD25" s="779"/>
      <c r="AE25" s="779"/>
      <c r="AF25" s="779"/>
      <c r="AG25" s="779"/>
      <c r="AH25" s="779"/>
      <c r="AI25" s="779"/>
      <c r="AJ25" s="779"/>
      <c r="AK25" s="779"/>
      <c r="AL25" s="779"/>
      <c r="AM25" s="779"/>
      <c r="AN25" s="779"/>
      <c r="AO25" s="779"/>
      <c r="AP25" s="779"/>
      <c r="AQ25" s="779"/>
      <c r="AR25" s="779"/>
      <c r="AS25" s="779"/>
      <c r="AT25" s="779"/>
      <c r="AU25" s="779"/>
      <c r="AV25" s="779"/>
      <c r="AW25" s="779"/>
      <c r="AX25" s="779"/>
      <c r="AY25" s="779"/>
      <c r="AZ25" s="779"/>
      <c r="BA25" s="779"/>
      <c r="BB25" s="779"/>
      <c r="BC25" s="779"/>
      <c r="BD25" s="779"/>
      <c r="BE25" s="779"/>
      <c r="BF25" s="779"/>
      <c r="BG25" s="779"/>
      <c r="BH25" s="779"/>
      <c r="BI25" s="779"/>
      <c r="BJ25" s="779"/>
      <c r="BL25" s="631" t="s">
        <v>638</v>
      </c>
      <c r="BM25" s="631"/>
      <c r="BN25" s="631"/>
      <c r="BO25" s="631"/>
      <c r="BP25" s="631"/>
      <c r="BQ25" s="631"/>
      <c r="BR25" s="631"/>
      <c r="BS25" s="631"/>
      <c r="BT25" s="779"/>
      <c r="BU25" s="779"/>
      <c r="BV25" s="779"/>
      <c r="BW25" s="779"/>
      <c r="BX25" s="779"/>
      <c r="BY25" s="779"/>
      <c r="BZ25" s="779"/>
      <c r="CA25" s="779"/>
      <c r="CB25" s="779"/>
      <c r="CC25" s="779"/>
      <c r="CD25" s="779"/>
      <c r="CE25" s="779"/>
      <c r="CF25" s="779"/>
      <c r="CG25" s="779"/>
      <c r="CH25" s="779"/>
      <c r="CI25" s="779"/>
      <c r="CJ25" s="779"/>
      <c r="CK25" s="779"/>
      <c r="CL25" s="779"/>
      <c r="CM25" s="779"/>
      <c r="CN25" s="779"/>
      <c r="CO25" s="779"/>
      <c r="CP25" s="779"/>
      <c r="CQ25" s="779"/>
      <c r="CS25" s="631" t="s">
        <v>114</v>
      </c>
      <c r="CT25" s="631"/>
      <c r="CU25" s="631"/>
      <c r="CV25" s="631"/>
      <c r="CW25" s="631"/>
      <c r="CX25" s="631"/>
      <c r="CY25" s="631"/>
      <c r="CZ25" s="631"/>
      <c r="DA25" s="631"/>
      <c r="DB25" s="631"/>
      <c r="DC25" s="631"/>
      <c r="DD25" s="631"/>
      <c r="DE25" s="631"/>
      <c r="DF25" s="631"/>
      <c r="DG25" s="631"/>
      <c r="DH25" s="631"/>
      <c r="DI25" s="631"/>
      <c r="DJ25" s="631"/>
      <c r="DK25" s="631"/>
      <c r="DL25" s="631"/>
      <c r="DM25" s="631"/>
      <c r="DN25" s="631"/>
      <c r="DO25" s="631"/>
      <c r="DQ25" s="1091"/>
      <c r="DR25" s="1091"/>
      <c r="DS25" s="1091"/>
      <c r="DT25" s="1091"/>
      <c r="DU25" s="1091"/>
      <c r="DV25" s="1091"/>
      <c r="DW25" s="1091"/>
      <c r="DX25" s="1091"/>
      <c r="DY25" s="1091"/>
      <c r="DZ25" s="1091"/>
      <c r="EA25" s="1091"/>
      <c r="EB25" s="1091"/>
      <c r="EC25" s="1091"/>
      <c r="ED25" s="1091"/>
      <c r="EE25" s="1091"/>
      <c r="EF25" s="1091"/>
      <c r="EG25" s="1091"/>
      <c r="EH25" s="1091"/>
      <c r="EI25" s="1091"/>
      <c r="EJ25" s="1091"/>
      <c r="EK25" s="1091"/>
      <c r="EL25" s="1091"/>
    </row>
    <row r="26" spans="1:166" ht="3.75" customHeight="1" x14ac:dyDescent="0.25">
      <c r="A26" s="1146"/>
      <c r="B26" s="1146"/>
      <c r="C26" s="1146"/>
      <c r="D26" s="1146"/>
      <c r="E26" s="1146"/>
      <c r="F26" s="1146"/>
      <c r="G26" s="1146"/>
      <c r="H26" s="1146"/>
      <c r="I26" s="1146"/>
      <c r="J26" s="1146"/>
      <c r="K26" s="1146"/>
      <c r="L26" s="1146"/>
      <c r="M26" s="1146"/>
      <c r="N26" s="779"/>
      <c r="O26" s="779"/>
      <c r="P26" s="779"/>
      <c r="Q26" s="779"/>
      <c r="R26" s="779"/>
      <c r="S26" s="779"/>
      <c r="T26" s="779"/>
      <c r="U26" s="779"/>
      <c r="V26" s="779"/>
      <c r="W26" s="779"/>
      <c r="X26" s="779"/>
      <c r="Y26" s="779"/>
      <c r="Z26" s="779"/>
      <c r="AA26" s="779"/>
      <c r="AB26" s="779"/>
      <c r="AC26" s="779"/>
      <c r="AD26" s="779"/>
      <c r="AE26" s="779"/>
      <c r="AF26" s="779"/>
      <c r="AG26" s="779"/>
      <c r="AH26" s="779"/>
      <c r="AI26" s="779"/>
      <c r="AJ26" s="779"/>
      <c r="AK26" s="779"/>
      <c r="AL26" s="779"/>
      <c r="AM26" s="779"/>
      <c r="AN26" s="779"/>
      <c r="AO26" s="779"/>
      <c r="AP26" s="779"/>
      <c r="AQ26" s="779"/>
      <c r="AR26" s="779"/>
      <c r="AS26" s="779"/>
      <c r="AT26" s="779"/>
      <c r="AU26" s="779"/>
      <c r="AV26" s="779"/>
      <c r="AW26" s="779"/>
      <c r="AX26" s="779"/>
      <c r="AY26" s="779"/>
      <c r="AZ26" s="779"/>
      <c r="BA26" s="779"/>
      <c r="BB26" s="779"/>
      <c r="BC26" s="779"/>
      <c r="BD26" s="779"/>
      <c r="BE26" s="779"/>
      <c r="BF26" s="779"/>
      <c r="BG26" s="779"/>
      <c r="BH26" s="779"/>
      <c r="BI26" s="779"/>
      <c r="BJ26" s="779"/>
      <c r="BL26" s="631"/>
      <c r="BM26" s="631"/>
      <c r="BN26" s="631"/>
      <c r="BO26" s="631"/>
      <c r="BP26" s="631"/>
      <c r="BQ26" s="631"/>
      <c r="BR26" s="631"/>
      <c r="BS26" s="631"/>
      <c r="BT26" s="779"/>
      <c r="BU26" s="779"/>
      <c r="BV26" s="779"/>
      <c r="BW26" s="779"/>
      <c r="BX26" s="779"/>
      <c r="BY26" s="779"/>
      <c r="BZ26" s="779"/>
      <c r="CA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P26" s="779"/>
      <c r="CQ26" s="779"/>
      <c r="CS26" s="631"/>
      <c r="CT26" s="631"/>
      <c r="CU26" s="631"/>
      <c r="CV26" s="631"/>
      <c r="CW26" s="631"/>
      <c r="CX26" s="631"/>
      <c r="CY26" s="631"/>
      <c r="CZ26" s="631"/>
      <c r="DA26" s="631"/>
      <c r="DB26" s="631"/>
      <c r="DC26" s="631"/>
      <c r="DD26" s="631"/>
      <c r="DE26" s="631"/>
      <c r="DF26" s="631"/>
      <c r="DG26" s="631"/>
      <c r="DH26" s="631"/>
      <c r="DI26" s="631"/>
      <c r="DJ26" s="631"/>
      <c r="DK26" s="631"/>
      <c r="DL26" s="631"/>
      <c r="DM26" s="631"/>
      <c r="DN26" s="631"/>
      <c r="DO26" s="631"/>
      <c r="DQ26" s="1091" t="s">
        <v>637</v>
      </c>
      <c r="DR26" s="1091"/>
      <c r="DS26" s="1091"/>
      <c r="DT26" s="1091"/>
      <c r="DU26" s="1091"/>
      <c r="DV26" s="1091"/>
      <c r="DW26" s="1091"/>
      <c r="DX26" s="1091"/>
      <c r="DY26" s="1091"/>
      <c r="DZ26" s="1091"/>
      <c r="EA26" s="1091"/>
      <c r="EB26" s="1091"/>
      <c r="EC26" s="1091"/>
      <c r="ED26" s="1091"/>
      <c r="EE26" s="1091"/>
      <c r="EF26" s="1091"/>
      <c r="EG26" s="1091"/>
      <c r="EH26" s="1091"/>
      <c r="EI26" s="1091"/>
      <c r="EJ26" s="1091"/>
      <c r="EK26" s="1091"/>
      <c r="EL26" s="1091"/>
    </row>
    <row r="27" spans="1:166" ht="3.75" customHeight="1" x14ac:dyDescent="0.25">
      <c r="A27" s="1146"/>
      <c r="B27" s="1146"/>
      <c r="C27" s="1146"/>
      <c r="D27" s="1146"/>
      <c r="E27" s="1146"/>
      <c r="F27" s="1146"/>
      <c r="G27" s="1146"/>
      <c r="H27" s="1146"/>
      <c r="I27" s="1146"/>
      <c r="J27" s="1146"/>
      <c r="K27" s="1146"/>
      <c r="L27" s="1146"/>
      <c r="M27" s="1146"/>
      <c r="N27" s="1147"/>
      <c r="O27" s="1147"/>
      <c r="P27" s="1147"/>
      <c r="Q27" s="1147"/>
      <c r="R27" s="1147"/>
      <c r="S27" s="1147"/>
      <c r="T27" s="1147"/>
      <c r="U27" s="1147"/>
      <c r="V27" s="1147"/>
      <c r="W27" s="1147"/>
      <c r="X27" s="1147"/>
      <c r="Y27" s="1147"/>
      <c r="Z27" s="1147"/>
      <c r="AA27" s="1147"/>
      <c r="AB27" s="1147"/>
      <c r="AC27" s="1147"/>
      <c r="AD27" s="1147"/>
      <c r="AE27" s="1147"/>
      <c r="AF27" s="1147"/>
      <c r="AG27" s="1147"/>
      <c r="AH27" s="1147"/>
      <c r="AI27" s="1147"/>
      <c r="AJ27" s="1147"/>
      <c r="AK27" s="1147"/>
      <c r="AL27" s="1147"/>
      <c r="AM27" s="1147"/>
      <c r="AN27" s="1147"/>
      <c r="AO27" s="1147"/>
      <c r="AP27" s="1147"/>
      <c r="AQ27" s="1147"/>
      <c r="AR27" s="1147"/>
      <c r="AS27" s="1147"/>
      <c r="AT27" s="1147"/>
      <c r="AU27" s="1147"/>
      <c r="AV27" s="1147"/>
      <c r="AW27" s="1147"/>
      <c r="AX27" s="1147"/>
      <c r="AY27" s="1147"/>
      <c r="AZ27" s="1147"/>
      <c r="BA27" s="1147"/>
      <c r="BB27" s="1147"/>
      <c r="BC27" s="1147"/>
      <c r="BD27" s="1147"/>
      <c r="BE27" s="1147"/>
      <c r="BF27" s="1147"/>
      <c r="BG27" s="1147"/>
      <c r="BH27" s="1147"/>
      <c r="BI27" s="1147"/>
      <c r="BJ27" s="1147"/>
      <c r="BL27" s="631"/>
      <c r="BM27" s="631"/>
      <c r="BN27" s="631"/>
      <c r="BO27" s="631"/>
      <c r="BP27" s="631"/>
      <c r="BQ27" s="631"/>
      <c r="BR27" s="631"/>
      <c r="BS27" s="631"/>
      <c r="BT27" s="1147"/>
      <c r="BU27" s="1147"/>
      <c r="BV27" s="1147"/>
      <c r="BW27" s="1147"/>
      <c r="BX27" s="1147"/>
      <c r="BY27" s="1147"/>
      <c r="BZ27" s="1147"/>
      <c r="CA27" s="1147"/>
      <c r="CB27" s="1147"/>
      <c r="CC27" s="1147"/>
      <c r="CD27" s="1147"/>
      <c r="CE27" s="1147"/>
      <c r="CF27" s="1147"/>
      <c r="CG27" s="1147"/>
      <c r="CH27" s="1147"/>
      <c r="CI27" s="1147"/>
      <c r="CJ27" s="1147"/>
      <c r="CK27" s="1147"/>
      <c r="CL27" s="1147"/>
      <c r="CM27" s="1147"/>
      <c r="CN27" s="1147"/>
      <c r="CO27" s="1147"/>
      <c r="CP27" s="1147"/>
      <c r="CQ27" s="1147"/>
      <c r="CS27" s="631"/>
      <c r="CT27" s="631"/>
      <c r="CU27" s="631"/>
      <c r="CV27" s="631"/>
      <c r="CW27" s="631"/>
      <c r="CX27" s="631"/>
      <c r="CY27" s="1084"/>
      <c r="CZ27" s="1084"/>
      <c r="DA27" s="1084"/>
      <c r="DB27" s="1084"/>
      <c r="DC27" s="1084"/>
      <c r="DD27" s="1084"/>
      <c r="DE27" s="1084"/>
      <c r="DF27" s="1084"/>
      <c r="DG27" s="1084"/>
      <c r="DH27" s="1084"/>
      <c r="DI27" s="1084"/>
      <c r="DJ27" s="1084"/>
      <c r="DK27" s="1084"/>
      <c r="DL27" s="1084"/>
      <c r="DM27" s="1084"/>
      <c r="DN27" s="1084"/>
      <c r="DO27" s="1084"/>
      <c r="DQ27" s="1091"/>
      <c r="DR27" s="1091"/>
      <c r="DS27" s="1091"/>
      <c r="DT27" s="1091"/>
      <c r="DU27" s="1091"/>
      <c r="DV27" s="1091"/>
      <c r="DW27" s="1091"/>
      <c r="DX27" s="1091"/>
      <c r="DY27" s="1091"/>
      <c r="DZ27" s="1091"/>
      <c r="EA27" s="1091"/>
      <c r="EB27" s="1091"/>
      <c r="EC27" s="1091"/>
      <c r="ED27" s="1091"/>
      <c r="EE27" s="1091"/>
      <c r="EF27" s="1091"/>
      <c r="EG27" s="1091"/>
      <c r="EH27" s="1091"/>
      <c r="EI27" s="1091"/>
      <c r="EJ27" s="1091"/>
      <c r="EK27" s="1091"/>
      <c r="EL27" s="1091"/>
      <c r="EM27" s="1086" t="s">
        <v>636</v>
      </c>
      <c r="EN27" s="1086"/>
      <c r="EO27" s="1086"/>
      <c r="EP27" s="1086"/>
      <c r="EQ27" s="1086"/>
      <c r="ER27" s="1086"/>
      <c r="ES27" s="1086"/>
      <c r="ET27" s="1086"/>
      <c r="EU27" s="1086"/>
      <c r="EV27" s="1086"/>
      <c r="EW27" s="1086"/>
      <c r="EX27" s="1086"/>
      <c r="EY27" s="1086"/>
      <c r="EZ27" s="1086"/>
      <c r="FA27" s="1086"/>
      <c r="FB27" s="1086"/>
      <c r="FC27" s="1086"/>
      <c r="FD27" s="1086"/>
      <c r="FE27" s="1086"/>
      <c r="FF27" s="1086"/>
      <c r="FG27" s="1086"/>
      <c r="FH27" s="1086"/>
      <c r="FI27" s="1086"/>
      <c r="FJ27" s="1086"/>
    </row>
    <row r="28" spans="1:166" ht="3.75" customHeight="1" x14ac:dyDescent="0.25">
      <c r="DQ28" s="1091"/>
      <c r="DR28" s="1091"/>
      <c r="DS28" s="1091"/>
      <c r="DT28" s="1091"/>
      <c r="DU28" s="1091"/>
      <c r="DV28" s="1091"/>
      <c r="DW28" s="1091"/>
      <c r="DX28" s="1091"/>
      <c r="DY28" s="1091"/>
      <c r="DZ28" s="1091"/>
      <c r="EA28" s="1091"/>
      <c r="EB28" s="1091"/>
      <c r="EC28" s="1091"/>
      <c r="ED28" s="1091"/>
      <c r="EE28" s="1091"/>
      <c r="EF28" s="1091"/>
      <c r="EG28" s="1091"/>
      <c r="EH28" s="1091"/>
      <c r="EI28" s="1091"/>
      <c r="EJ28" s="1091"/>
      <c r="EK28" s="1091"/>
      <c r="EL28" s="1091"/>
      <c r="EM28" s="1086"/>
      <c r="EN28" s="1086"/>
      <c r="EO28" s="1086"/>
      <c r="EP28" s="1086"/>
      <c r="EQ28" s="1086"/>
      <c r="ER28" s="1086"/>
      <c r="ES28" s="1086"/>
      <c r="ET28" s="1086"/>
      <c r="EU28" s="1086"/>
      <c r="EV28" s="1086"/>
      <c r="EW28" s="1086"/>
      <c r="EX28" s="1086"/>
      <c r="EY28" s="1086"/>
      <c r="EZ28" s="1086"/>
      <c r="FA28" s="1086"/>
      <c r="FB28" s="1086"/>
      <c r="FC28" s="1086"/>
      <c r="FD28" s="1086"/>
      <c r="FE28" s="1086"/>
      <c r="FF28" s="1086"/>
      <c r="FG28" s="1086"/>
      <c r="FH28" s="1086"/>
      <c r="FI28" s="1086"/>
      <c r="FJ28" s="1086"/>
    </row>
    <row r="29" spans="1:166" ht="3.75" customHeight="1" thickBot="1" x14ac:dyDescent="0.3">
      <c r="A29" s="355"/>
      <c r="B29" s="355"/>
      <c r="C29" s="355"/>
      <c r="D29" s="355"/>
      <c r="E29" s="355"/>
      <c r="F29" s="355"/>
      <c r="G29" s="355"/>
      <c r="H29" s="355"/>
      <c r="I29" s="355"/>
      <c r="J29" s="355"/>
      <c r="K29" s="355"/>
      <c r="L29" s="355"/>
      <c r="M29" s="355"/>
      <c r="N29" s="355"/>
      <c r="O29" s="355"/>
      <c r="P29" s="355"/>
      <c r="Q29" s="355"/>
      <c r="R29" s="355"/>
      <c r="S29" s="355"/>
      <c r="T29" s="355"/>
      <c r="U29" s="355"/>
      <c r="V29" s="355"/>
      <c r="W29" s="355"/>
      <c r="X29" s="355"/>
      <c r="Y29" s="355"/>
      <c r="Z29" s="355"/>
      <c r="AA29" s="355"/>
      <c r="AB29" s="355"/>
      <c r="AC29" s="355"/>
      <c r="AD29" s="355"/>
      <c r="AE29" s="355"/>
      <c r="AF29" s="355"/>
      <c r="AG29" s="355"/>
      <c r="AH29" s="355"/>
      <c r="AI29" s="355"/>
      <c r="AJ29" s="355"/>
      <c r="AK29" s="355"/>
      <c r="AL29" s="355"/>
      <c r="AM29" s="355"/>
      <c r="AN29" s="355"/>
      <c r="AO29" s="355"/>
      <c r="AP29" s="355"/>
      <c r="AQ29" s="355"/>
      <c r="AR29" s="355"/>
      <c r="AS29" s="355"/>
      <c r="AT29" s="355"/>
      <c r="AU29" s="355"/>
      <c r="AV29" s="355"/>
      <c r="AW29" s="355"/>
      <c r="AX29" s="355"/>
      <c r="AY29" s="355"/>
      <c r="AZ29" s="355"/>
      <c r="BA29" s="355"/>
      <c r="BB29" s="355"/>
      <c r="BC29" s="355"/>
      <c r="BD29" s="355"/>
      <c r="BE29" s="355"/>
      <c r="BF29" s="355"/>
      <c r="BG29" s="355"/>
      <c r="BH29" s="355"/>
      <c r="BI29" s="355"/>
      <c r="BJ29" s="355"/>
      <c r="BK29" s="355"/>
      <c r="BL29" s="355"/>
      <c r="BM29" s="355"/>
      <c r="BN29" s="355"/>
      <c r="BO29" s="355"/>
      <c r="BP29" s="355"/>
      <c r="BQ29" s="355"/>
      <c r="BR29" s="355"/>
      <c r="BS29" s="355"/>
      <c r="BT29" s="355"/>
      <c r="BU29" s="355"/>
      <c r="BV29" s="355"/>
      <c r="BW29" s="355"/>
      <c r="BX29" s="355"/>
      <c r="BY29" s="355"/>
      <c r="BZ29" s="355"/>
      <c r="CA29" s="355"/>
      <c r="CB29" s="355"/>
      <c r="CC29" s="355"/>
      <c r="CD29" s="355"/>
      <c r="CE29" s="355"/>
      <c r="CF29" s="355"/>
      <c r="CG29" s="355"/>
      <c r="CH29" s="355"/>
      <c r="CI29" s="355"/>
      <c r="CJ29" s="355"/>
      <c r="CK29" s="355"/>
      <c r="CL29" s="355"/>
      <c r="CM29" s="355"/>
      <c r="CN29" s="355"/>
      <c r="CO29" s="355"/>
      <c r="CP29" s="355"/>
      <c r="CQ29" s="355"/>
      <c r="CR29" s="355"/>
      <c r="CS29" s="355"/>
      <c r="CT29" s="355"/>
      <c r="CU29" s="355"/>
      <c r="CV29" s="355"/>
      <c r="CW29" s="355"/>
      <c r="CX29" s="355"/>
      <c r="CY29" s="355"/>
      <c r="CZ29" s="355"/>
      <c r="DA29" s="355"/>
      <c r="DB29" s="355"/>
      <c r="DC29" s="355"/>
      <c r="DD29" s="355"/>
      <c r="DE29" s="355"/>
      <c r="DF29" s="355"/>
      <c r="DG29" s="355"/>
      <c r="DH29" s="355"/>
      <c r="DI29" s="355"/>
      <c r="DJ29" s="355"/>
      <c r="DK29" s="355"/>
      <c r="DL29" s="355"/>
      <c r="DM29" s="355"/>
      <c r="DN29" s="355"/>
      <c r="DO29" s="355"/>
      <c r="DP29" s="355"/>
      <c r="DQ29" s="355"/>
      <c r="DR29" s="355"/>
      <c r="DS29" s="355"/>
      <c r="DT29" s="355"/>
      <c r="DU29" s="355"/>
      <c r="DV29" s="355"/>
      <c r="DW29" s="355"/>
      <c r="DX29" s="355"/>
      <c r="DY29" s="355"/>
      <c r="DZ29" s="355"/>
      <c r="EA29" s="355"/>
      <c r="EB29" s="355"/>
      <c r="EC29" s="355"/>
      <c r="ED29" s="355"/>
      <c r="EE29" s="355"/>
      <c r="EF29" s="355"/>
      <c r="EG29" s="355"/>
      <c r="EH29" s="355"/>
      <c r="EI29" s="355"/>
      <c r="EJ29" s="355"/>
      <c r="EK29" s="355"/>
      <c r="EL29" s="355"/>
      <c r="EM29" s="1086"/>
      <c r="EN29" s="1086"/>
      <c r="EO29" s="1086"/>
      <c r="EP29" s="1086"/>
      <c r="EQ29" s="1086"/>
      <c r="ER29" s="1086"/>
      <c r="ES29" s="1086"/>
      <c r="ET29" s="1086"/>
      <c r="EU29" s="1086"/>
      <c r="EV29" s="1086"/>
      <c r="EW29" s="1086"/>
      <c r="EX29" s="1086"/>
      <c r="EY29" s="1086"/>
      <c r="EZ29" s="1086"/>
      <c r="FA29" s="1086"/>
      <c r="FB29" s="1086"/>
      <c r="FC29" s="1086"/>
      <c r="FD29" s="1086"/>
      <c r="FE29" s="1086"/>
      <c r="FF29" s="1086"/>
      <c r="FG29" s="1086"/>
      <c r="FH29" s="1086"/>
      <c r="FI29" s="1086"/>
      <c r="FJ29" s="1086"/>
    </row>
    <row r="30" spans="1:166" ht="3.75" customHeight="1" x14ac:dyDescent="0.25">
      <c r="EM30" s="1086"/>
      <c r="EN30" s="1086"/>
      <c r="EO30" s="1086"/>
      <c r="EP30" s="1086"/>
      <c r="EQ30" s="1086"/>
      <c r="ER30" s="1086"/>
      <c r="ES30" s="1086"/>
      <c r="ET30" s="1086"/>
      <c r="EU30" s="1086"/>
      <c r="EV30" s="1086"/>
      <c r="EW30" s="1086"/>
      <c r="EX30" s="1086"/>
      <c r="EY30" s="1086"/>
      <c r="EZ30" s="1086"/>
      <c r="FA30" s="1086"/>
      <c r="FB30" s="1086"/>
      <c r="FC30" s="1086"/>
      <c r="FD30" s="1086"/>
      <c r="FE30" s="1086"/>
      <c r="FF30" s="1086"/>
      <c r="FG30" s="1086"/>
      <c r="FH30" s="1086"/>
      <c r="FI30" s="1086"/>
      <c r="FJ30" s="1086"/>
    </row>
    <row r="31" spans="1:166" ht="3.75" customHeight="1" x14ac:dyDescent="0.25">
      <c r="AH31" s="1112" t="str">
        <f>IFERROR(VLOOKUP(EM31, 'Data Conversions'!X3:Y36, 2, FALSE), "")</f>
        <v/>
      </c>
      <c r="AI31" s="1113"/>
      <c r="AJ31" s="1113"/>
      <c r="AK31" s="1113"/>
      <c r="AL31" s="1113"/>
      <c r="AM31" s="1113"/>
      <c r="AN31" s="1113"/>
      <c r="AO31" s="1113"/>
      <c r="AP31" s="1113"/>
      <c r="AQ31" s="1113"/>
      <c r="AR31" s="1113"/>
      <c r="AS31" s="1113"/>
      <c r="AT31" s="1113"/>
      <c r="AU31" s="1113"/>
      <c r="AV31" s="1113"/>
      <c r="AW31" s="1113"/>
      <c r="AX31" s="1113"/>
      <c r="AY31" s="1114"/>
      <c r="CA31" s="1111" t="str">
        <f>IFERROR(VLOOKUP(EM41, 'Data Conversions'!X41:Y58, 2, FALSE), "")</f>
        <v/>
      </c>
      <c r="CB31" s="1111"/>
      <c r="CC31" s="1111"/>
      <c r="CD31" s="1111"/>
      <c r="CE31" s="1111"/>
      <c r="CF31" s="1111"/>
      <c r="CG31" s="1111"/>
      <c r="CH31" s="1111"/>
      <c r="CI31" s="1111"/>
      <c r="CJ31" s="1111"/>
      <c r="CK31" s="1111"/>
      <c r="CL31" s="1111"/>
      <c r="CM31" s="1111"/>
      <c r="CN31" s="1111"/>
      <c r="CO31" s="1111"/>
      <c r="CP31" s="1111"/>
      <c r="CQ31" s="1111"/>
      <c r="CR31" s="1111"/>
      <c r="CS31" s="1111"/>
      <c r="CT31" s="1111"/>
      <c r="CU31" s="1111"/>
      <c r="CV31" s="1111"/>
      <c r="CW31" s="1111"/>
      <c r="CX31" s="1111"/>
      <c r="DN31" s="1102"/>
      <c r="DO31" s="1102"/>
      <c r="DP31" s="1102"/>
      <c r="DQ31" s="1091" t="s">
        <v>496</v>
      </c>
      <c r="DR31" s="1091"/>
      <c r="DS31" s="1091"/>
      <c r="DT31" s="1091"/>
      <c r="DU31" s="1091"/>
      <c r="DV31" s="1091"/>
      <c r="DW31" s="1091"/>
      <c r="DX31" s="1091"/>
      <c r="DY31" s="1091"/>
      <c r="DZ31" s="1091"/>
      <c r="EA31" s="1091"/>
      <c r="EB31" s="1091"/>
      <c r="EC31" s="1091"/>
      <c r="ED31" s="371"/>
      <c r="EE31" s="371"/>
      <c r="EF31" s="371"/>
      <c r="EG31" s="371"/>
      <c r="EH31" s="371"/>
      <c r="EI31" s="371"/>
      <c r="EJ31" s="371"/>
      <c r="EK31" s="371"/>
      <c r="EL31" s="371"/>
      <c r="EM31" s="1087"/>
      <c r="EN31" s="1088"/>
      <c r="EO31" s="1088"/>
      <c r="EP31" s="1088"/>
      <c r="EQ31" s="1088"/>
      <c r="ER31" s="1088"/>
      <c r="ES31" s="1088"/>
      <c r="ET31" s="1088"/>
      <c r="EU31" s="1088"/>
      <c r="EV31" s="1088"/>
      <c r="EW31" s="1088"/>
      <c r="EX31" s="1088"/>
      <c r="EY31" s="1088"/>
      <c r="EZ31" s="1088"/>
      <c r="FA31" s="1088"/>
      <c r="FB31" s="1088"/>
      <c r="FC31" s="1088"/>
      <c r="FD31" s="1088"/>
      <c r="FE31" s="1088"/>
      <c r="FF31" s="1088"/>
      <c r="FG31" s="1088"/>
      <c r="FH31" s="1088"/>
      <c r="FI31" s="1088"/>
      <c r="FJ31" s="1089"/>
    </row>
    <row r="32" spans="1:166" ht="3.75" customHeight="1" x14ac:dyDescent="0.25">
      <c r="A32" s="1110" t="s">
        <v>636</v>
      </c>
      <c r="B32" s="1110"/>
      <c r="C32" s="1110"/>
      <c r="D32" s="1110"/>
      <c r="E32" s="1110"/>
      <c r="F32" s="1110"/>
      <c r="G32" s="1110"/>
      <c r="H32" s="1110"/>
      <c r="I32" s="1110"/>
      <c r="J32" s="1110"/>
      <c r="K32" s="1110"/>
      <c r="L32" s="1110"/>
      <c r="M32" s="1110"/>
      <c r="N32" s="1110"/>
      <c r="O32" s="1110"/>
      <c r="P32" s="1110"/>
      <c r="Q32" s="1110"/>
      <c r="R32" s="1110"/>
      <c r="S32" s="1110"/>
      <c r="T32" s="1110"/>
      <c r="U32" s="1110"/>
      <c r="V32" s="1110"/>
      <c r="W32" s="1110"/>
      <c r="X32" s="1110"/>
      <c r="Y32" s="1110"/>
      <c r="Z32" s="1110"/>
      <c r="AA32" s="1110"/>
      <c r="AB32" s="1110"/>
      <c r="AC32" s="1110"/>
      <c r="AD32" s="1110"/>
      <c r="AE32" s="1110"/>
      <c r="AF32" s="1110"/>
      <c r="AH32" s="1115"/>
      <c r="AI32" s="1116"/>
      <c r="AJ32" s="1116"/>
      <c r="AK32" s="1116"/>
      <c r="AL32" s="1116"/>
      <c r="AM32" s="1116"/>
      <c r="AN32" s="1116"/>
      <c r="AO32" s="1116"/>
      <c r="AP32" s="1116"/>
      <c r="AQ32" s="1116"/>
      <c r="AR32" s="1116"/>
      <c r="AS32" s="1116"/>
      <c r="AT32" s="1116"/>
      <c r="AU32" s="1116"/>
      <c r="AV32" s="1116"/>
      <c r="AW32" s="1116"/>
      <c r="AX32" s="1116"/>
      <c r="AY32" s="1117"/>
      <c r="BI32" s="1110" t="s">
        <v>144</v>
      </c>
      <c r="BJ32" s="1110"/>
      <c r="BK32" s="1110"/>
      <c r="BL32" s="1110"/>
      <c r="BM32" s="1110"/>
      <c r="BN32" s="1110"/>
      <c r="BO32" s="1110"/>
      <c r="BP32" s="1110"/>
      <c r="BQ32" s="1110"/>
      <c r="BR32" s="1110"/>
      <c r="BS32" s="1110"/>
      <c r="BT32" s="1110"/>
      <c r="BU32" s="1110"/>
      <c r="BV32" s="1110"/>
      <c r="BW32" s="1110"/>
      <c r="BX32" s="1110"/>
      <c r="BY32" s="1110"/>
      <c r="BZ32" s="370"/>
      <c r="CA32" s="1111"/>
      <c r="CB32" s="1111"/>
      <c r="CC32" s="1111"/>
      <c r="CD32" s="1111"/>
      <c r="CE32" s="1111"/>
      <c r="CF32" s="1111"/>
      <c r="CG32" s="1111"/>
      <c r="CH32" s="1111"/>
      <c r="CI32" s="1111"/>
      <c r="CJ32" s="1111"/>
      <c r="CK32" s="1111"/>
      <c r="CL32" s="1111"/>
      <c r="CM32" s="1111"/>
      <c r="CN32" s="1111"/>
      <c r="CO32" s="1111"/>
      <c r="CP32" s="1111"/>
      <c r="CQ32" s="1111"/>
      <c r="CR32" s="1111"/>
      <c r="CS32" s="1111"/>
      <c r="CT32" s="1111"/>
      <c r="CU32" s="1111"/>
      <c r="CV32" s="1111"/>
      <c r="CW32" s="1111"/>
      <c r="CX32" s="1111"/>
      <c r="DN32" s="1102"/>
      <c r="DO32" s="1102"/>
      <c r="DP32" s="1102"/>
      <c r="DQ32" s="1091"/>
      <c r="DR32" s="1091"/>
      <c r="DS32" s="1091"/>
      <c r="DT32" s="1091"/>
      <c r="DU32" s="1091"/>
      <c r="DV32" s="1091"/>
      <c r="DW32" s="1091"/>
      <c r="DX32" s="1091"/>
      <c r="DY32" s="1091"/>
      <c r="DZ32" s="1091"/>
      <c r="EA32" s="1091"/>
      <c r="EB32" s="1091"/>
      <c r="EC32" s="1091"/>
      <c r="ED32" s="371"/>
      <c r="EE32" s="371"/>
      <c r="EF32" s="371"/>
      <c r="EG32" s="371"/>
      <c r="EH32" s="371"/>
      <c r="EI32" s="371"/>
      <c r="EJ32" s="371"/>
      <c r="EK32" s="371"/>
      <c r="EL32" s="371"/>
      <c r="EM32" s="1090"/>
      <c r="EN32" s="1091"/>
      <c r="EO32" s="1091"/>
      <c r="EP32" s="1091"/>
      <c r="EQ32" s="1091"/>
      <c r="ER32" s="1091"/>
      <c r="ES32" s="1091"/>
      <c r="ET32" s="1091"/>
      <c r="EU32" s="1091"/>
      <c r="EV32" s="1091"/>
      <c r="EW32" s="1091"/>
      <c r="EX32" s="1091"/>
      <c r="EY32" s="1091"/>
      <c r="EZ32" s="1091"/>
      <c r="FA32" s="1091"/>
      <c r="FB32" s="1091"/>
      <c r="FC32" s="1091"/>
      <c r="FD32" s="1091"/>
      <c r="FE32" s="1091"/>
      <c r="FF32" s="1091"/>
      <c r="FG32" s="1091"/>
      <c r="FH32" s="1091"/>
      <c r="FI32" s="1091"/>
      <c r="FJ32" s="1092"/>
    </row>
    <row r="33" spans="1:166" ht="3.75" customHeight="1" x14ac:dyDescent="0.25">
      <c r="A33" s="1110"/>
      <c r="B33" s="1110"/>
      <c r="C33" s="1110"/>
      <c r="D33" s="1110"/>
      <c r="E33" s="1110"/>
      <c r="F33" s="1110"/>
      <c r="G33" s="1110"/>
      <c r="H33" s="1110"/>
      <c r="I33" s="1110"/>
      <c r="J33" s="1110"/>
      <c r="K33" s="1110"/>
      <c r="L33" s="1110"/>
      <c r="M33" s="1110"/>
      <c r="N33" s="1110"/>
      <c r="O33" s="1110"/>
      <c r="P33" s="1110"/>
      <c r="Q33" s="1110"/>
      <c r="R33" s="1110"/>
      <c r="S33" s="1110"/>
      <c r="T33" s="1110"/>
      <c r="U33" s="1110"/>
      <c r="V33" s="1110"/>
      <c r="W33" s="1110"/>
      <c r="X33" s="1110"/>
      <c r="Y33" s="1110"/>
      <c r="Z33" s="1110"/>
      <c r="AA33" s="1110"/>
      <c r="AB33" s="1110"/>
      <c r="AC33" s="1110"/>
      <c r="AD33" s="1110"/>
      <c r="AE33" s="1110"/>
      <c r="AF33" s="1110"/>
      <c r="AH33" s="1115"/>
      <c r="AI33" s="1116"/>
      <c r="AJ33" s="1116"/>
      <c r="AK33" s="1116"/>
      <c r="AL33" s="1116"/>
      <c r="AM33" s="1116"/>
      <c r="AN33" s="1116"/>
      <c r="AO33" s="1116"/>
      <c r="AP33" s="1116"/>
      <c r="AQ33" s="1116"/>
      <c r="AR33" s="1116"/>
      <c r="AS33" s="1116"/>
      <c r="AT33" s="1116"/>
      <c r="AU33" s="1116"/>
      <c r="AV33" s="1116"/>
      <c r="AW33" s="1116"/>
      <c r="AX33" s="1116"/>
      <c r="AY33" s="1117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110"/>
      <c r="BY33" s="1110"/>
      <c r="BZ33" s="370"/>
      <c r="CA33" s="1111"/>
      <c r="CB33" s="1111"/>
      <c r="CC33" s="1111"/>
      <c r="CD33" s="1111"/>
      <c r="CE33" s="1111"/>
      <c r="CF33" s="1111"/>
      <c r="CG33" s="1111"/>
      <c r="CH33" s="1111"/>
      <c r="CI33" s="1111"/>
      <c r="CJ33" s="1111"/>
      <c r="CK33" s="1111"/>
      <c r="CL33" s="1111"/>
      <c r="CM33" s="1111"/>
      <c r="CN33" s="1111"/>
      <c r="CO33" s="1111"/>
      <c r="CP33" s="1111"/>
      <c r="CQ33" s="1111"/>
      <c r="CR33" s="1111"/>
      <c r="CS33" s="1111"/>
      <c r="CT33" s="1111"/>
      <c r="CU33" s="1111"/>
      <c r="CV33" s="1111"/>
      <c r="CW33" s="1111"/>
      <c r="CX33" s="1111"/>
      <c r="DN33" s="1102"/>
      <c r="DO33" s="1102"/>
      <c r="DP33" s="1102"/>
      <c r="DQ33" s="1091"/>
      <c r="DR33" s="1091"/>
      <c r="DS33" s="1091"/>
      <c r="DT33" s="1091"/>
      <c r="DU33" s="1091"/>
      <c r="DV33" s="1091"/>
      <c r="DW33" s="1091"/>
      <c r="DX33" s="1091"/>
      <c r="DY33" s="1091"/>
      <c r="DZ33" s="1091"/>
      <c r="EA33" s="1091"/>
      <c r="EB33" s="1091"/>
      <c r="EC33" s="1091"/>
      <c r="ED33" s="371"/>
      <c r="EE33" s="371"/>
      <c r="EF33" s="371"/>
      <c r="EG33" s="371"/>
      <c r="EH33" s="371"/>
      <c r="EI33" s="371"/>
      <c r="EJ33" s="371"/>
      <c r="EK33" s="371"/>
      <c r="EL33" s="371"/>
      <c r="EM33" s="1090"/>
      <c r="EN33" s="1091"/>
      <c r="EO33" s="1091"/>
      <c r="EP33" s="1091"/>
      <c r="EQ33" s="1091"/>
      <c r="ER33" s="1091"/>
      <c r="ES33" s="1091"/>
      <c r="ET33" s="1091"/>
      <c r="EU33" s="1091"/>
      <c r="EV33" s="1091"/>
      <c r="EW33" s="1091"/>
      <c r="EX33" s="1091"/>
      <c r="EY33" s="1091"/>
      <c r="EZ33" s="1091"/>
      <c r="FA33" s="1091"/>
      <c r="FB33" s="1091"/>
      <c r="FC33" s="1091"/>
      <c r="FD33" s="1091"/>
      <c r="FE33" s="1091"/>
      <c r="FF33" s="1091"/>
      <c r="FG33" s="1091"/>
      <c r="FH33" s="1091"/>
      <c r="FI33" s="1091"/>
      <c r="FJ33" s="1092"/>
    </row>
    <row r="34" spans="1:166" ht="3.75" customHeight="1" x14ac:dyDescent="0.25">
      <c r="A34" s="1110"/>
      <c r="B34" s="1110"/>
      <c r="C34" s="1110"/>
      <c r="D34" s="1110"/>
      <c r="E34" s="1110"/>
      <c r="F34" s="1110"/>
      <c r="G34" s="1110"/>
      <c r="H34" s="1110"/>
      <c r="I34" s="1110"/>
      <c r="J34" s="1110"/>
      <c r="K34" s="1110"/>
      <c r="L34" s="1110"/>
      <c r="M34" s="1110"/>
      <c r="N34" s="1110"/>
      <c r="O34" s="1110"/>
      <c r="P34" s="1110"/>
      <c r="Q34" s="1110"/>
      <c r="R34" s="1110"/>
      <c r="S34" s="1110"/>
      <c r="T34" s="1110"/>
      <c r="U34" s="1110"/>
      <c r="V34" s="1110"/>
      <c r="W34" s="1110"/>
      <c r="X34" s="1110"/>
      <c r="Y34" s="1110"/>
      <c r="Z34" s="1110"/>
      <c r="AA34" s="1110"/>
      <c r="AB34" s="1110"/>
      <c r="AC34" s="1110"/>
      <c r="AD34" s="1110"/>
      <c r="AE34" s="1110"/>
      <c r="AF34" s="1110"/>
      <c r="AH34" s="1115"/>
      <c r="AI34" s="1116"/>
      <c r="AJ34" s="1116"/>
      <c r="AK34" s="1116"/>
      <c r="AL34" s="1116"/>
      <c r="AM34" s="1116"/>
      <c r="AN34" s="1116"/>
      <c r="AO34" s="1116"/>
      <c r="AP34" s="1116"/>
      <c r="AQ34" s="1116"/>
      <c r="AR34" s="1116"/>
      <c r="AS34" s="1116"/>
      <c r="AT34" s="1116"/>
      <c r="AU34" s="1116"/>
      <c r="AV34" s="1116"/>
      <c r="AW34" s="1116"/>
      <c r="AX34" s="1116"/>
      <c r="AY34" s="1117"/>
      <c r="BI34" s="1110"/>
      <c r="BJ34" s="1110"/>
      <c r="BK34" s="1110"/>
      <c r="BL34" s="1110"/>
      <c r="BM34" s="1110"/>
      <c r="BN34" s="1110"/>
      <c r="BO34" s="1110"/>
      <c r="BP34" s="1110"/>
      <c r="BQ34" s="1110"/>
      <c r="BR34" s="1110"/>
      <c r="BS34" s="1110"/>
      <c r="BT34" s="1110"/>
      <c r="BU34" s="1110"/>
      <c r="BV34" s="1110"/>
      <c r="BW34" s="1110"/>
      <c r="BX34" s="1110"/>
      <c r="BY34" s="1110"/>
      <c r="BZ34" s="370"/>
      <c r="CA34" s="1111"/>
      <c r="CB34" s="1111"/>
      <c r="CC34" s="1111"/>
      <c r="CD34" s="1111"/>
      <c r="CE34" s="1111"/>
      <c r="CF34" s="1111"/>
      <c r="CG34" s="1111"/>
      <c r="CH34" s="1111"/>
      <c r="CI34" s="1111"/>
      <c r="CJ34" s="1111"/>
      <c r="CK34" s="1111"/>
      <c r="CL34" s="1111"/>
      <c r="CM34" s="1111"/>
      <c r="CN34" s="1111"/>
      <c r="CO34" s="1111"/>
      <c r="CP34" s="1111"/>
      <c r="CQ34" s="1111"/>
      <c r="CR34" s="1111"/>
      <c r="CS34" s="1111"/>
      <c r="CT34" s="1111"/>
      <c r="CU34" s="1111"/>
      <c r="CV34" s="1111"/>
      <c r="CW34" s="1111"/>
      <c r="CX34" s="1111"/>
      <c r="ED34" s="371"/>
      <c r="EE34" s="371"/>
      <c r="EF34" s="371"/>
      <c r="EG34" s="371"/>
      <c r="EH34" s="371"/>
      <c r="EI34" s="371"/>
      <c r="EJ34" s="371"/>
      <c r="EK34" s="371"/>
      <c r="EL34" s="371"/>
      <c r="EM34" s="1090"/>
      <c r="EN34" s="1091"/>
      <c r="EO34" s="1091"/>
      <c r="EP34" s="1091"/>
      <c r="EQ34" s="1091"/>
      <c r="ER34" s="1091"/>
      <c r="ES34" s="1091"/>
      <c r="ET34" s="1091"/>
      <c r="EU34" s="1091"/>
      <c r="EV34" s="1091"/>
      <c r="EW34" s="1091"/>
      <c r="EX34" s="1091"/>
      <c r="EY34" s="1091"/>
      <c r="EZ34" s="1091"/>
      <c r="FA34" s="1091"/>
      <c r="FB34" s="1091"/>
      <c r="FC34" s="1091"/>
      <c r="FD34" s="1091"/>
      <c r="FE34" s="1091"/>
      <c r="FF34" s="1091"/>
      <c r="FG34" s="1091"/>
      <c r="FH34" s="1091"/>
      <c r="FI34" s="1091"/>
      <c r="FJ34" s="1092"/>
    </row>
    <row r="35" spans="1:166" ht="3.75" customHeight="1" x14ac:dyDescent="0.25">
      <c r="A35" s="1110"/>
      <c r="B35" s="1110"/>
      <c r="C35" s="1110"/>
      <c r="D35" s="1110"/>
      <c r="E35" s="1110"/>
      <c r="F35" s="1110"/>
      <c r="G35" s="1110"/>
      <c r="H35" s="1110"/>
      <c r="I35" s="1110"/>
      <c r="J35" s="1110"/>
      <c r="K35" s="1110"/>
      <c r="L35" s="1110"/>
      <c r="M35" s="1110"/>
      <c r="N35" s="1110"/>
      <c r="O35" s="1110"/>
      <c r="P35" s="1110"/>
      <c r="Q35" s="1110"/>
      <c r="R35" s="1110"/>
      <c r="S35" s="1110"/>
      <c r="T35" s="1110"/>
      <c r="U35" s="1110"/>
      <c r="V35" s="1110"/>
      <c r="W35" s="1110"/>
      <c r="X35" s="1110"/>
      <c r="Y35" s="1110"/>
      <c r="Z35" s="1110"/>
      <c r="AA35" s="1110"/>
      <c r="AB35" s="1110"/>
      <c r="AC35" s="1110"/>
      <c r="AD35" s="1110"/>
      <c r="AE35" s="1110"/>
      <c r="AF35" s="1110"/>
      <c r="AH35" s="1115"/>
      <c r="AI35" s="1116"/>
      <c r="AJ35" s="1116"/>
      <c r="AK35" s="1116"/>
      <c r="AL35" s="1116"/>
      <c r="AM35" s="1116"/>
      <c r="AN35" s="1116"/>
      <c r="AO35" s="1116"/>
      <c r="AP35" s="1116"/>
      <c r="AQ35" s="1116"/>
      <c r="AR35" s="1116"/>
      <c r="AS35" s="1116"/>
      <c r="AT35" s="1116"/>
      <c r="AU35" s="1116"/>
      <c r="AV35" s="1116"/>
      <c r="AW35" s="1116"/>
      <c r="AX35" s="1116"/>
      <c r="AY35" s="1117"/>
      <c r="BI35" s="1110"/>
      <c r="BJ35" s="1110"/>
      <c r="BK35" s="1110"/>
      <c r="BL35" s="1110"/>
      <c r="BM35" s="1110"/>
      <c r="BN35" s="1110"/>
      <c r="BO35" s="1110"/>
      <c r="BP35" s="1110"/>
      <c r="BQ35" s="1110"/>
      <c r="BR35" s="1110"/>
      <c r="BS35" s="1110"/>
      <c r="BT35" s="1110"/>
      <c r="BU35" s="1110"/>
      <c r="BV35" s="1110"/>
      <c r="BW35" s="1110"/>
      <c r="BX35" s="1110"/>
      <c r="BY35" s="1110"/>
      <c r="BZ35" s="370"/>
      <c r="CA35" s="1111"/>
      <c r="CB35" s="1111"/>
      <c r="CC35" s="1111"/>
      <c r="CD35" s="1111"/>
      <c r="CE35" s="1111"/>
      <c r="CF35" s="1111"/>
      <c r="CG35" s="1111"/>
      <c r="CH35" s="1111"/>
      <c r="CI35" s="1111"/>
      <c r="CJ35" s="1111"/>
      <c r="CK35" s="1111"/>
      <c r="CL35" s="1111"/>
      <c r="CM35" s="1111"/>
      <c r="CN35" s="1111"/>
      <c r="CO35" s="1111"/>
      <c r="CP35" s="1111"/>
      <c r="CQ35" s="1111"/>
      <c r="CR35" s="1111"/>
      <c r="CS35" s="1111"/>
      <c r="CT35" s="1111"/>
      <c r="CU35" s="1111"/>
      <c r="CV35" s="1111"/>
      <c r="CW35" s="1111"/>
      <c r="CX35" s="1111"/>
      <c r="DN35" s="1097" t="s">
        <v>655</v>
      </c>
      <c r="DO35" s="1097"/>
      <c r="DP35" s="1097"/>
      <c r="DQ35" s="1091" t="s">
        <v>635</v>
      </c>
      <c r="DR35" s="1091"/>
      <c r="DS35" s="1091"/>
      <c r="DT35" s="1091"/>
      <c r="DU35" s="1091"/>
      <c r="DV35" s="1091"/>
      <c r="DW35" s="1091"/>
      <c r="DX35" s="1091"/>
      <c r="DY35" s="1091"/>
      <c r="DZ35" s="1091"/>
      <c r="EA35" s="1091"/>
      <c r="EB35" s="1091"/>
      <c r="EC35" s="1091"/>
      <c r="ED35" s="371"/>
      <c r="EE35" s="371"/>
      <c r="EF35" s="371"/>
      <c r="EG35" s="371"/>
      <c r="EH35" s="371"/>
      <c r="EI35" s="371"/>
      <c r="EJ35" s="371"/>
      <c r="EK35" s="371"/>
      <c r="EL35" s="371"/>
      <c r="EM35" s="1093"/>
      <c r="EN35" s="1094"/>
      <c r="EO35" s="1094"/>
      <c r="EP35" s="1094"/>
      <c r="EQ35" s="1094"/>
      <c r="ER35" s="1094"/>
      <c r="ES35" s="1094"/>
      <c r="ET35" s="1094"/>
      <c r="EU35" s="1094"/>
      <c r="EV35" s="1094"/>
      <c r="EW35" s="1094"/>
      <c r="EX35" s="1094"/>
      <c r="EY35" s="1094"/>
      <c r="EZ35" s="1094"/>
      <c r="FA35" s="1094"/>
      <c r="FB35" s="1094"/>
      <c r="FC35" s="1094"/>
      <c r="FD35" s="1094"/>
      <c r="FE35" s="1094"/>
      <c r="FF35" s="1094"/>
      <c r="FG35" s="1094"/>
      <c r="FH35" s="1094"/>
      <c r="FI35" s="1094"/>
      <c r="FJ35" s="1095"/>
    </row>
    <row r="36" spans="1:166" ht="3.75" customHeight="1" x14ac:dyDescent="0.25">
      <c r="A36" s="1110"/>
      <c r="B36" s="1110"/>
      <c r="C36" s="1110"/>
      <c r="D36" s="1110"/>
      <c r="E36" s="1110"/>
      <c r="F36" s="1110"/>
      <c r="G36" s="1110"/>
      <c r="H36" s="1110"/>
      <c r="I36" s="1110"/>
      <c r="J36" s="1110"/>
      <c r="K36" s="1110"/>
      <c r="L36" s="1110"/>
      <c r="M36" s="1110"/>
      <c r="N36" s="1110"/>
      <c r="O36" s="1110"/>
      <c r="P36" s="1110"/>
      <c r="Q36" s="1110"/>
      <c r="R36" s="1110"/>
      <c r="S36" s="1110"/>
      <c r="T36" s="1110"/>
      <c r="U36" s="1110"/>
      <c r="V36" s="1110"/>
      <c r="W36" s="1110"/>
      <c r="X36" s="1110"/>
      <c r="Y36" s="1110"/>
      <c r="Z36" s="1110"/>
      <c r="AA36" s="1110"/>
      <c r="AB36" s="1110"/>
      <c r="AC36" s="1110"/>
      <c r="AD36" s="1110"/>
      <c r="AE36" s="1110"/>
      <c r="AF36" s="1110"/>
      <c r="AH36" s="1115"/>
      <c r="AI36" s="1116"/>
      <c r="AJ36" s="1116"/>
      <c r="AK36" s="1116"/>
      <c r="AL36" s="1116"/>
      <c r="AM36" s="1116"/>
      <c r="AN36" s="1116"/>
      <c r="AO36" s="1116"/>
      <c r="AP36" s="1116"/>
      <c r="AQ36" s="1116"/>
      <c r="AR36" s="1116"/>
      <c r="AS36" s="1116"/>
      <c r="AT36" s="1116"/>
      <c r="AU36" s="1116"/>
      <c r="AV36" s="1116"/>
      <c r="AW36" s="1116"/>
      <c r="AX36" s="1116"/>
      <c r="AY36" s="1117"/>
      <c r="BI36" s="1110"/>
      <c r="BJ36" s="1110"/>
      <c r="BK36" s="1110"/>
      <c r="BL36" s="1110"/>
      <c r="BM36" s="1110"/>
      <c r="BN36" s="1110"/>
      <c r="BO36" s="1110"/>
      <c r="BP36" s="1110"/>
      <c r="BQ36" s="1110"/>
      <c r="BR36" s="1110"/>
      <c r="BS36" s="1110"/>
      <c r="BT36" s="1110"/>
      <c r="BU36" s="1110"/>
      <c r="BV36" s="1110"/>
      <c r="BW36" s="1110"/>
      <c r="BX36" s="1110"/>
      <c r="BY36" s="1110"/>
      <c r="BZ36" s="370"/>
      <c r="CA36" s="1111"/>
      <c r="CB36" s="1111"/>
      <c r="CC36" s="1111"/>
      <c r="CD36" s="1111"/>
      <c r="CE36" s="1111"/>
      <c r="CF36" s="1111"/>
      <c r="CG36" s="1111"/>
      <c r="CH36" s="1111"/>
      <c r="CI36" s="1111"/>
      <c r="CJ36" s="1111"/>
      <c r="CK36" s="1111"/>
      <c r="CL36" s="1111"/>
      <c r="CM36" s="1111"/>
      <c r="CN36" s="1111"/>
      <c r="CO36" s="1111"/>
      <c r="CP36" s="1111"/>
      <c r="CQ36" s="1111"/>
      <c r="CR36" s="1111"/>
      <c r="CS36" s="1111"/>
      <c r="CT36" s="1111"/>
      <c r="CU36" s="1111"/>
      <c r="CV36" s="1111"/>
      <c r="CW36" s="1111"/>
      <c r="CX36" s="1111"/>
      <c r="DN36" s="1097"/>
      <c r="DO36" s="1097"/>
      <c r="DP36" s="1097"/>
      <c r="DQ36" s="1091"/>
      <c r="DR36" s="1091"/>
      <c r="DS36" s="1091"/>
      <c r="DT36" s="1091"/>
      <c r="DU36" s="1091"/>
      <c r="DV36" s="1091"/>
      <c r="DW36" s="1091"/>
      <c r="DX36" s="1091"/>
      <c r="DY36" s="1091"/>
      <c r="DZ36" s="1091"/>
      <c r="EA36" s="1091"/>
      <c r="EB36" s="1091"/>
      <c r="EC36" s="1091"/>
      <c r="ED36" s="371"/>
      <c r="EE36" s="371"/>
      <c r="EF36" s="371"/>
      <c r="EG36" s="371"/>
      <c r="EH36" s="371"/>
      <c r="EI36" s="371"/>
      <c r="EJ36" s="371"/>
      <c r="EK36" s="371"/>
      <c r="EL36" s="371"/>
    </row>
    <row r="37" spans="1:166" ht="3.75" customHeight="1" x14ac:dyDescent="0.25">
      <c r="A37" s="1110"/>
      <c r="B37" s="1110"/>
      <c r="C37" s="1110"/>
      <c r="D37" s="1110"/>
      <c r="E37" s="1110"/>
      <c r="F37" s="1110"/>
      <c r="G37" s="1110"/>
      <c r="H37" s="1110"/>
      <c r="I37" s="1110"/>
      <c r="J37" s="1110"/>
      <c r="K37" s="1110"/>
      <c r="L37" s="1110"/>
      <c r="M37" s="1110"/>
      <c r="N37" s="1110"/>
      <c r="O37" s="1110"/>
      <c r="P37" s="1110"/>
      <c r="Q37" s="1110"/>
      <c r="R37" s="1110"/>
      <c r="S37" s="1110"/>
      <c r="T37" s="1110"/>
      <c r="U37" s="1110"/>
      <c r="V37" s="1110"/>
      <c r="W37" s="1110"/>
      <c r="X37" s="1110"/>
      <c r="Y37" s="1110"/>
      <c r="Z37" s="1110"/>
      <c r="AA37" s="1110"/>
      <c r="AB37" s="1110"/>
      <c r="AC37" s="1110"/>
      <c r="AD37" s="1110"/>
      <c r="AE37" s="1110"/>
      <c r="AF37" s="1110"/>
      <c r="AH37" s="1115"/>
      <c r="AI37" s="1116"/>
      <c r="AJ37" s="1116"/>
      <c r="AK37" s="1116"/>
      <c r="AL37" s="1116"/>
      <c r="AM37" s="1116"/>
      <c r="AN37" s="1116"/>
      <c r="AO37" s="1116"/>
      <c r="AP37" s="1116"/>
      <c r="AQ37" s="1116"/>
      <c r="AR37" s="1116"/>
      <c r="AS37" s="1116"/>
      <c r="AT37" s="1116"/>
      <c r="AU37" s="1116"/>
      <c r="AV37" s="1116"/>
      <c r="AW37" s="1116"/>
      <c r="AX37" s="1116"/>
      <c r="AY37" s="1117"/>
      <c r="BI37" s="1110"/>
      <c r="BJ37" s="1110"/>
      <c r="BK37" s="1110"/>
      <c r="BL37" s="1110"/>
      <c r="BM37" s="1110"/>
      <c r="BN37" s="1110"/>
      <c r="BO37" s="1110"/>
      <c r="BP37" s="1110"/>
      <c r="BQ37" s="1110"/>
      <c r="BR37" s="1110"/>
      <c r="BS37" s="1110"/>
      <c r="BT37" s="1110"/>
      <c r="BU37" s="1110"/>
      <c r="BV37" s="1110"/>
      <c r="BW37" s="1110"/>
      <c r="BX37" s="1110"/>
      <c r="BY37" s="1110"/>
      <c r="BZ37" s="370"/>
      <c r="CA37" s="1111"/>
      <c r="CB37" s="1111"/>
      <c r="CC37" s="1111"/>
      <c r="CD37" s="1111"/>
      <c r="CE37" s="1111"/>
      <c r="CF37" s="1111"/>
      <c r="CG37" s="1111"/>
      <c r="CH37" s="1111"/>
      <c r="CI37" s="1111"/>
      <c r="CJ37" s="1111"/>
      <c r="CK37" s="1111"/>
      <c r="CL37" s="1111"/>
      <c r="CM37" s="1111"/>
      <c r="CN37" s="1111"/>
      <c r="CO37" s="1111"/>
      <c r="CP37" s="1111"/>
      <c r="CQ37" s="1111"/>
      <c r="CR37" s="1111"/>
      <c r="CS37" s="1111"/>
      <c r="CT37" s="1111"/>
      <c r="CU37" s="1111"/>
      <c r="CV37" s="1111"/>
      <c r="CW37" s="1111"/>
      <c r="CX37" s="1111"/>
      <c r="DN37" s="1097"/>
      <c r="DO37" s="1097"/>
      <c r="DP37" s="1097"/>
      <c r="DQ37" s="1091"/>
      <c r="DR37" s="1091"/>
      <c r="DS37" s="1091"/>
      <c r="DT37" s="1091"/>
      <c r="DU37" s="1091"/>
      <c r="DV37" s="1091"/>
      <c r="DW37" s="1091"/>
      <c r="DX37" s="1091"/>
      <c r="DY37" s="1091"/>
      <c r="DZ37" s="1091"/>
      <c r="EA37" s="1091"/>
      <c r="EB37" s="1091"/>
      <c r="EC37" s="1091"/>
      <c r="EM37" s="1086" t="s">
        <v>659</v>
      </c>
      <c r="EN37" s="1086"/>
      <c r="EO37" s="1086"/>
      <c r="EP37" s="1086"/>
      <c r="EQ37" s="1086"/>
      <c r="ER37" s="1086"/>
      <c r="ES37" s="1086"/>
      <c r="ET37" s="1086"/>
      <c r="EU37" s="1086"/>
      <c r="EV37" s="1086"/>
      <c r="EW37" s="1086"/>
      <c r="EX37" s="1086"/>
      <c r="EY37" s="1086"/>
      <c r="EZ37" s="1086"/>
      <c r="FA37" s="1086"/>
      <c r="FB37" s="1086"/>
      <c r="FC37" s="1086"/>
      <c r="FD37" s="1086"/>
      <c r="FE37" s="1086"/>
      <c r="FF37" s="1086"/>
      <c r="FG37" s="1086"/>
      <c r="FH37" s="1086"/>
      <c r="FI37" s="1086"/>
      <c r="FJ37" s="1086"/>
    </row>
    <row r="38" spans="1:166" ht="3.75" customHeight="1" x14ac:dyDescent="0.4">
      <c r="A38" s="369"/>
      <c r="B38" s="369"/>
      <c r="C38" s="369"/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9"/>
      <c r="AE38" s="369"/>
      <c r="AF38" s="369"/>
      <c r="AH38" s="1118"/>
      <c r="AI38" s="1119"/>
      <c r="AJ38" s="1119"/>
      <c r="AK38" s="1119"/>
      <c r="AL38" s="1119"/>
      <c r="AM38" s="1119"/>
      <c r="AN38" s="1119"/>
      <c r="AO38" s="1119"/>
      <c r="AP38" s="1119"/>
      <c r="AQ38" s="1119"/>
      <c r="AR38" s="1119"/>
      <c r="AS38" s="1119"/>
      <c r="AT38" s="1119"/>
      <c r="AU38" s="1119"/>
      <c r="AV38" s="1119"/>
      <c r="AW38" s="1119"/>
      <c r="AX38" s="1119"/>
      <c r="AY38" s="1120"/>
      <c r="CA38" s="1111"/>
      <c r="CB38" s="1111"/>
      <c r="CC38" s="1111"/>
      <c r="CD38" s="1111"/>
      <c r="CE38" s="1111"/>
      <c r="CF38" s="1111"/>
      <c r="CG38" s="1111"/>
      <c r="CH38" s="1111"/>
      <c r="CI38" s="1111"/>
      <c r="CJ38" s="1111"/>
      <c r="CK38" s="1111"/>
      <c r="CL38" s="1111"/>
      <c r="CM38" s="1111"/>
      <c r="CN38" s="1111"/>
      <c r="CO38" s="1111"/>
      <c r="CP38" s="1111"/>
      <c r="CQ38" s="1111"/>
      <c r="CR38" s="1111"/>
      <c r="CS38" s="1111"/>
      <c r="CT38" s="1111"/>
      <c r="CU38" s="1111"/>
      <c r="CV38" s="1111"/>
      <c r="CW38" s="1111"/>
      <c r="CX38" s="1111"/>
      <c r="EM38" s="1086"/>
      <c r="EN38" s="1086"/>
      <c r="EO38" s="1086"/>
      <c r="EP38" s="1086"/>
      <c r="EQ38" s="1086"/>
      <c r="ER38" s="1086"/>
      <c r="ES38" s="1086"/>
      <c r="ET38" s="1086"/>
      <c r="EU38" s="1086"/>
      <c r="EV38" s="1086"/>
      <c r="EW38" s="1086"/>
      <c r="EX38" s="1086"/>
      <c r="EY38" s="1086"/>
      <c r="EZ38" s="1086"/>
      <c r="FA38" s="1086"/>
      <c r="FB38" s="1086"/>
      <c r="FC38" s="1086"/>
      <c r="FD38" s="1086"/>
      <c r="FE38" s="1086"/>
      <c r="FF38" s="1086"/>
      <c r="FG38" s="1086"/>
      <c r="FH38" s="1086"/>
      <c r="FI38" s="1086"/>
      <c r="FJ38" s="1086"/>
    </row>
    <row r="39" spans="1:166" ht="3.75" customHeight="1" thickBot="1" x14ac:dyDescent="0.3">
      <c r="A39" s="355"/>
      <c r="B39" s="355"/>
      <c r="C39" s="355"/>
      <c r="D39" s="355"/>
      <c r="E39" s="355"/>
      <c r="F39" s="355"/>
      <c r="G39" s="355"/>
      <c r="H39" s="355"/>
      <c r="I39" s="355"/>
      <c r="J39" s="355"/>
      <c r="K39" s="355"/>
      <c r="L39" s="355"/>
      <c r="M39" s="355"/>
      <c r="N39" s="355"/>
      <c r="O39" s="355"/>
      <c r="P39" s="355"/>
      <c r="Q39" s="355"/>
      <c r="R39" s="355"/>
      <c r="S39" s="355"/>
      <c r="T39" s="355"/>
      <c r="U39" s="355"/>
      <c r="V39" s="355"/>
      <c r="W39" s="355"/>
      <c r="X39" s="355"/>
      <c r="Y39" s="355"/>
      <c r="Z39" s="355"/>
      <c r="AA39" s="355"/>
      <c r="AB39" s="355"/>
      <c r="AC39" s="355"/>
      <c r="AD39" s="355"/>
      <c r="AE39" s="355"/>
      <c r="AF39" s="355"/>
      <c r="AG39" s="355"/>
      <c r="AH39" s="355"/>
      <c r="AI39" s="355"/>
      <c r="AJ39" s="355"/>
      <c r="AK39" s="355"/>
      <c r="AL39" s="355"/>
      <c r="AM39" s="355"/>
      <c r="AN39" s="355"/>
      <c r="AO39" s="355"/>
      <c r="AP39" s="355"/>
      <c r="AQ39" s="355"/>
      <c r="AR39" s="355"/>
      <c r="AS39" s="355"/>
      <c r="AT39" s="355"/>
      <c r="AU39" s="355"/>
      <c r="AV39" s="355"/>
      <c r="AW39" s="355"/>
      <c r="AX39" s="355"/>
      <c r="AY39" s="355"/>
      <c r="AZ39" s="355"/>
      <c r="BA39" s="355"/>
      <c r="BB39" s="355"/>
      <c r="BC39" s="355"/>
      <c r="BD39" s="355"/>
      <c r="BE39" s="355"/>
      <c r="BF39" s="355"/>
      <c r="BG39" s="355"/>
      <c r="BH39" s="355"/>
      <c r="BI39" s="355"/>
      <c r="BJ39" s="355"/>
      <c r="BK39" s="355"/>
      <c r="BL39" s="355"/>
      <c r="BM39" s="355"/>
      <c r="BN39" s="355"/>
      <c r="BO39" s="355"/>
      <c r="BP39" s="355"/>
      <c r="BQ39" s="355"/>
      <c r="BR39" s="355"/>
      <c r="BS39" s="355"/>
      <c r="BT39" s="355"/>
      <c r="BU39" s="355"/>
      <c r="BV39" s="355"/>
      <c r="BW39" s="355"/>
      <c r="BX39" s="355"/>
      <c r="BY39" s="355"/>
      <c r="BZ39" s="355"/>
      <c r="CA39" s="355"/>
      <c r="CB39" s="355"/>
      <c r="CC39" s="355"/>
      <c r="CD39" s="355"/>
      <c r="CE39" s="355"/>
      <c r="CF39" s="355"/>
      <c r="CG39" s="355"/>
      <c r="CH39" s="355"/>
      <c r="CI39" s="355"/>
      <c r="CJ39" s="355"/>
      <c r="CK39" s="355"/>
      <c r="CL39" s="355"/>
      <c r="CM39" s="355"/>
      <c r="CN39" s="355"/>
      <c r="CO39" s="355"/>
      <c r="CP39" s="355"/>
      <c r="CQ39" s="355"/>
      <c r="CR39" s="355"/>
      <c r="CS39" s="355"/>
      <c r="CT39" s="355"/>
      <c r="CU39" s="355"/>
      <c r="CV39" s="355"/>
      <c r="CW39" s="355"/>
      <c r="CX39" s="355"/>
      <c r="CY39" s="355"/>
      <c r="CZ39" s="355"/>
      <c r="DA39" s="355"/>
      <c r="DB39" s="355"/>
      <c r="DC39" s="355"/>
      <c r="DD39" s="355"/>
      <c r="DE39" s="355"/>
      <c r="DF39" s="355"/>
      <c r="DG39" s="355"/>
      <c r="DH39" s="355"/>
      <c r="DI39" s="355"/>
      <c r="DJ39" s="355"/>
      <c r="DK39" s="355"/>
      <c r="DL39" s="355"/>
      <c r="DM39" s="355"/>
      <c r="DN39" s="355"/>
      <c r="DO39" s="355"/>
      <c r="DP39" s="355"/>
      <c r="DQ39" s="355"/>
      <c r="DR39" s="355"/>
      <c r="DS39" s="355"/>
      <c r="DT39" s="355"/>
      <c r="DU39" s="355"/>
      <c r="DV39" s="355"/>
      <c r="DW39" s="355"/>
      <c r="DX39" s="355"/>
      <c r="DY39" s="355"/>
      <c r="DZ39" s="355"/>
      <c r="EA39" s="355"/>
      <c r="EB39" s="355"/>
      <c r="EC39" s="355"/>
      <c r="ED39" s="355"/>
      <c r="EE39" s="355"/>
      <c r="EF39" s="355"/>
      <c r="EG39" s="355"/>
      <c r="EH39" s="355"/>
      <c r="EI39" s="355"/>
      <c r="EJ39" s="355"/>
      <c r="EK39" s="355"/>
      <c r="EL39" s="355"/>
      <c r="EM39" s="1086"/>
      <c r="EN39" s="1086"/>
      <c r="EO39" s="1086"/>
      <c r="EP39" s="1086"/>
      <c r="EQ39" s="1086"/>
      <c r="ER39" s="1086"/>
      <c r="ES39" s="1086"/>
      <c r="ET39" s="1086"/>
      <c r="EU39" s="1086"/>
      <c r="EV39" s="1086"/>
      <c r="EW39" s="1086"/>
      <c r="EX39" s="1086"/>
      <c r="EY39" s="1086"/>
      <c r="EZ39" s="1086"/>
      <c r="FA39" s="1086"/>
      <c r="FB39" s="1086"/>
      <c r="FC39" s="1086"/>
      <c r="FD39" s="1086"/>
      <c r="FE39" s="1086"/>
      <c r="FF39" s="1086"/>
      <c r="FG39" s="1086"/>
      <c r="FH39" s="1086"/>
      <c r="FI39" s="1086"/>
      <c r="FJ39" s="1086"/>
    </row>
    <row r="40" spans="1:166" ht="3.75" customHeight="1" x14ac:dyDescent="0.25">
      <c r="EM40" s="1086"/>
      <c r="EN40" s="1086"/>
      <c r="EO40" s="1086"/>
      <c r="EP40" s="1086"/>
      <c r="EQ40" s="1086"/>
      <c r="ER40" s="1086"/>
      <c r="ES40" s="1086"/>
      <c r="ET40" s="1086"/>
      <c r="EU40" s="1086"/>
      <c r="EV40" s="1086"/>
      <c r="EW40" s="1086"/>
      <c r="EX40" s="1086"/>
      <c r="EY40" s="1086"/>
      <c r="EZ40" s="1086"/>
      <c r="FA40" s="1086"/>
      <c r="FB40" s="1086"/>
      <c r="FC40" s="1086"/>
      <c r="FD40" s="1086"/>
      <c r="FE40" s="1086"/>
      <c r="FF40" s="1086"/>
      <c r="FG40" s="1086"/>
      <c r="FH40" s="1086"/>
      <c r="FI40" s="1086"/>
      <c r="FJ40" s="1086"/>
    </row>
    <row r="41" spans="1:166" ht="3.75" customHeight="1" x14ac:dyDescent="0.25">
      <c r="A41" s="1103" t="s">
        <v>634</v>
      </c>
      <c r="B41" s="1103"/>
      <c r="C41" s="1103"/>
      <c r="D41" s="1103"/>
      <c r="E41" s="1103"/>
      <c r="F41" s="1103"/>
      <c r="G41" s="1103"/>
      <c r="H41" s="1103"/>
      <c r="I41" s="1103"/>
      <c r="J41" s="1103"/>
      <c r="K41" s="1103"/>
      <c r="L41" s="1103"/>
      <c r="M41" s="1103"/>
      <c r="N41" s="1103"/>
      <c r="O41" s="1103"/>
      <c r="P41" s="1103"/>
      <c r="Q41" s="1103"/>
      <c r="R41" s="1103"/>
      <c r="S41" s="1103"/>
      <c r="T41" s="1103"/>
      <c r="U41" s="1103"/>
      <c r="V41" s="1103"/>
      <c r="W41" s="1103"/>
      <c r="Y41" s="1097"/>
      <c r="Z41" s="1097"/>
      <c r="AA41" s="1097"/>
      <c r="AB41" s="1109" t="s">
        <v>17</v>
      </c>
      <c r="AC41" s="1103"/>
      <c r="AD41" s="1103"/>
      <c r="AE41" s="1103"/>
      <c r="AF41" s="1103"/>
      <c r="AG41" s="1103"/>
      <c r="AH41" s="1103"/>
      <c r="AI41" s="356"/>
      <c r="AJ41" s="356"/>
      <c r="AK41" s="356"/>
      <c r="AV41" s="1097"/>
      <c r="AW41" s="1097"/>
      <c r="AX41" s="1097"/>
      <c r="AY41" s="1109" t="s">
        <v>633</v>
      </c>
      <c r="AZ41" s="1103"/>
      <c r="BA41" s="1103"/>
      <c r="BB41" s="1103"/>
      <c r="BC41" s="1103"/>
      <c r="BD41" s="1103"/>
      <c r="BE41" s="1103"/>
      <c r="BF41" s="1103"/>
      <c r="BG41" s="1103"/>
      <c r="BH41" s="1103"/>
      <c r="BI41" s="1103"/>
      <c r="BJ41" s="1103"/>
      <c r="BK41" s="1103"/>
      <c r="BL41" s="1103"/>
      <c r="BM41" s="1103"/>
      <c r="BN41" s="1103"/>
      <c r="CF41" s="1097"/>
      <c r="CG41" s="1097"/>
      <c r="CH41" s="1097"/>
      <c r="CI41" s="1109" t="s">
        <v>632</v>
      </c>
      <c r="CJ41" s="1103"/>
      <c r="CK41" s="1103"/>
      <c r="CL41" s="1103"/>
      <c r="CM41" s="1103"/>
      <c r="CN41" s="1103"/>
      <c r="CO41" s="1103"/>
      <c r="CP41" s="1103"/>
      <c r="CQ41" s="1103"/>
      <c r="CR41" s="1103"/>
      <c r="CS41" s="1103"/>
      <c r="DE41" s="1097"/>
      <c r="DF41" s="1097"/>
      <c r="DG41" s="1097"/>
      <c r="DH41" s="1109" t="s">
        <v>631</v>
      </c>
      <c r="DI41" s="1103"/>
      <c r="DJ41" s="1103"/>
      <c r="DK41" s="1103"/>
      <c r="DL41" s="1103"/>
      <c r="DM41" s="1103"/>
      <c r="DN41" s="1103"/>
      <c r="DO41" s="1103"/>
      <c r="DP41" s="1103"/>
      <c r="DQ41" s="1103"/>
      <c r="DR41" s="1103"/>
      <c r="DS41" s="1103"/>
      <c r="DT41" s="1103"/>
      <c r="DU41" s="1103"/>
      <c r="DV41" s="1103"/>
      <c r="DW41" s="1103"/>
      <c r="DX41" s="1103"/>
      <c r="DY41" s="1103"/>
      <c r="EM41" s="1087"/>
      <c r="EN41" s="1088"/>
      <c r="EO41" s="1088"/>
      <c r="EP41" s="1088"/>
      <c r="EQ41" s="1088"/>
      <c r="ER41" s="1088"/>
      <c r="ES41" s="1088"/>
      <c r="ET41" s="1088"/>
      <c r="EU41" s="1088"/>
      <c r="EV41" s="1088"/>
      <c r="EW41" s="1088"/>
      <c r="EX41" s="1088"/>
      <c r="EY41" s="1088"/>
      <c r="EZ41" s="1088"/>
      <c r="FA41" s="1088"/>
      <c r="FB41" s="1088"/>
      <c r="FC41" s="1088"/>
      <c r="FD41" s="1088"/>
      <c r="FE41" s="1088"/>
      <c r="FF41" s="1088"/>
      <c r="FG41" s="1088"/>
      <c r="FH41" s="1088"/>
      <c r="FI41" s="1088"/>
      <c r="FJ41" s="1089"/>
    </row>
    <row r="42" spans="1:166" ht="3.75" customHeight="1" x14ac:dyDescent="0.25">
      <c r="A42" s="1103"/>
      <c r="B42" s="1103"/>
      <c r="C42" s="1103"/>
      <c r="D42" s="1103"/>
      <c r="E42" s="1103"/>
      <c r="F42" s="1103"/>
      <c r="G42" s="1103"/>
      <c r="H42" s="1103"/>
      <c r="I42" s="1103"/>
      <c r="J42" s="1103"/>
      <c r="K42" s="1103"/>
      <c r="L42" s="1103"/>
      <c r="M42" s="1103"/>
      <c r="N42" s="1103"/>
      <c r="O42" s="1103"/>
      <c r="P42" s="1103"/>
      <c r="Q42" s="1103"/>
      <c r="R42" s="1103"/>
      <c r="S42" s="1103"/>
      <c r="T42" s="1103"/>
      <c r="U42" s="1103"/>
      <c r="V42" s="1103"/>
      <c r="W42" s="1103"/>
      <c r="Y42" s="1097"/>
      <c r="Z42" s="1097"/>
      <c r="AA42" s="1097"/>
      <c r="AB42" s="1109"/>
      <c r="AC42" s="1103"/>
      <c r="AD42" s="1103"/>
      <c r="AE42" s="1103"/>
      <c r="AF42" s="1103"/>
      <c r="AG42" s="1103"/>
      <c r="AH42" s="1103"/>
      <c r="AI42" s="356"/>
      <c r="AJ42" s="356"/>
      <c r="AK42" s="356"/>
      <c r="AV42" s="1097"/>
      <c r="AW42" s="1097"/>
      <c r="AX42" s="1097"/>
      <c r="AY42" s="1109"/>
      <c r="AZ42" s="1103"/>
      <c r="BA42" s="1103"/>
      <c r="BB42" s="1103"/>
      <c r="BC42" s="1103"/>
      <c r="BD42" s="1103"/>
      <c r="BE42" s="1103"/>
      <c r="BF42" s="1103"/>
      <c r="BG42" s="1103"/>
      <c r="BH42" s="1103"/>
      <c r="BI42" s="1103"/>
      <c r="BJ42" s="1103"/>
      <c r="BK42" s="1103"/>
      <c r="BL42" s="1103"/>
      <c r="BM42" s="1103"/>
      <c r="BN42" s="1103"/>
      <c r="CF42" s="1097"/>
      <c r="CG42" s="1097"/>
      <c r="CH42" s="1097"/>
      <c r="CI42" s="1109"/>
      <c r="CJ42" s="1103"/>
      <c r="CK42" s="1103"/>
      <c r="CL42" s="1103"/>
      <c r="CM42" s="1103"/>
      <c r="CN42" s="1103"/>
      <c r="CO42" s="1103"/>
      <c r="CP42" s="1103"/>
      <c r="CQ42" s="1103"/>
      <c r="CR42" s="1103"/>
      <c r="CS42" s="1103"/>
      <c r="DE42" s="1097"/>
      <c r="DF42" s="1097"/>
      <c r="DG42" s="1097"/>
      <c r="DH42" s="1109"/>
      <c r="DI42" s="1103"/>
      <c r="DJ42" s="1103"/>
      <c r="DK42" s="1103"/>
      <c r="DL42" s="1103"/>
      <c r="DM42" s="1103"/>
      <c r="DN42" s="1103"/>
      <c r="DO42" s="1103"/>
      <c r="DP42" s="1103"/>
      <c r="DQ42" s="1103"/>
      <c r="DR42" s="1103"/>
      <c r="DS42" s="1103"/>
      <c r="DT42" s="1103"/>
      <c r="DU42" s="1103"/>
      <c r="DV42" s="1103"/>
      <c r="DW42" s="1103"/>
      <c r="DX42" s="1103"/>
      <c r="DY42" s="1103"/>
      <c r="EM42" s="1090"/>
      <c r="EN42" s="1091"/>
      <c r="EO42" s="1091"/>
      <c r="EP42" s="1091"/>
      <c r="EQ42" s="1091"/>
      <c r="ER42" s="1091"/>
      <c r="ES42" s="1091"/>
      <c r="ET42" s="1091"/>
      <c r="EU42" s="1091"/>
      <c r="EV42" s="1091"/>
      <c r="EW42" s="1091"/>
      <c r="EX42" s="1091"/>
      <c r="EY42" s="1091"/>
      <c r="EZ42" s="1091"/>
      <c r="FA42" s="1091"/>
      <c r="FB42" s="1091"/>
      <c r="FC42" s="1091"/>
      <c r="FD42" s="1091"/>
      <c r="FE42" s="1091"/>
      <c r="FF42" s="1091"/>
      <c r="FG42" s="1091"/>
      <c r="FH42" s="1091"/>
      <c r="FI42" s="1091"/>
      <c r="FJ42" s="1092"/>
    </row>
    <row r="43" spans="1:166" ht="3.75" customHeight="1" x14ac:dyDescent="0.25">
      <c r="A43" s="1103"/>
      <c r="B43" s="1103"/>
      <c r="C43" s="1103"/>
      <c r="D43" s="1103"/>
      <c r="E43" s="1103"/>
      <c r="F43" s="1103"/>
      <c r="G43" s="1103"/>
      <c r="H43" s="1103"/>
      <c r="I43" s="1103"/>
      <c r="J43" s="1103"/>
      <c r="K43" s="1103"/>
      <c r="L43" s="1103"/>
      <c r="M43" s="1103"/>
      <c r="N43" s="1103"/>
      <c r="O43" s="1103"/>
      <c r="P43" s="1103"/>
      <c r="Q43" s="1103"/>
      <c r="R43" s="1103"/>
      <c r="S43" s="1103"/>
      <c r="T43" s="1103"/>
      <c r="U43" s="1103"/>
      <c r="V43" s="1103"/>
      <c r="W43" s="1103"/>
      <c r="Y43" s="1097"/>
      <c r="Z43" s="1097"/>
      <c r="AA43" s="1097"/>
      <c r="AB43" s="1109"/>
      <c r="AC43" s="1103"/>
      <c r="AD43" s="1103"/>
      <c r="AE43" s="1103"/>
      <c r="AF43" s="1103"/>
      <c r="AG43" s="1103"/>
      <c r="AH43" s="1103"/>
      <c r="AI43" s="356"/>
      <c r="AJ43" s="356"/>
      <c r="AK43" s="356"/>
      <c r="AV43" s="1097"/>
      <c r="AW43" s="1097"/>
      <c r="AX43" s="1097"/>
      <c r="AY43" s="1109"/>
      <c r="AZ43" s="1103"/>
      <c r="BA43" s="1103"/>
      <c r="BB43" s="1103"/>
      <c r="BC43" s="1103"/>
      <c r="BD43" s="1103"/>
      <c r="BE43" s="1103"/>
      <c r="BF43" s="1103"/>
      <c r="BG43" s="1103"/>
      <c r="BH43" s="1103"/>
      <c r="BI43" s="1103"/>
      <c r="BJ43" s="1103"/>
      <c r="BK43" s="1103"/>
      <c r="BL43" s="1103"/>
      <c r="BM43" s="1103"/>
      <c r="BN43" s="1103"/>
      <c r="CF43" s="1097"/>
      <c r="CG43" s="1097"/>
      <c r="CH43" s="1097"/>
      <c r="CI43" s="1109"/>
      <c r="CJ43" s="1103"/>
      <c r="CK43" s="1103"/>
      <c r="CL43" s="1103"/>
      <c r="CM43" s="1103"/>
      <c r="CN43" s="1103"/>
      <c r="CO43" s="1103"/>
      <c r="CP43" s="1103"/>
      <c r="CQ43" s="1103"/>
      <c r="CR43" s="1103"/>
      <c r="CS43" s="1103"/>
      <c r="DE43" s="1097"/>
      <c r="DF43" s="1097"/>
      <c r="DG43" s="1097"/>
      <c r="DH43" s="1109"/>
      <c r="DI43" s="1103"/>
      <c r="DJ43" s="1103"/>
      <c r="DK43" s="1103"/>
      <c r="DL43" s="1103"/>
      <c r="DM43" s="1103"/>
      <c r="DN43" s="1103"/>
      <c r="DO43" s="1103"/>
      <c r="DP43" s="1103"/>
      <c r="DQ43" s="1103"/>
      <c r="DR43" s="1103"/>
      <c r="DS43" s="1103"/>
      <c r="DT43" s="1103"/>
      <c r="DU43" s="1103"/>
      <c r="DV43" s="1103"/>
      <c r="DW43" s="1103"/>
      <c r="DX43" s="1103"/>
      <c r="DY43" s="1103"/>
      <c r="EM43" s="1090"/>
      <c r="EN43" s="1091"/>
      <c r="EO43" s="1091"/>
      <c r="EP43" s="1091"/>
      <c r="EQ43" s="1091"/>
      <c r="ER43" s="1091"/>
      <c r="ES43" s="1091"/>
      <c r="ET43" s="1091"/>
      <c r="EU43" s="1091"/>
      <c r="EV43" s="1091"/>
      <c r="EW43" s="1091"/>
      <c r="EX43" s="1091"/>
      <c r="EY43" s="1091"/>
      <c r="EZ43" s="1091"/>
      <c r="FA43" s="1091"/>
      <c r="FB43" s="1091"/>
      <c r="FC43" s="1091"/>
      <c r="FD43" s="1091"/>
      <c r="FE43" s="1091"/>
      <c r="FF43" s="1091"/>
      <c r="FG43" s="1091"/>
      <c r="FH43" s="1091"/>
      <c r="FI43" s="1091"/>
      <c r="FJ43" s="1092"/>
    </row>
    <row r="44" spans="1:166" ht="3.75" customHeight="1" thickBot="1" x14ac:dyDescent="0.3">
      <c r="A44" s="355"/>
      <c r="B44" s="355"/>
      <c r="C44" s="355"/>
      <c r="D44" s="355"/>
      <c r="E44" s="355"/>
      <c r="F44" s="355"/>
      <c r="G44" s="355"/>
      <c r="H44" s="355"/>
      <c r="I44" s="355"/>
      <c r="J44" s="355"/>
      <c r="K44" s="355"/>
      <c r="L44" s="355"/>
      <c r="M44" s="355"/>
      <c r="N44" s="355"/>
      <c r="O44" s="355"/>
      <c r="P44" s="355"/>
      <c r="Q44" s="355"/>
      <c r="R44" s="355"/>
      <c r="S44" s="355"/>
      <c r="T44" s="355"/>
      <c r="U44" s="355"/>
      <c r="V44" s="355"/>
      <c r="W44" s="355"/>
      <c r="X44" s="355"/>
      <c r="Y44" s="355"/>
      <c r="Z44" s="355"/>
      <c r="AA44" s="355"/>
      <c r="AB44" s="355"/>
      <c r="AC44" s="355"/>
      <c r="AD44" s="355"/>
      <c r="AE44" s="355"/>
      <c r="AF44" s="355"/>
      <c r="AG44" s="355"/>
      <c r="AH44" s="355"/>
      <c r="AI44" s="355"/>
      <c r="AJ44" s="355"/>
      <c r="AK44" s="355"/>
      <c r="AL44" s="355"/>
      <c r="AM44" s="355"/>
      <c r="AN44" s="355"/>
      <c r="AO44" s="355"/>
      <c r="AP44" s="355"/>
      <c r="AQ44" s="355"/>
      <c r="AR44" s="355"/>
      <c r="AS44" s="355"/>
      <c r="AT44" s="355"/>
      <c r="AU44" s="355"/>
      <c r="AV44" s="355"/>
      <c r="AW44" s="355"/>
      <c r="AX44" s="355"/>
      <c r="AY44" s="355"/>
      <c r="AZ44" s="355"/>
      <c r="BA44" s="355"/>
      <c r="BB44" s="355"/>
      <c r="BC44" s="355"/>
      <c r="BD44" s="355"/>
      <c r="BE44" s="355"/>
      <c r="BF44" s="355"/>
      <c r="BG44" s="355"/>
      <c r="BH44" s="355"/>
      <c r="BI44" s="355"/>
      <c r="BJ44" s="355"/>
      <c r="BK44" s="355"/>
      <c r="BL44" s="355"/>
      <c r="BM44" s="355"/>
      <c r="BN44" s="355"/>
      <c r="BO44" s="355"/>
      <c r="BP44" s="355"/>
      <c r="BQ44" s="355"/>
      <c r="BR44" s="355"/>
      <c r="BS44" s="355"/>
      <c r="BT44" s="355"/>
      <c r="BU44" s="355"/>
      <c r="BV44" s="355"/>
      <c r="BW44" s="355"/>
      <c r="BX44" s="355"/>
      <c r="BY44" s="355"/>
      <c r="BZ44" s="355"/>
      <c r="CA44" s="355"/>
      <c r="CB44" s="355"/>
      <c r="CC44" s="355"/>
      <c r="CD44" s="355"/>
      <c r="CE44" s="355"/>
      <c r="CF44" s="355"/>
      <c r="CG44" s="355"/>
      <c r="CH44" s="355"/>
      <c r="CI44" s="355"/>
      <c r="CJ44" s="355"/>
      <c r="CK44" s="355"/>
      <c r="CL44" s="355"/>
      <c r="CM44" s="355"/>
      <c r="CN44" s="355"/>
      <c r="CO44" s="355"/>
      <c r="CP44" s="355"/>
      <c r="CQ44" s="355"/>
      <c r="CR44" s="355"/>
      <c r="CS44" s="355"/>
      <c r="CT44" s="355"/>
      <c r="CU44" s="355"/>
      <c r="CV44" s="355"/>
      <c r="CW44" s="355"/>
      <c r="CX44" s="355"/>
      <c r="CY44" s="355"/>
      <c r="CZ44" s="355"/>
      <c r="DA44" s="355"/>
      <c r="DB44" s="355"/>
      <c r="DC44" s="355"/>
      <c r="DD44" s="355"/>
      <c r="DE44" s="355"/>
      <c r="DF44" s="355"/>
      <c r="DG44" s="355"/>
      <c r="DH44" s="355"/>
      <c r="DI44" s="355"/>
      <c r="DJ44" s="355"/>
      <c r="DK44" s="355"/>
      <c r="DL44" s="355"/>
      <c r="DM44" s="355"/>
      <c r="DN44" s="355"/>
      <c r="DO44" s="355"/>
      <c r="DP44" s="355"/>
      <c r="DQ44" s="355"/>
      <c r="DR44" s="355"/>
      <c r="DS44" s="355"/>
      <c r="DT44" s="355"/>
      <c r="DU44" s="355"/>
      <c r="DV44" s="355"/>
      <c r="DW44" s="355"/>
      <c r="DX44" s="355"/>
      <c r="DY44" s="355"/>
      <c r="DZ44" s="355"/>
      <c r="EA44" s="355"/>
      <c r="EB44" s="355"/>
      <c r="EC44" s="355"/>
      <c r="ED44" s="355"/>
      <c r="EE44" s="355"/>
      <c r="EF44" s="355"/>
      <c r="EG44" s="355"/>
      <c r="EH44" s="355"/>
      <c r="EI44" s="355"/>
      <c r="EJ44" s="355"/>
      <c r="EK44" s="355"/>
      <c r="EL44" s="355"/>
      <c r="EM44" s="1090"/>
      <c r="EN44" s="1091"/>
      <c r="EO44" s="1091"/>
      <c r="EP44" s="1091"/>
      <c r="EQ44" s="1091"/>
      <c r="ER44" s="1091"/>
      <c r="ES44" s="1091"/>
      <c r="ET44" s="1091"/>
      <c r="EU44" s="1091"/>
      <c r="EV44" s="1091"/>
      <c r="EW44" s="1091"/>
      <c r="EX44" s="1091"/>
      <c r="EY44" s="1091"/>
      <c r="EZ44" s="1091"/>
      <c r="FA44" s="1091"/>
      <c r="FB44" s="1091"/>
      <c r="FC44" s="1091"/>
      <c r="FD44" s="1091"/>
      <c r="FE44" s="1091"/>
      <c r="FF44" s="1091"/>
      <c r="FG44" s="1091"/>
      <c r="FH44" s="1091"/>
      <c r="FI44" s="1091"/>
      <c r="FJ44" s="1092"/>
    </row>
    <row r="45" spans="1:166" ht="3.75" customHeight="1" x14ac:dyDescent="0.25">
      <c r="EM45" s="1093"/>
      <c r="EN45" s="1094"/>
      <c r="EO45" s="1094"/>
      <c r="EP45" s="1094"/>
      <c r="EQ45" s="1094"/>
      <c r="ER45" s="1094"/>
      <c r="ES45" s="1094"/>
      <c r="ET45" s="1094"/>
      <c r="EU45" s="1094"/>
      <c r="EV45" s="1094"/>
      <c r="EW45" s="1094"/>
      <c r="EX45" s="1094"/>
      <c r="EY45" s="1094"/>
      <c r="EZ45" s="1094"/>
      <c r="FA45" s="1094"/>
      <c r="FB45" s="1094"/>
      <c r="FC45" s="1094"/>
      <c r="FD45" s="1094"/>
      <c r="FE45" s="1094"/>
      <c r="FF45" s="1094"/>
      <c r="FG45" s="1094"/>
      <c r="FH45" s="1094"/>
      <c r="FI45" s="1094"/>
      <c r="FJ45" s="1095"/>
    </row>
    <row r="46" spans="1:166" ht="3.75" customHeight="1" x14ac:dyDescent="0.25">
      <c r="A46" s="1170" t="s">
        <v>630</v>
      </c>
      <c r="B46" s="1170"/>
      <c r="C46" s="1170"/>
      <c r="D46" s="1170"/>
      <c r="E46" s="1170"/>
      <c r="F46" s="1170"/>
      <c r="G46" s="1170"/>
      <c r="H46" s="1170"/>
      <c r="I46" s="1170"/>
      <c r="J46" s="1170"/>
      <c r="K46" s="1170"/>
      <c r="L46" s="1170"/>
      <c r="M46" s="1170"/>
      <c r="N46" s="1170"/>
      <c r="O46" s="1170"/>
      <c r="P46" s="1170"/>
      <c r="Q46" s="1170"/>
      <c r="R46" s="1170"/>
      <c r="S46" s="1170"/>
      <c r="T46" s="1170"/>
      <c r="U46" s="1170"/>
      <c r="V46" s="1170"/>
      <c r="W46" s="1170"/>
      <c r="Y46" s="1097"/>
      <c r="Z46" s="1097"/>
      <c r="AA46" s="1097"/>
      <c r="AB46" s="1109" t="s">
        <v>629</v>
      </c>
      <c r="AC46" s="1103"/>
      <c r="AD46" s="1103"/>
      <c r="AE46" s="1103"/>
      <c r="AF46" s="1103"/>
      <c r="AG46" s="1103"/>
      <c r="AH46" s="1103"/>
      <c r="AI46" s="1103"/>
      <c r="AJ46" s="1103"/>
      <c r="AK46" s="1103"/>
      <c r="AL46" s="1103"/>
      <c r="AM46" s="1103"/>
      <c r="AN46" s="1103"/>
      <c r="AO46" s="1103"/>
      <c r="AP46" s="1103"/>
      <c r="AQ46" s="1103"/>
      <c r="AR46" s="1103"/>
      <c r="AS46" s="1103"/>
      <c r="AT46" s="1103"/>
      <c r="AU46" s="1103"/>
      <c r="AV46" s="1103"/>
      <c r="AW46" s="1103"/>
      <c r="AX46" s="1103"/>
      <c r="AY46" s="1103"/>
      <c r="AZ46" s="358"/>
      <c r="BE46" s="1097"/>
      <c r="BF46" s="1097"/>
      <c r="BG46" s="1097"/>
      <c r="BH46" s="1109" t="s">
        <v>628</v>
      </c>
      <c r="BI46" s="1103"/>
      <c r="BJ46" s="1103"/>
      <c r="BK46" s="1103"/>
      <c r="BL46" s="1103"/>
      <c r="BM46" s="1103"/>
      <c r="BN46" s="1103"/>
      <c r="BO46" s="1103"/>
      <c r="BP46" s="1103"/>
      <c r="BQ46" s="1103"/>
      <c r="BR46" s="1103"/>
      <c r="BS46" s="1103"/>
      <c r="BT46" s="1103"/>
      <c r="BU46" s="1103"/>
      <c r="BV46" s="1103"/>
      <c r="BW46" s="1103"/>
      <c r="BX46" s="1103"/>
      <c r="BY46" s="1103"/>
      <c r="BZ46" s="1103"/>
      <c r="CA46" s="1103"/>
      <c r="CB46" s="1103"/>
      <c r="CC46" s="1103"/>
      <c r="CD46" s="1103"/>
      <c r="CE46" s="1103"/>
      <c r="CF46" s="1103"/>
      <c r="CG46" s="1103"/>
      <c r="CH46" s="1103"/>
      <c r="CI46" s="1103"/>
      <c r="CJ46" s="1103"/>
      <c r="CK46" s="1103"/>
      <c r="CL46" s="1103"/>
      <c r="CM46" s="1103"/>
      <c r="CN46" s="1103"/>
      <c r="CO46" s="1103"/>
      <c r="CP46" s="1103"/>
      <c r="CQ46" s="1103"/>
      <c r="CR46" s="1103"/>
      <c r="CS46" s="1103"/>
      <c r="CT46" s="1103"/>
    </row>
    <row r="47" spans="1:166" ht="3.75" customHeight="1" x14ac:dyDescent="0.25">
      <c r="A47" s="1170"/>
      <c r="B47" s="1170"/>
      <c r="C47" s="1170"/>
      <c r="D47" s="1170"/>
      <c r="E47" s="1170"/>
      <c r="F47" s="1170"/>
      <c r="G47" s="1170"/>
      <c r="H47" s="1170"/>
      <c r="I47" s="1170"/>
      <c r="J47" s="1170"/>
      <c r="K47" s="1170"/>
      <c r="L47" s="1170"/>
      <c r="M47" s="1170"/>
      <c r="N47" s="1170"/>
      <c r="O47" s="1170"/>
      <c r="P47" s="1170"/>
      <c r="Q47" s="1170"/>
      <c r="R47" s="1170"/>
      <c r="S47" s="1170"/>
      <c r="T47" s="1170"/>
      <c r="U47" s="1170"/>
      <c r="V47" s="1170"/>
      <c r="W47" s="1170"/>
      <c r="Y47" s="1097"/>
      <c r="Z47" s="1097"/>
      <c r="AA47" s="1097"/>
      <c r="AB47" s="1109"/>
      <c r="AC47" s="1103"/>
      <c r="AD47" s="1103"/>
      <c r="AE47" s="1103"/>
      <c r="AF47" s="1103"/>
      <c r="AG47" s="1103"/>
      <c r="AH47" s="1103"/>
      <c r="AI47" s="1103"/>
      <c r="AJ47" s="1103"/>
      <c r="AK47" s="1103"/>
      <c r="AL47" s="1103"/>
      <c r="AM47" s="1103"/>
      <c r="AN47" s="1103"/>
      <c r="AO47" s="1103"/>
      <c r="AP47" s="1103"/>
      <c r="AQ47" s="1103"/>
      <c r="AR47" s="1103"/>
      <c r="AS47" s="1103"/>
      <c r="AT47" s="1103"/>
      <c r="AU47" s="1103"/>
      <c r="AV47" s="1103"/>
      <c r="AW47" s="1103"/>
      <c r="AX47" s="1103"/>
      <c r="AY47" s="1103"/>
      <c r="AZ47" s="358"/>
      <c r="BE47" s="1097"/>
      <c r="BF47" s="1097"/>
      <c r="BG47" s="1097"/>
      <c r="BH47" s="1109"/>
      <c r="BI47" s="1103"/>
      <c r="BJ47" s="1103"/>
      <c r="BK47" s="1103"/>
      <c r="BL47" s="1103"/>
      <c r="BM47" s="1103"/>
      <c r="BN47" s="1103"/>
      <c r="BO47" s="1103"/>
      <c r="BP47" s="1103"/>
      <c r="BQ47" s="1103"/>
      <c r="BR47" s="1103"/>
      <c r="BS47" s="1103"/>
      <c r="BT47" s="1103"/>
      <c r="BU47" s="1103"/>
      <c r="BV47" s="1103"/>
      <c r="BW47" s="1103"/>
      <c r="BX47" s="1103"/>
      <c r="BY47" s="1103"/>
      <c r="BZ47" s="1103"/>
      <c r="CA47" s="1103"/>
      <c r="CB47" s="1103"/>
      <c r="CC47" s="1103"/>
      <c r="CD47" s="1103"/>
      <c r="CE47" s="1103"/>
      <c r="CF47" s="1103"/>
      <c r="CG47" s="1103"/>
      <c r="CH47" s="1103"/>
      <c r="CI47" s="1103"/>
      <c r="CJ47" s="1103"/>
      <c r="CK47" s="1103"/>
      <c r="CL47" s="1103"/>
      <c r="CM47" s="1103"/>
      <c r="CN47" s="1103"/>
      <c r="CO47" s="1103"/>
      <c r="CP47" s="1103"/>
      <c r="CQ47" s="1103"/>
      <c r="CR47" s="1103"/>
      <c r="CS47" s="1103"/>
      <c r="CT47" s="1103"/>
    </row>
    <row r="48" spans="1:166" ht="3.75" customHeight="1" x14ac:dyDescent="0.25">
      <c r="A48" s="1170"/>
      <c r="B48" s="1170"/>
      <c r="C48" s="1170"/>
      <c r="D48" s="1170"/>
      <c r="E48" s="1170"/>
      <c r="F48" s="1170"/>
      <c r="G48" s="1170"/>
      <c r="H48" s="1170"/>
      <c r="I48" s="1170"/>
      <c r="J48" s="1170"/>
      <c r="K48" s="1170"/>
      <c r="L48" s="1170"/>
      <c r="M48" s="1170"/>
      <c r="N48" s="1170"/>
      <c r="O48" s="1170"/>
      <c r="P48" s="1170"/>
      <c r="Q48" s="1170"/>
      <c r="R48" s="1170"/>
      <c r="S48" s="1170"/>
      <c r="T48" s="1170"/>
      <c r="U48" s="1170"/>
      <c r="V48" s="1170"/>
      <c r="W48" s="1170"/>
      <c r="Y48" s="1097"/>
      <c r="Z48" s="1097"/>
      <c r="AA48" s="1097"/>
      <c r="AB48" s="1109"/>
      <c r="AC48" s="1103"/>
      <c r="AD48" s="1103"/>
      <c r="AE48" s="1103"/>
      <c r="AF48" s="1103"/>
      <c r="AG48" s="1103"/>
      <c r="AH48" s="1103"/>
      <c r="AI48" s="1103"/>
      <c r="AJ48" s="1103"/>
      <c r="AK48" s="1103"/>
      <c r="AL48" s="1103"/>
      <c r="AM48" s="1103"/>
      <c r="AN48" s="1103"/>
      <c r="AO48" s="1103"/>
      <c r="AP48" s="1103"/>
      <c r="AQ48" s="1103"/>
      <c r="AR48" s="1103"/>
      <c r="AS48" s="1103"/>
      <c r="AT48" s="1103"/>
      <c r="AU48" s="1103"/>
      <c r="AV48" s="1103"/>
      <c r="AW48" s="1103"/>
      <c r="AX48" s="1103"/>
      <c r="AY48" s="1103"/>
      <c r="AZ48" s="358"/>
      <c r="BE48" s="1097"/>
      <c r="BF48" s="1097"/>
      <c r="BG48" s="1097"/>
      <c r="BH48" s="1109"/>
      <c r="BI48" s="1103"/>
      <c r="BJ48" s="1103"/>
      <c r="BK48" s="1103"/>
      <c r="BL48" s="1103"/>
      <c r="BM48" s="1103"/>
      <c r="BN48" s="1103"/>
      <c r="BO48" s="1103"/>
      <c r="BP48" s="1103"/>
      <c r="BQ48" s="1103"/>
      <c r="BR48" s="1103"/>
      <c r="BS48" s="1103"/>
      <c r="BT48" s="1103"/>
      <c r="BU48" s="1103"/>
      <c r="BV48" s="1103"/>
      <c r="BW48" s="1103"/>
      <c r="BX48" s="1103"/>
      <c r="BY48" s="1103"/>
      <c r="BZ48" s="1103"/>
      <c r="CA48" s="1103"/>
      <c r="CB48" s="1103"/>
      <c r="CC48" s="1103"/>
      <c r="CD48" s="1103"/>
      <c r="CE48" s="1103"/>
      <c r="CF48" s="1103"/>
      <c r="CG48" s="1103"/>
      <c r="CH48" s="1103"/>
      <c r="CI48" s="1103"/>
      <c r="CJ48" s="1103"/>
      <c r="CK48" s="1103"/>
      <c r="CL48" s="1103"/>
      <c r="CM48" s="1103"/>
      <c r="CN48" s="1103"/>
      <c r="CO48" s="1103"/>
      <c r="CP48" s="1103"/>
      <c r="CQ48" s="1103"/>
      <c r="CR48" s="1103"/>
      <c r="CS48" s="1103"/>
      <c r="CT48" s="1103"/>
    </row>
    <row r="49" spans="1:142" ht="3.75" customHeight="1" thickBot="1" x14ac:dyDescent="0.3">
      <c r="A49" s="355"/>
      <c r="B49" s="355"/>
      <c r="C49" s="355"/>
      <c r="D49" s="355"/>
      <c r="E49" s="355"/>
      <c r="F49" s="355"/>
      <c r="G49" s="355"/>
      <c r="H49" s="355"/>
      <c r="I49" s="355"/>
      <c r="J49" s="355"/>
      <c r="K49" s="355"/>
      <c r="L49" s="355"/>
      <c r="M49" s="355"/>
      <c r="N49" s="355"/>
      <c r="O49" s="355"/>
      <c r="P49" s="355"/>
      <c r="Q49" s="355"/>
      <c r="R49" s="355"/>
      <c r="S49" s="355"/>
      <c r="T49" s="355"/>
      <c r="U49" s="355"/>
      <c r="V49" s="355"/>
      <c r="W49" s="355"/>
      <c r="X49" s="355"/>
      <c r="Y49" s="355"/>
      <c r="Z49" s="355"/>
      <c r="AA49" s="355"/>
      <c r="AB49" s="355"/>
      <c r="AC49" s="355"/>
      <c r="AD49" s="355"/>
      <c r="AE49" s="355"/>
      <c r="AF49" s="355"/>
      <c r="AG49" s="355"/>
      <c r="AH49" s="355"/>
      <c r="AI49" s="355"/>
      <c r="AJ49" s="355"/>
      <c r="AK49" s="355"/>
      <c r="AL49" s="355"/>
      <c r="AM49" s="355"/>
      <c r="AN49" s="355"/>
      <c r="AO49" s="355"/>
      <c r="AP49" s="355"/>
      <c r="AQ49" s="355"/>
      <c r="AR49" s="355"/>
      <c r="AS49" s="355"/>
      <c r="AT49" s="355"/>
      <c r="AU49" s="355"/>
      <c r="AV49" s="355"/>
      <c r="AW49" s="355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55"/>
      <c r="BI49" s="355"/>
      <c r="BJ49" s="355"/>
      <c r="BK49" s="355"/>
      <c r="BL49" s="355"/>
      <c r="BM49" s="355"/>
      <c r="BN49" s="355"/>
      <c r="BO49" s="355"/>
      <c r="BP49" s="355"/>
      <c r="BQ49" s="355"/>
      <c r="BR49" s="355"/>
      <c r="BS49" s="355"/>
      <c r="BT49" s="355"/>
      <c r="BU49" s="355"/>
      <c r="BV49" s="355"/>
      <c r="BW49" s="355"/>
      <c r="BX49" s="355"/>
      <c r="BY49" s="355"/>
      <c r="BZ49" s="355"/>
      <c r="CA49" s="355"/>
      <c r="CB49" s="355"/>
      <c r="CC49" s="355"/>
      <c r="CD49" s="355"/>
      <c r="CE49" s="355"/>
      <c r="CF49" s="355"/>
      <c r="CG49" s="355"/>
      <c r="CH49" s="355"/>
      <c r="CI49" s="355"/>
      <c r="CJ49" s="355"/>
      <c r="CK49" s="355"/>
      <c r="CL49" s="355"/>
      <c r="CM49" s="355"/>
      <c r="CN49" s="355"/>
      <c r="CO49" s="355"/>
      <c r="CP49" s="355"/>
      <c r="CQ49" s="355"/>
      <c r="CR49" s="355"/>
      <c r="CS49" s="355"/>
      <c r="CT49" s="355"/>
      <c r="CU49" s="355"/>
      <c r="CV49" s="355"/>
      <c r="CW49" s="355"/>
      <c r="CX49" s="355"/>
      <c r="CY49" s="355"/>
      <c r="CZ49" s="355"/>
      <c r="DA49" s="355"/>
      <c r="DB49" s="355"/>
      <c r="DC49" s="355"/>
      <c r="DD49" s="355"/>
      <c r="DE49" s="355"/>
      <c r="DF49" s="355"/>
      <c r="DG49" s="355"/>
      <c r="DH49" s="355"/>
      <c r="DI49" s="355"/>
      <c r="DJ49" s="355"/>
      <c r="DK49" s="355"/>
      <c r="DL49" s="355"/>
      <c r="DM49" s="355"/>
      <c r="DN49" s="355"/>
      <c r="DO49" s="355"/>
      <c r="DP49" s="355"/>
      <c r="DQ49" s="355"/>
      <c r="DR49" s="355"/>
      <c r="DS49" s="355"/>
      <c r="DT49" s="355"/>
      <c r="DU49" s="355"/>
      <c r="DV49" s="355"/>
      <c r="DW49" s="355"/>
      <c r="DX49" s="355"/>
      <c r="DY49" s="355"/>
      <c r="DZ49" s="355"/>
      <c r="EA49" s="355"/>
      <c r="EB49" s="355"/>
      <c r="EC49" s="355"/>
      <c r="ED49" s="355"/>
      <c r="EE49" s="355"/>
      <c r="EF49" s="355"/>
      <c r="EG49" s="355"/>
      <c r="EH49" s="355"/>
      <c r="EI49" s="355"/>
      <c r="EJ49" s="355"/>
      <c r="EK49" s="355"/>
      <c r="EL49" s="355"/>
    </row>
    <row r="50" spans="1:142" ht="3.75" customHeight="1" x14ac:dyDescent="0.25">
      <c r="A50" s="1065" t="s">
        <v>618</v>
      </c>
      <c r="B50" s="1065"/>
      <c r="C50" s="1065"/>
      <c r="E50" s="1065" t="s">
        <v>597</v>
      </c>
      <c r="F50" s="1065"/>
      <c r="G50" s="1065"/>
      <c r="I50" s="1065" t="s">
        <v>596</v>
      </c>
      <c r="J50" s="1065"/>
      <c r="K50" s="1065"/>
      <c r="BS50" s="368"/>
      <c r="BU50" s="1177" t="s">
        <v>796</v>
      </c>
      <c r="BV50" s="1177"/>
      <c r="BW50" s="1177"/>
      <c r="BX50" t="s">
        <v>795</v>
      </c>
      <c r="BY50" s="1065" t="s">
        <v>597</v>
      </c>
      <c r="BZ50" s="1065"/>
      <c r="CA50" s="1065"/>
      <c r="CC50" s="1065" t="s">
        <v>596</v>
      </c>
      <c r="CD50" s="1065"/>
      <c r="CE50" s="1065"/>
      <c r="CG50" s="1065" t="s">
        <v>595</v>
      </c>
      <c r="CH50" s="1065"/>
      <c r="CI50" s="1065"/>
      <c r="EG50" s="366"/>
      <c r="EH50" s="366"/>
    </row>
    <row r="51" spans="1:142" ht="3.75" customHeight="1" x14ac:dyDescent="0.25">
      <c r="A51" s="1066"/>
      <c r="B51" s="1066"/>
      <c r="C51" s="1066"/>
      <c r="E51" s="1066"/>
      <c r="F51" s="1066"/>
      <c r="G51" s="1066"/>
      <c r="I51" s="1066"/>
      <c r="J51" s="1066"/>
      <c r="K51" s="1066"/>
      <c r="BD51" s="437"/>
      <c r="BE51" s="438"/>
      <c r="BF51" s="438"/>
      <c r="BG51" s="438"/>
      <c r="BH51" s="438"/>
      <c r="BI51" s="439"/>
      <c r="BM51" s="437"/>
      <c r="BN51" s="438"/>
      <c r="BO51" s="438"/>
      <c r="BP51" s="438"/>
      <c r="BQ51" s="438"/>
      <c r="BR51" s="439"/>
      <c r="BS51" s="73"/>
      <c r="BU51" s="1178"/>
      <c r="BV51" s="1178"/>
      <c r="BW51" s="1178"/>
      <c r="BY51" s="1066"/>
      <c r="BZ51" s="1066"/>
      <c r="CA51" s="1066"/>
      <c r="CC51" s="1066"/>
      <c r="CD51" s="1066"/>
      <c r="CE51" s="1066"/>
      <c r="CG51" s="1066"/>
      <c r="CH51" s="1066"/>
      <c r="CI51" s="1066"/>
    </row>
    <row r="52" spans="1:142" ht="3.75" customHeight="1" x14ac:dyDescent="0.25">
      <c r="A52" s="1066"/>
      <c r="B52" s="1066"/>
      <c r="C52" s="1066"/>
      <c r="E52" s="1066"/>
      <c r="F52" s="1066"/>
      <c r="G52" s="1066"/>
      <c r="I52" s="1066"/>
      <c r="J52" s="1066"/>
      <c r="K52" s="1066"/>
      <c r="BD52" s="72"/>
      <c r="BE52" s="1171" t="s">
        <v>791</v>
      </c>
      <c r="BF52" s="1172"/>
      <c r="BI52" s="73"/>
      <c r="BM52" s="72"/>
      <c r="BN52" s="1171" t="s">
        <v>792</v>
      </c>
      <c r="BO52" s="1172"/>
      <c r="BR52" s="73"/>
      <c r="BS52" s="73"/>
      <c r="BU52" s="1178"/>
      <c r="BV52" s="1178"/>
      <c r="BW52" s="1178"/>
      <c r="BY52" s="1066"/>
      <c r="BZ52" s="1066"/>
      <c r="CA52" s="1066"/>
      <c r="CC52" s="1066"/>
      <c r="CD52" s="1066"/>
      <c r="CE52" s="1066"/>
      <c r="CG52" s="1066"/>
      <c r="CH52" s="1066"/>
      <c r="CI52" s="1066"/>
    </row>
    <row r="53" spans="1:142" ht="3.75" customHeight="1" x14ac:dyDescent="0.25">
      <c r="A53" s="1066"/>
      <c r="B53" s="1066"/>
      <c r="C53" s="1066"/>
      <c r="E53" s="1066"/>
      <c r="F53" s="1066"/>
      <c r="G53" s="1066"/>
      <c r="I53" s="1066"/>
      <c r="J53" s="1066"/>
      <c r="K53" s="1066"/>
      <c r="S53" s="1077" t="s">
        <v>789</v>
      </c>
      <c r="T53" s="1077"/>
      <c r="U53" s="1077"/>
      <c r="V53" s="1077"/>
      <c r="W53" s="1077"/>
      <c r="X53" s="1077"/>
      <c r="Y53" s="1077"/>
      <c r="Z53" s="1077"/>
      <c r="AA53" s="1077"/>
      <c r="AB53" s="1077"/>
      <c r="AC53" s="1077"/>
      <c r="AD53" s="1077"/>
      <c r="AE53" s="1077"/>
      <c r="AF53" s="1077"/>
      <c r="AG53" s="1077"/>
      <c r="AH53" s="1077"/>
      <c r="AI53" s="1077"/>
      <c r="AJ53" s="1077"/>
      <c r="AK53" s="1077"/>
      <c r="AL53" s="1077"/>
      <c r="AM53" s="1077"/>
      <c r="AN53" s="1077"/>
      <c r="AO53" s="1077"/>
      <c r="BD53" s="72"/>
      <c r="BE53" s="1173"/>
      <c r="BF53" s="1174"/>
      <c r="BI53" s="73"/>
      <c r="BM53" s="72"/>
      <c r="BN53" s="1173"/>
      <c r="BO53" s="1174"/>
      <c r="BR53" s="73"/>
      <c r="BS53" s="73"/>
      <c r="BU53" s="1178"/>
      <c r="BV53" s="1178"/>
      <c r="BW53" s="1178"/>
      <c r="BY53" s="1066"/>
      <c r="BZ53" s="1066"/>
      <c r="CA53" s="1066"/>
      <c r="CC53" s="1066"/>
      <c r="CD53" s="1066"/>
      <c r="CE53" s="1066"/>
      <c r="CG53" s="1066"/>
      <c r="CH53" s="1066"/>
      <c r="CI53" s="1066"/>
      <c r="CU53" s="1077" t="s">
        <v>794</v>
      </c>
      <c r="CV53" s="1077"/>
      <c r="CW53" s="1077"/>
      <c r="CX53" s="1077"/>
      <c r="CY53" s="1077"/>
      <c r="CZ53" s="1077"/>
      <c r="DA53" s="1077"/>
      <c r="DB53" s="1077"/>
      <c r="DC53" s="1077"/>
      <c r="DD53" s="1077"/>
      <c r="DE53" s="1077"/>
      <c r="DF53" s="1077"/>
      <c r="DG53" s="1077"/>
      <c r="DH53" s="1077"/>
      <c r="DI53" s="1077"/>
      <c r="DJ53" s="1077"/>
      <c r="DK53" s="1077"/>
      <c r="DL53" s="1077"/>
      <c r="DM53" s="1077"/>
      <c r="DN53" s="1077"/>
      <c r="DO53" s="1077"/>
      <c r="DP53" s="1077"/>
      <c r="DQ53" s="1077"/>
      <c r="DR53" s="1077"/>
    </row>
    <row r="54" spans="1:142" ht="3.75" customHeight="1" x14ac:dyDescent="0.25">
      <c r="A54" s="1066"/>
      <c r="B54" s="1066"/>
      <c r="C54" s="1066"/>
      <c r="E54" s="1066"/>
      <c r="F54" s="1066"/>
      <c r="G54" s="1066"/>
      <c r="I54" s="1066"/>
      <c r="J54" s="1066"/>
      <c r="K54" s="1066"/>
      <c r="S54" s="1077"/>
      <c r="T54" s="1077"/>
      <c r="U54" s="1077"/>
      <c r="V54" s="1077"/>
      <c r="W54" s="1077"/>
      <c r="X54" s="1077"/>
      <c r="Y54" s="1077"/>
      <c r="Z54" s="1077"/>
      <c r="AA54" s="1077"/>
      <c r="AB54" s="1077"/>
      <c r="AC54" s="1077"/>
      <c r="AD54" s="1077"/>
      <c r="AE54" s="1077"/>
      <c r="AF54" s="1077"/>
      <c r="AG54" s="1077"/>
      <c r="AH54" s="1077"/>
      <c r="AI54" s="1077"/>
      <c r="AJ54" s="1077"/>
      <c r="AK54" s="1077"/>
      <c r="AL54" s="1077"/>
      <c r="AM54" s="1077"/>
      <c r="AN54" s="1077"/>
      <c r="AO54" s="1077"/>
      <c r="BD54" s="72"/>
      <c r="BE54" s="1173"/>
      <c r="BF54" s="1174"/>
      <c r="BI54" s="73"/>
      <c r="BM54" s="72"/>
      <c r="BN54" s="1173"/>
      <c r="BO54" s="1174"/>
      <c r="BR54" s="73"/>
      <c r="BS54" s="73"/>
      <c r="BU54" s="1178"/>
      <c r="BV54" s="1178"/>
      <c r="BW54" s="1178"/>
      <c r="BY54" s="1066"/>
      <c r="BZ54" s="1066"/>
      <c r="CA54" s="1066"/>
      <c r="CC54" s="1066"/>
      <c r="CD54" s="1066"/>
      <c r="CE54" s="1066"/>
      <c r="CG54" s="1066"/>
      <c r="CH54" s="1066"/>
      <c r="CI54" s="1066"/>
      <c r="CU54" s="1077"/>
      <c r="CV54" s="1077"/>
      <c r="CW54" s="1077"/>
      <c r="CX54" s="1077"/>
      <c r="CY54" s="1077"/>
      <c r="CZ54" s="1077"/>
      <c r="DA54" s="1077"/>
      <c r="DB54" s="1077"/>
      <c r="DC54" s="1077"/>
      <c r="DD54" s="1077"/>
      <c r="DE54" s="1077"/>
      <c r="DF54" s="1077"/>
      <c r="DG54" s="1077"/>
      <c r="DH54" s="1077"/>
      <c r="DI54" s="1077"/>
      <c r="DJ54" s="1077"/>
      <c r="DK54" s="1077"/>
      <c r="DL54" s="1077"/>
      <c r="DM54" s="1077"/>
      <c r="DN54" s="1077"/>
      <c r="DO54" s="1077"/>
      <c r="DP54" s="1077"/>
      <c r="DQ54" s="1077"/>
      <c r="DR54" s="1077"/>
    </row>
    <row r="55" spans="1:142" ht="3.75" customHeight="1" x14ac:dyDescent="0.25">
      <c r="A55" s="1066"/>
      <c r="B55" s="1066"/>
      <c r="C55" s="1066"/>
      <c r="E55" s="1066"/>
      <c r="F55" s="1066"/>
      <c r="G55" s="1066"/>
      <c r="I55" s="1066"/>
      <c r="J55" s="1066"/>
      <c r="K55" s="1066"/>
      <c r="M55" s="1066" t="s">
        <v>595</v>
      </c>
      <c r="N55" s="1066"/>
      <c r="O55" s="1066"/>
      <c r="S55" s="1077"/>
      <c r="T55" s="1077"/>
      <c r="U55" s="1077"/>
      <c r="V55" s="1077"/>
      <c r="W55" s="1077"/>
      <c r="X55" s="1077"/>
      <c r="Y55" s="1077"/>
      <c r="Z55" s="1077"/>
      <c r="AA55" s="1077"/>
      <c r="AB55" s="1077"/>
      <c r="AC55" s="1077"/>
      <c r="AD55" s="1077"/>
      <c r="AE55" s="1077"/>
      <c r="AF55" s="1077"/>
      <c r="AG55" s="1077"/>
      <c r="AH55" s="1077"/>
      <c r="AI55" s="1077"/>
      <c r="AJ55" s="1077"/>
      <c r="AK55" s="1077"/>
      <c r="AL55" s="1077"/>
      <c r="AM55" s="1077"/>
      <c r="AN55" s="1077"/>
      <c r="AO55" s="1077"/>
      <c r="BD55" s="72"/>
      <c r="BE55" s="1173"/>
      <c r="BF55" s="1174"/>
      <c r="BI55" s="73"/>
      <c r="BM55" s="72"/>
      <c r="BN55" s="1173"/>
      <c r="BO55" s="1174"/>
      <c r="BR55" s="73"/>
      <c r="BS55" s="73"/>
      <c r="BU55" s="1178"/>
      <c r="BV55" s="1178"/>
      <c r="BW55" s="1178"/>
      <c r="BY55" s="1066"/>
      <c r="BZ55" s="1066"/>
      <c r="CA55" s="1066"/>
      <c r="CC55" s="1066"/>
      <c r="CD55" s="1066"/>
      <c r="CE55" s="1066"/>
      <c r="CG55" s="1066"/>
      <c r="CH55" s="1066"/>
      <c r="CI55" s="1066"/>
      <c r="CU55" s="1077"/>
      <c r="CV55" s="1077"/>
      <c r="CW55" s="1077"/>
      <c r="CX55" s="1077"/>
      <c r="CY55" s="1077"/>
      <c r="CZ55" s="1077"/>
      <c r="DA55" s="1077"/>
      <c r="DB55" s="1077"/>
      <c r="DC55" s="1077"/>
      <c r="DD55" s="1077"/>
      <c r="DE55" s="1077"/>
      <c r="DF55" s="1077"/>
      <c r="DG55" s="1077"/>
      <c r="DH55" s="1077"/>
      <c r="DI55" s="1077"/>
      <c r="DJ55" s="1077"/>
      <c r="DK55" s="1077"/>
      <c r="DL55" s="1077"/>
      <c r="DM55" s="1077"/>
      <c r="DN55" s="1077"/>
      <c r="DO55" s="1077"/>
      <c r="DP55" s="1077"/>
      <c r="DQ55" s="1077"/>
      <c r="DR55" s="1077"/>
      <c r="EF55" s="363"/>
      <c r="EG55" s="363"/>
    </row>
    <row r="56" spans="1:142" ht="3.75" customHeight="1" x14ac:dyDescent="0.25">
      <c r="A56" s="1066"/>
      <c r="B56" s="1066"/>
      <c r="C56" s="1066"/>
      <c r="E56" s="1066"/>
      <c r="F56" s="1066"/>
      <c r="G56" s="1066"/>
      <c r="I56" s="1066"/>
      <c r="J56" s="1066"/>
      <c r="K56" s="1066"/>
      <c r="M56" s="1066"/>
      <c r="N56" s="1066"/>
      <c r="O56" s="1066"/>
      <c r="BD56" s="72"/>
      <c r="BE56" s="1173"/>
      <c r="BF56" s="1174"/>
      <c r="BI56" s="73"/>
      <c r="BM56" s="72"/>
      <c r="BN56" s="1173"/>
      <c r="BO56" s="1174"/>
      <c r="BR56" s="73"/>
      <c r="BS56" s="73"/>
      <c r="BU56" s="1178"/>
      <c r="BV56" s="1178"/>
      <c r="BW56" s="1178"/>
      <c r="BY56" s="1066"/>
      <c r="BZ56" s="1066"/>
      <c r="CA56" s="1066"/>
      <c r="CC56" s="1066"/>
      <c r="CD56" s="1066"/>
      <c r="CE56" s="1066"/>
      <c r="CG56" s="1066"/>
      <c r="CH56" s="1066"/>
      <c r="CI56" s="1066"/>
      <c r="EF56" s="363"/>
      <c r="EG56" s="363"/>
    </row>
    <row r="57" spans="1:142" ht="3.75" customHeight="1" x14ac:dyDescent="0.25">
      <c r="A57" s="1066"/>
      <c r="B57" s="1066"/>
      <c r="C57" s="1066"/>
      <c r="E57" s="1066"/>
      <c r="F57" s="1066"/>
      <c r="G57" s="1066"/>
      <c r="I57" s="1066"/>
      <c r="J57" s="1066"/>
      <c r="K57" s="1066"/>
      <c r="M57" s="1066"/>
      <c r="N57" s="1066"/>
      <c r="O57" s="1066"/>
      <c r="BD57" s="72"/>
      <c r="BE57" s="1173"/>
      <c r="BF57" s="1174"/>
      <c r="BI57" s="73"/>
      <c r="BM57" s="72"/>
      <c r="BN57" s="1173"/>
      <c r="BO57" s="1174"/>
      <c r="BR57" s="73"/>
      <c r="BS57" s="73"/>
      <c r="BU57" s="1178"/>
      <c r="BV57" s="1178"/>
      <c r="BW57" s="1178"/>
      <c r="BY57" s="1066"/>
      <c r="BZ57" s="1066"/>
      <c r="CA57" s="1066"/>
      <c r="CC57" s="1066"/>
      <c r="CD57" s="1066"/>
      <c r="CE57" s="1066"/>
      <c r="CG57" s="1066"/>
      <c r="CH57" s="1066"/>
      <c r="CI57" s="1066"/>
      <c r="EF57" s="363"/>
      <c r="EG57" s="363"/>
    </row>
    <row r="58" spans="1:142" ht="3.75" customHeight="1" x14ac:dyDescent="0.25">
      <c r="A58" s="1066"/>
      <c r="B58" s="1066"/>
      <c r="C58" s="1066"/>
      <c r="E58" s="1066"/>
      <c r="F58" s="1066"/>
      <c r="G58" s="1066"/>
      <c r="I58" s="1066"/>
      <c r="J58" s="1066"/>
      <c r="K58" s="1066"/>
      <c r="M58" s="1066"/>
      <c r="N58" s="1066"/>
      <c r="O58" s="1066"/>
      <c r="BD58" s="72"/>
      <c r="BE58" s="1175"/>
      <c r="BF58" s="1176"/>
      <c r="BI58" s="73"/>
      <c r="BM58" s="72"/>
      <c r="BN58" s="1175"/>
      <c r="BO58" s="1176"/>
      <c r="BR58" s="73"/>
      <c r="BS58" s="73"/>
      <c r="BU58" s="1178"/>
      <c r="BV58" s="1178"/>
      <c r="BW58" s="1178"/>
      <c r="BY58" s="1066"/>
      <c r="BZ58" s="1066"/>
      <c r="CA58" s="1066"/>
      <c r="CC58" s="1066"/>
      <c r="CD58" s="1066"/>
      <c r="CE58" s="1066"/>
      <c r="CG58" s="1066"/>
      <c r="CH58" s="1066"/>
      <c r="CI58" s="1066"/>
      <c r="EF58" s="363"/>
      <c r="EG58" s="363"/>
    </row>
    <row r="59" spans="1:142" ht="3.75" customHeight="1" x14ac:dyDescent="0.25">
      <c r="A59" s="1066"/>
      <c r="B59" s="1066"/>
      <c r="C59" s="1066"/>
      <c r="E59" s="1066"/>
      <c r="F59" s="1066"/>
      <c r="G59" s="1066"/>
      <c r="I59" s="1066"/>
      <c r="J59" s="1066"/>
      <c r="K59" s="1066"/>
      <c r="M59" s="1066"/>
      <c r="N59" s="1066"/>
      <c r="O59" s="1066"/>
      <c r="BD59" s="393"/>
      <c r="BE59" s="364"/>
      <c r="BF59" s="364"/>
      <c r="BG59" s="364"/>
      <c r="BH59" s="364"/>
      <c r="BI59" s="440"/>
      <c r="BM59" s="393"/>
      <c r="BN59" s="364"/>
      <c r="BO59" s="364"/>
      <c r="BP59" s="364"/>
      <c r="BQ59" s="364"/>
      <c r="BR59" s="440"/>
      <c r="BS59" s="73"/>
      <c r="BU59" s="1178"/>
      <c r="BV59" s="1178"/>
      <c r="BW59" s="1178"/>
      <c r="BY59" s="1066"/>
      <c r="BZ59" s="1066"/>
      <c r="CA59" s="1066"/>
      <c r="CC59" s="1066"/>
      <c r="CD59" s="1066"/>
      <c r="CE59" s="1066"/>
      <c r="CG59" s="1066"/>
      <c r="CH59" s="1066"/>
      <c r="CI59" s="1066"/>
    </row>
    <row r="60" spans="1:142" ht="3.75" customHeight="1" x14ac:dyDescent="0.25">
      <c r="A60" s="1066"/>
      <c r="B60" s="1066"/>
      <c r="C60" s="1066"/>
      <c r="E60" s="1066"/>
      <c r="F60" s="1066"/>
      <c r="G60" s="1066"/>
      <c r="I60" s="1066"/>
      <c r="J60" s="1066"/>
      <c r="K60" s="1066"/>
      <c r="M60" s="1066"/>
      <c r="N60" s="1066"/>
      <c r="O60" s="1066"/>
      <c r="Q60" s="1076" t="s">
        <v>134</v>
      </c>
      <c r="R60" s="1076"/>
      <c r="S60" s="1076"/>
      <c r="T60" s="1076"/>
      <c r="U60" s="1076"/>
      <c r="V60" s="362"/>
      <c r="W60" s="1076" t="s">
        <v>141</v>
      </c>
      <c r="X60" s="1076"/>
      <c r="Y60" s="1076"/>
      <c r="Z60" s="1076"/>
      <c r="AA60" s="1076"/>
      <c r="AB60" s="1076"/>
      <c r="AC60" s="1076"/>
      <c r="AD60" s="1076"/>
      <c r="AE60" s="1076"/>
      <c r="AF60" s="1076"/>
      <c r="AG60" s="1076"/>
      <c r="AH60" s="1076"/>
      <c r="AI60" s="1076"/>
      <c r="AJ60" s="1076"/>
      <c r="AK60" s="1076"/>
      <c r="AL60" s="362"/>
      <c r="AM60" s="1076" t="s">
        <v>142</v>
      </c>
      <c r="AN60" s="1076"/>
      <c r="AO60" s="1076"/>
      <c r="AP60" s="1076"/>
      <c r="AQ60" s="1076"/>
      <c r="AR60" s="1076"/>
      <c r="AS60" s="1076"/>
      <c r="AT60" s="1076"/>
      <c r="AU60" s="1076"/>
      <c r="AV60" s="1076"/>
      <c r="AW60" s="1076"/>
      <c r="AX60" s="1076"/>
      <c r="AY60" s="1076"/>
      <c r="AZ60" s="1076"/>
      <c r="BA60" s="1076"/>
      <c r="BB60" s="1076"/>
      <c r="BD60" s="1066" t="s">
        <v>790</v>
      </c>
      <c r="BE60" s="1066"/>
      <c r="BF60" s="1066"/>
      <c r="BH60" s="1066" t="s">
        <v>791</v>
      </c>
      <c r="BI60" s="1066"/>
      <c r="BJ60" s="1066"/>
      <c r="BL60" s="1066" t="s">
        <v>792</v>
      </c>
      <c r="BM60" s="1066"/>
      <c r="BN60" s="1066"/>
      <c r="BP60" s="1066" t="s">
        <v>793</v>
      </c>
      <c r="BQ60" s="1066"/>
      <c r="BR60" s="1066"/>
      <c r="BS60" s="73"/>
      <c r="BU60" s="1178"/>
      <c r="BV60" s="1178"/>
      <c r="BW60" s="1178"/>
      <c r="BY60" s="1066"/>
      <c r="BZ60" s="1066"/>
      <c r="CA60" s="1066"/>
      <c r="CC60" s="1066"/>
      <c r="CD60" s="1066"/>
      <c r="CE60" s="1066"/>
      <c r="CG60" s="1066"/>
      <c r="CH60" s="1066"/>
      <c r="CI60" s="1066"/>
      <c r="CK60" s="1076" t="s">
        <v>134</v>
      </c>
      <c r="CL60" s="1076"/>
      <c r="CM60" s="1076"/>
      <c r="CN60" s="1076"/>
      <c r="CO60" s="1076"/>
      <c r="CP60" s="362"/>
      <c r="CQ60" s="1076" t="s">
        <v>141</v>
      </c>
      <c r="CR60" s="1076"/>
      <c r="CS60" s="1076"/>
      <c r="CT60" s="1076"/>
      <c r="CU60" s="1076"/>
      <c r="CV60" s="1076"/>
      <c r="CW60" s="1076"/>
      <c r="CX60" s="1076"/>
      <c r="CY60" s="1076"/>
      <c r="CZ60" s="1076"/>
      <c r="DA60" s="1076"/>
      <c r="DB60" s="1076"/>
      <c r="DC60" s="1076"/>
      <c r="DD60" s="1076"/>
      <c r="DE60" s="1076"/>
      <c r="DF60" s="1076"/>
      <c r="DG60" s="1076"/>
      <c r="DI60" s="1076" t="s">
        <v>142</v>
      </c>
      <c r="DJ60" s="1076"/>
      <c r="DK60" s="1076"/>
      <c r="DL60" s="1076"/>
      <c r="DM60" s="1076"/>
      <c r="DN60" s="1076"/>
      <c r="DO60" s="1076"/>
      <c r="DP60" s="1076"/>
      <c r="DQ60" s="1076"/>
      <c r="DR60" s="1076"/>
      <c r="DS60" s="1076"/>
      <c r="DT60" s="1076"/>
      <c r="DU60" s="1076"/>
      <c r="DV60" s="1076"/>
      <c r="DW60" s="1076"/>
      <c r="DX60" s="1076"/>
      <c r="DY60" s="1076"/>
      <c r="EA60" s="1100" t="s">
        <v>593</v>
      </c>
      <c r="EB60" s="1100"/>
      <c r="EC60" s="1100"/>
      <c r="ED60" s="1100"/>
      <c r="EE60" s="1100"/>
      <c r="EF60" s="1100"/>
      <c r="EG60" s="1100"/>
      <c r="EH60" s="1100"/>
      <c r="EI60" s="1100"/>
      <c r="EJ60" s="1100"/>
      <c r="EK60" s="1100"/>
      <c r="EL60" s="1100"/>
    </row>
    <row r="61" spans="1:142" ht="3.75" customHeight="1" x14ac:dyDescent="0.25">
      <c r="A61" s="1066"/>
      <c r="B61" s="1066"/>
      <c r="C61" s="1066"/>
      <c r="E61" s="1066"/>
      <c r="F61" s="1066"/>
      <c r="G61" s="1066"/>
      <c r="I61" s="1066"/>
      <c r="J61" s="1066"/>
      <c r="K61" s="1066"/>
      <c r="M61" s="1066"/>
      <c r="N61" s="1066"/>
      <c r="O61" s="1066"/>
      <c r="Q61" s="1076"/>
      <c r="R61" s="1076"/>
      <c r="S61" s="1076"/>
      <c r="T61" s="1076"/>
      <c r="U61" s="1076"/>
      <c r="V61" s="362"/>
      <c r="W61" s="1076"/>
      <c r="X61" s="1076"/>
      <c r="Y61" s="1076"/>
      <c r="Z61" s="1076"/>
      <c r="AA61" s="1076"/>
      <c r="AB61" s="1076"/>
      <c r="AC61" s="1076"/>
      <c r="AD61" s="1076"/>
      <c r="AE61" s="1076"/>
      <c r="AF61" s="1076"/>
      <c r="AG61" s="1076"/>
      <c r="AH61" s="1076"/>
      <c r="AI61" s="1076"/>
      <c r="AJ61" s="1076"/>
      <c r="AK61" s="1076"/>
      <c r="AL61" s="362"/>
      <c r="AM61" s="1076"/>
      <c r="AN61" s="1076"/>
      <c r="AO61" s="1076"/>
      <c r="AP61" s="1076"/>
      <c r="AQ61" s="1076"/>
      <c r="AR61" s="1076"/>
      <c r="AS61" s="1076"/>
      <c r="AT61" s="1076"/>
      <c r="AU61" s="1076"/>
      <c r="AV61" s="1076"/>
      <c r="AW61" s="1076"/>
      <c r="AX61" s="1076"/>
      <c r="AY61" s="1076"/>
      <c r="AZ61" s="1076"/>
      <c r="BA61" s="1076"/>
      <c r="BB61" s="1076"/>
      <c r="BD61" s="1066"/>
      <c r="BE61" s="1066"/>
      <c r="BF61" s="1066"/>
      <c r="BH61" s="1066"/>
      <c r="BI61" s="1066"/>
      <c r="BJ61" s="1066"/>
      <c r="BL61" s="1066"/>
      <c r="BM61" s="1066"/>
      <c r="BN61" s="1066"/>
      <c r="BP61" s="1066"/>
      <c r="BQ61" s="1066"/>
      <c r="BR61" s="1066"/>
      <c r="BS61" s="73"/>
      <c r="BU61" s="1178"/>
      <c r="BV61" s="1178"/>
      <c r="BW61" s="1178"/>
      <c r="BY61" s="1066"/>
      <c r="BZ61" s="1066"/>
      <c r="CA61" s="1066"/>
      <c r="CC61" s="1066"/>
      <c r="CD61" s="1066"/>
      <c r="CE61" s="1066"/>
      <c r="CG61" s="1066"/>
      <c r="CH61" s="1066"/>
      <c r="CI61" s="1066"/>
      <c r="CK61" s="1076"/>
      <c r="CL61" s="1076"/>
      <c r="CM61" s="1076"/>
      <c r="CN61" s="1076"/>
      <c r="CO61" s="1076"/>
      <c r="CP61" s="362"/>
      <c r="CQ61" s="1076"/>
      <c r="CR61" s="1076"/>
      <c r="CS61" s="1076"/>
      <c r="CT61" s="1076"/>
      <c r="CU61" s="1076"/>
      <c r="CV61" s="1076"/>
      <c r="CW61" s="1076"/>
      <c r="CX61" s="1076"/>
      <c r="CY61" s="1076"/>
      <c r="CZ61" s="1076"/>
      <c r="DA61" s="1076"/>
      <c r="DB61" s="1076"/>
      <c r="DC61" s="1076"/>
      <c r="DD61" s="1076"/>
      <c r="DE61" s="1076"/>
      <c r="DF61" s="1076"/>
      <c r="DG61" s="1076"/>
      <c r="DI61" s="1076"/>
      <c r="DJ61" s="1076"/>
      <c r="DK61" s="1076"/>
      <c r="DL61" s="1076"/>
      <c r="DM61" s="1076"/>
      <c r="DN61" s="1076"/>
      <c r="DO61" s="1076"/>
      <c r="DP61" s="1076"/>
      <c r="DQ61" s="1076"/>
      <c r="DR61" s="1076"/>
      <c r="DS61" s="1076"/>
      <c r="DT61" s="1076"/>
      <c r="DU61" s="1076"/>
      <c r="DV61" s="1076"/>
      <c r="DW61" s="1076"/>
      <c r="DX61" s="1076"/>
      <c r="DY61" s="1076"/>
      <c r="EA61" s="1100"/>
      <c r="EB61" s="1100"/>
      <c r="EC61" s="1100"/>
      <c r="ED61" s="1100"/>
      <c r="EE61" s="1100"/>
      <c r="EF61" s="1100"/>
      <c r="EG61" s="1100"/>
      <c r="EH61" s="1100"/>
      <c r="EI61" s="1100"/>
      <c r="EJ61" s="1100"/>
      <c r="EK61" s="1100"/>
      <c r="EL61" s="1100"/>
    </row>
    <row r="62" spans="1:142" ht="3.75" customHeight="1" x14ac:dyDescent="0.25">
      <c r="A62" s="1066"/>
      <c r="B62" s="1066"/>
      <c r="C62" s="1066"/>
      <c r="E62" s="1066"/>
      <c r="F62" s="1066"/>
      <c r="G62" s="1066"/>
      <c r="I62" s="1066"/>
      <c r="J62" s="1066"/>
      <c r="K62" s="1066"/>
      <c r="M62" s="1066"/>
      <c r="N62" s="1066"/>
      <c r="O62" s="1066"/>
      <c r="Q62" s="1076"/>
      <c r="R62" s="1076"/>
      <c r="S62" s="1076"/>
      <c r="T62" s="1076"/>
      <c r="U62" s="1076"/>
      <c r="V62" s="362"/>
      <c r="W62" s="1076"/>
      <c r="X62" s="1076"/>
      <c r="Y62" s="1076"/>
      <c r="Z62" s="1076"/>
      <c r="AA62" s="1076"/>
      <c r="AB62" s="1076"/>
      <c r="AC62" s="1076"/>
      <c r="AD62" s="1076"/>
      <c r="AE62" s="1076"/>
      <c r="AF62" s="1076"/>
      <c r="AG62" s="1076"/>
      <c r="AH62" s="1076"/>
      <c r="AI62" s="1076"/>
      <c r="AJ62" s="1076"/>
      <c r="AK62" s="1076"/>
      <c r="AL62" s="362"/>
      <c r="AM62" s="1076"/>
      <c r="AN62" s="1076"/>
      <c r="AO62" s="1076"/>
      <c r="AP62" s="1076"/>
      <c r="AQ62" s="1076"/>
      <c r="AR62" s="1076"/>
      <c r="AS62" s="1076"/>
      <c r="AT62" s="1076"/>
      <c r="AU62" s="1076"/>
      <c r="AV62" s="1076"/>
      <c r="AW62" s="1076"/>
      <c r="AX62" s="1076"/>
      <c r="AY62" s="1076"/>
      <c r="AZ62" s="1076"/>
      <c r="BA62" s="1076"/>
      <c r="BB62" s="1076"/>
      <c r="BD62" s="1066"/>
      <c r="BE62" s="1066"/>
      <c r="BF62" s="1066"/>
      <c r="BH62" s="1066"/>
      <c r="BI62" s="1066"/>
      <c r="BJ62" s="1066"/>
      <c r="BL62" s="1066"/>
      <c r="BM62" s="1066"/>
      <c r="BN62" s="1066"/>
      <c r="BP62" s="1066"/>
      <c r="BQ62" s="1066"/>
      <c r="BR62" s="1066"/>
      <c r="BS62" s="73"/>
      <c r="BU62" s="1178"/>
      <c r="BV62" s="1178"/>
      <c r="BW62" s="1178"/>
      <c r="BY62" s="1066"/>
      <c r="BZ62" s="1066"/>
      <c r="CA62" s="1066"/>
      <c r="CC62" s="1066"/>
      <c r="CD62" s="1066"/>
      <c r="CE62" s="1066"/>
      <c r="CG62" s="1066"/>
      <c r="CH62" s="1066"/>
      <c r="CI62" s="1066"/>
      <c r="CK62" s="1076"/>
      <c r="CL62" s="1076"/>
      <c r="CM62" s="1076"/>
      <c r="CN62" s="1076"/>
      <c r="CO62" s="1076"/>
      <c r="CP62" s="362"/>
      <c r="CQ62" s="1076"/>
      <c r="CR62" s="1076"/>
      <c r="CS62" s="1076"/>
      <c r="CT62" s="1076"/>
      <c r="CU62" s="1076"/>
      <c r="CV62" s="1076"/>
      <c r="CW62" s="1076"/>
      <c r="CX62" s="1076"/>
      <c r="CY62" s="1076"/>
      <c r="CZ62" s="1076"/>
      <c r="DA62" s="1076"/>
      <c r="DB62" s="1076"/>
      <c r="DC62" s="1076"/>
      <c r="DD62" s="1076"/>
      <c r="DE62" s="1076"/>
      <c r="DF62" s="1076"/>
      <c r="DG62" s="1076"/>
      <c r="DI62" s="1076"/>
      <c r="DJ62" s="1076"/>
      <c r="DK62" s="1076"/>
      <c r="DL62" s="1076"/>
      <c r="DM62" s="1076"/>
      <c r="DN62" s="1076"/>
      <c r="DO62" s="1076"/>
      <c r="DP62" s="1076"/>
      <c r="DQ62" s="1076"/>
      <c r="DR62" s="1076"/>
      <c r="DS62" s="1076"/>
      <c r="DT62" s="1076"/>
      <c r="DU62" s="1076"/>
      <c r="DV62" s="1076"/>
      <c r="DW62" s="1076"/>
      <c r="DX62" s="1076"/>
      <c r="DY62" s="1076"/>
      <c r="EA62" s="1100" t="s">
        <v>591</v>
      </c>
      <c r="EB62" s="1100"/>
      <c r="EC62" s="1100"/>
      <c r="ED62" s="1100"/>
      <c r="EE62" s="1100"/>
      <c r="EF62" s="1100"/>
      <c r="EG62" s="1100"/>
      <c r="EH62" s="1100"/>
      <c r="EI62" s="1100"/>
      <c r="EJ62" s="1100"/>
      <c r="EK62" s="1100"/>
      <c r="EL62" s="1100"/>
    </row>
    <row r="63" spans="1:142" ht="3.75" customHeight="1" x14ac:dyDescent="0.25">
      <c r="A63" s="1066"/>
      <c r="B63" s="1066"/>
      <c r="C63" s="1066"/>
      <c r="E63" s="1066"/>
      <c r="F63" s="1066"/>
      <c r="G63" s="1066"/>
      <c r="I63" s="1066"/>
      <c r="J63" s="1066"/>
      <c r="K63" s="1066"/>
      <c r="M63" s="1066"/>
      <c r="N63" s="1066"/>
      <c r="O63" s="1066"/>
      <c r="BD63" s="1066"/>
      <c r="BE63" s="1066"/>
      <c r="BF63" s="1066"/>
      <c r="BH63" s="1066"/>
      <c r="BI63" s="1066"/>
      <c r="BJ63" s="1066"/>
      <c r="BL63" s="1066"/>
      <c r="BM63" s="1066"/>
      <c r="BN63" s="1066"/>
      <c r="BP63" s="1066"/>
      <c r="BQ63" s="1066"/>
      <c r="BR63" s="1066"/>
      <c r="BS63" s="73"/>
      <c r="BU63" s="1178"/>
      <c r="BV63" s="1178"/>
      <c r="BW63" s="1178"/>
      <c r="BY63" s="1066"/>
      <c r="BZ63" s="1066"/>
      <c r="CA63" s="1066"/>
      <c r="CC63" s="1066"/>
      <c r="CD63" s="1066"/>
      <c r="CE63" s="1066"/>
      <c r="CG63" s="1066"/>
      <c r="CH63" s="1066"/>
      <c r="CI63" s="1066"/>
      <c r="EA63" s="1101"/>
      <c r="EB63" s="1101"/>
      <c r="EC63" s="1101"/>
      <c r="ED63" s="1101"/>
      <c r="EE63" s="1101"/>
      <c r="EF63" s="1101"/>
      <c r="EG63" s="1101"/>
      <c r="EH63" s="1101"/>
      <c r="EI63" s="1101"/>
      <c r="EJ63" s="1101"/>
      <c r="EK63" s="1101"/>
      <c r="EL63" s="1101"/>
    </row>
    <row r="64" spans="1:142" ht="3.75" customHeight="1" x14ac:dyDescent="0.25">
      <c r="A64" s="365"/>
      <c r="B64" s="365"/>
      <c r="C64" s="365"/>
      <c r="E64" s="365"/>
      <c r="F64" s="365"/>
      <c r="G64" s="365"/>
      <c r="I64" s="365"/>
      <c r="J64" s="365"/>
      <c r="K64" s="365"/>
      <c r="M64" s="436"/>
      <c r="N64" s="436"/>
      <c r="O64" s="436"/>
      <c r="Q64" s="1054"/>
      <c r="R64" s="1055"/>
      <c r="S64" s="1055"/>
      <c r="T64" s="1055"/>
      <c r="U64" s="1056"/>
      <c r="W64" s="1034"/>
      <c r="X64" s="1096"/>
      <c r="Y64" s="1096"/>
      <c r="Z64" s="1096"/>
      <c r="AA64" s="1096"/>
      <c r="AB64" s="1096"/>
      <c r="AC64" s="1096"/>
      <c r="AD64" s="1096"/>
      <c r="AE64" s="1096"/>
      <c r="AF64" s="1096"/>
      <c r="AG64" s="1096"/>
      <c r="AH64" s="1096"/>
      <c r="AI64" s="1096"/>
      <c r="AJ64" s="1096"/>
      <c r="AK64" s="1036"/>
      <c r="AM64" s="1034"/>
      <c r="AN64" s="1035"/>
      <c r="AO64" s="1035"/>
      <c r="AP64" s="1035"/>
      <c r="AQ64" s="1035"/>
      <c r="AR64" s="1035"/>
      <c r="AS64" s="1035"/>
      <c r="AT64" s="1035"/>
      <c r="AU64" s="1035"/>
      <c r="AV64" s="1035"/>
      <c r="AW64" s="1035"/>
      <c r="AX64" s="1035"/>
      <c r="AY64" s="1035"/>
      <c r="AZ64" s="1035"/>
      <c r="BA64" s="1035"/>
      <c r="BB64" s="1036"/>
      <c r="BD64" s="436"/>
      <c r="BE64" s="436"/>
      <c r="BF64" s="436"/>
      <c r="BS64" s="73"/>
      <c r="BU64" s="365"/>
      <c r="BV64" s="365"/>
      <c r="BW64" s="365"/>
      <c r="BY64" s="365"/>
      <c r="BZ64" s="365"/>
      <c r="CA64" s="365"/>
      <c r="CC64" s="365"/>
      <c r="CD64" s="365"/>
      <c r="CE64" s="365"/>
      <c r="CG64" s="365"/>
      <c r="CH64" s="365"/>
      <c r="CI64" s="365"/>
      <c r="CK64" s="1054"/>
      <c r="CL64" s="1055"/>
      <c r="CM64" s="1055"/>
      <c r="CN64" s="1055"/>
      <c r="CO64" s="1056"/>
      <c r="CQ64" s="1034"/>
      <c r="CR64" s="1035"/>
      <c r="CS64" s="1035"/>
      <c r="CT64" s="1035"/>
      <c r="CU64" s="1035"/>
      <c r="CV64" s="1035"/>
      <c r="CW64" s="1035"/>
      <c r="CX64" s="1035"/>
      <c r="CY64" s="1035"/>
      <c r="CZ64" s="1035"/>
      <c r="DA64" s="1035"/>
      <c r="DB64" s="1035"/>
      <c r="DC64" s="1035"/>
      <c r="DD64" s="1035"/>
      <c r="DE64" s="1035"/>
      <c r="DF64" s="1035"/>
      <c r="DG64" s="1036"/>
      <c r="DI64" s="1034"/>
      <c r="DJ64" s="1035"/>
      <c r="DK64" s="1035"/>
      <c r="DL64" s="1035"/>
      <c r="DM64" s="1035"/>
      <c r="DN64" s="1035"/>
      <c r="DO64" s="1035"/>
      <c r="DP64" s="1035"/>
      <c r="DQ64" s="1035"/>
      <c r="DR64" s="1035"/>
      <c r="DS64" s="1035"/>
      <c r="DT64" s="1035"/>
      <c r="DU64" s="1035"/>
      <c r="DV64" s="1035"/>
      <c r="DW64" s="1035"/>
      <c r="DX64" s="1035"/>
      <c r="DY64" s="1036"/>
      <c r="EA64" s="1078" t="s">
        <v>811</v>
      </c>
      <c r="EB64" s="1157"/>
      <c r="EC64" s="1157"/>
      <c r="ED64" s="1157"/>
      <c r="EE64" s="1157"/>
      <c r="EF64" s="1157"/>
      <c r="EG64" s="1157"/>
      <c r="EH64" s="1157"/>
      <c r="EI64" s="1157"/>
      <c r="EJ64" s="1157"/>
      <c r="EK64" s="1157"/>
      <c r="EL64" s="1080"/>
    </row>
    <row r="65" spans="1:142" ht="3.75" customHeight="1" x14ac:dyDescent="0.25">
      <c r="A65" s="1053"/>
      <c r="B65" s="1053"/>
      <c r="C65" s="1053"/>
      <c r="E65" s="1053"/>
      <c r="F65" s="1053"/>
      <c r="G65" s="1053"/>
      <c r="I65" s="1053"/>
      <c r="J65" s="1053"/>
      <c r="K65" s="1053"/>
      <c r="M65" s="1053"/>
      <c r="N65" s="1053"/>
      <c r="O65" s="1053"/>
      <c r="Q65" s="1057"/>
      <c r="R65" s="1058"/>
      <c r="S65" s="1058"/>
      <c r="T65" s="1058"/>
      <c r="U65" s="1059"/>
      <c r="W65" s="1037"/>
      <c r="X65" s="1038"/>
      <c r="Y65" s="1038"/>
      <c r="Z65" s="1038"/>
      <c r="AA65" s="1038"/>
      <c r="AB65" s="1038"/>
      <c r="AC65" s="1038"/>
      <c r="AD65" s="1038"/>
      <c r="AE65" s="1038"/>
      <c r="AF65" s="1038"/>
      <c r="AG65" s="1038"/>
      <c r="AH65" s="1038"/>
      <c r="AI65" s="1038"/>
      <c r="AJ65" s="1038"/>
      <c r="AK65" s="1039"/>
      <c r="AM65" s="1037"/>
      <c r="AN65" s="1038"/>
      <c r="AO65" s="1038"/>
      <c r="AP65" s="1038"/>
      <c r="AQ65" s="1038"/>
      <c r="AR65" s="1038"/>
      <c r="AS65" s="1038"/>
      <c r="AT65" s="1038"/>
      <c r="AU65" s="1038"/>
      <c r="AV65" s="1038"/>
      <c r="AW65" s="1038"/>
      <c r="AX65" s="1038"/>
      <c r="AY65" s="1038"/>
      <c r="AZ65" s="1038"/>
      <c r="BA65" s="1038"/>
      <c r="BB65" s="1039"/>
      <c r="BD65" s="1053"/>
      <c r="BE65" s="1053"/>
      <c r="BF65" s="1053"/>
      <c r="BH65" s="1053"/>
      <c r="BI65" s="1053"/>
      <c r="BJ65" s="1053"/>
      <c r="BL65" s="1053"/>
      <c r="BM65" s="1053"/>
      <c r="BN65" s="1053"/>
      <c r="BP65" s="1053"/>
      <c r="BQ65" s="1053"/>
      <c r="BR65" s="1053"/>
      <c r="BS65" s="73"/>
      <c r="BU65" s="1053"/>
      <c r="BV65" s="1053"/>
      <c r="BW65" s="1053"/>
      <c r="BY65" s="1053"/>
      <c r="BZ65" s="1053"/>
      <c r="CA65" s="1053"/>
      <c r="CC65" s="1053"/>
      <c r="CD65" s="1053"/>
      <c r="CE65" s="1053"/>
      <c r="CG65" s="1053"/>
      <c r="CH65" s="1053"/>
      <c r="CI65" s="1053"/>
      <c r="CK65" s="1057"/>
      <c r="CL65" s="1058"/>
      <c r="CM65" s="1058"/>
      <c r="CN65" s="1058"/>
      <c r="CO65" s="1059"/>
      <c r="CQ65" s="1037"/>
      <c r="CR65" s="1038"/>
      <c r="CS65" s="1038"/>
      <c r="CT65" s="1038"/>
      <c r="CU65" s="1038"/>
      <c r="CV65" s="1038"/>
      <c r="CW65" s="1038"/>
      <c r="CX65" s="1038"/>
      <c r="CY65" s="1038"/>
      <c r="CZ65" s="1038"/>
      <c r="DA65" s="1038"/>
      <c r="DB65" s="1038"/>
      <c r="DC65" s="1038"/>
      <c r="DD65" s="1038"/>
      <c r="DE65" s="1038"/>
      <c r="DF65" s="1038"/>
      <c r="DG65" s="1039"/>
      <c r="DI65" s="1037"/>
      <c r="DJ65" s="1038"/>
      <c r="DK65" s="1038"/>
      <c r="DL65" s="1038"/>
      <c r="DM65" s="1038"/>
      <c r="DN65" s="1038"/>
      <c r="DO65" s="1038"/>
      <c r="DP65" s="1038"/>
      <c r="DQ65" s="1038"/>
      <c r="DR65" s="1038"/>
      <c r="DS65" s="1038"/>
      <c r="DT65" s="1038"/>
      <c r="DU65" s="1038"/>
      <c r="DV65" s="1038"/>
      <c r="DW65" s="1038"/>
      <c r="DX65" s="1038"/>
      <c r="DY65" s="1039"/>
      <c r="EA65" s="1081"/>
      <c r="EB65" s="631"/>
      <c r="EC65" s="631"/>
      <c r="ED65" s="631"/>
      <c r="EE65" s="631"/>
      <c r="EF65" s="631"/>
      <c r="EG65" s="631"/>
      <c r="EH65" s="631"/>
      <c r="EI65" s="631"/>
      <c r="EJ65" s="631"/>
      <c r="EK65" s="631"/>
      <c r="EL65" s="1082"/>
    </row>
    <row r="66" spans="1:142" ht="3.75" customHeight="1" x14ac:dyDescent="0.25">
      <c r="A66" s="1053"/>
      <c r="B66" s="1053"/>
      <c r="C66" s="1053"/>
      <c r="E66" s="1053"/>
      <c r="F66" s="1053"/>
      <c r="G66" s="1053"/>
      <c r="I66" s="1053"/>
      <c r="J66" s="1053"/>
      <c r="K66" s="1053"/>
      <c r="M66" s="1053"/>
      <c r="N66" s="1053"/>
      <c r="O66" s="1053"/>
      <c r="Q66" s="1057"/>
      <c r="R66" s="1058"/>
      <c r="S66" s="1058"/>
      <c r="T66" s="1058"/>
      <c r="U66" s="1059"/>
      <c r="W66" s="1037"/>
      <c r="X66" s="1038"/>
      <c r="Y66" s="1038"/>
      <c r="Z66" s="1038"/>
      <c r="AA66" s="1038"/>
      <c r="AB66" s="1038"/>
      <c r="AC66" s="1038"/>
      <c r="AD66" s="1038"/>
      <c r="AE66" s="1038"/>
      <c r="AF66" s="1038"/>
      <c r="AG66" s="1038"/>
      <c r="AH66" s="1038"/>
      <c r="AI66" s="1038"/>
      <c r="AJ66" s="1038"/>
      <c r="AK66" s="1039"/>
      <c r="AM66" s="1037"/>
      <c r="AN66" s="1038"/>
      <c r="AO66" s="1038"/>
      <c r="AP66" s="1038"/>
      <c r="AQ66" s="1038"/>
      <c r="AR66" s="1038"/>
      <c r="AS66" s="1038"/>
      <c r="AT66" s="1038"/>
      <c r="AU66" s="1038"/>
      <c r="AV66" s="1038"/>
      <c r="AW66" s="1038"/>
      <c r="AX66" s="1038"/>
      <c r="AY66" s="1038"/>
      <c r="AZ66" s="1038"/>
      <c r="BA66" s="1038"/>
      <c r="BB66" s="1039"/>
      <c r="BD66" s="1053"/>
      <c r="BE66" s="1053"/>
      <c r="BF66" s="1053"/>
      <c r="BH66" s="1053"/>
      <c r="BI66" s="1053"/>
      <c r="BJ66" s="1053"/>
      <c r="BL66" s="1053"/>
      <c r="BM66" s="1053"/>
      <c r="BN66" s="1053"/>
      <c r="BP66" s="1053"/>
      <c r="BQ66" s="1053"/>
      <c r="BR66" s="1053"/>
      <c r="BS66" s="73"/>
      <c r="BU66" s="1053"/>
      <c r="BV66" s="1053"/>
      <c r="BW66" s="1053"/>
      <c r="BY66" s="1053"/>
      <c r="BZ66" s="1053"/>
      <c r="CA66" s="1053"/>
      <c r="CC66" s="1053"/>
      <c r="CD66" s="1053"/>
      <c r="CE66" s="1053"/>
      <c r="CG66" s="1053"/>
      <c r="CH66" s="1053"/>
      <c r="CI66" s="1053"/>
      <c r="CK66" s="1057"/>
      <c r="CL66" s="1058"/>
      <c r="CM66" s="1058"/>
      <c r="CN66" s="1058"/>
      <c r="CO66" s="1059"/>
      <c r="CQ66" s="1037"/>
      <c r="CR66" s="1038"/>
      <c r="CS66" s="1038"/>
      <c r="CT66" s="1038"/>
      <c r="CU66" s="1038"/>
      <c r="CV66" s="1038"/>
      <c r="CW66" s="1038"/>
      <c r="CX66" s="1038"/>
      <c r="CY66" s="1038"/>
      <c r="CZ66" s="1038"/>
      <c r="DA66" s="1038"/>
      <c r="DB66" s="1038"/>
      <c r="DC66" s="1038"/>
      <c r="DD66" s="1038"/>
      <c r="DE66" s="1038"/>
      <c r="DF66" s="1038"/>
      <c r="DG66" s="1039"/>
      <c r="DI66" s="1037"/>
      <c r="DJ66" s="1038"/>
      <c r="DK66" s="1038"/>
      <c r="DL66" s="1038"/>
      <c r="DM66" s="1038"/>
      <c r="DN66" s="1038"/>
      <c r="DO66" s="1038"/>
      <c r="DP66" s="1038"/>
      <c r="DQ66" s="1038"/>
      <c r="DR66" s="1038"/>
      <c r="DS66" s="1038"/>
      <c r="DT66" s="1038"/>
      <c r="DU66" s="1038"/>
      <c r="DV66" s="1038"/>
      <c r="DW66" s="1038"/>
      <c r="DX66" s="1038"/>
      <c r="DY66" s="1039"/>
      <c r="EA66" s="1081"/>
      <c r="EB66" s="631"/>
      <c r="EC66" s="631"/>
      <c r="ED66" s="631"/>
      <c r="EE66" s="631"/>
      <c r="EF66" s="631"/>
      <c r="EG66" s="631"/>
      <c r="EH66" s="631"/>
      <c r="EI66" s="631"/>
      <c r="EJ66" s="631"/>
      <c r="EK66" s="631"/>
      <c r="EL66" s="1082"/>
    </row>
    <row r="67" spans="1:142" ht="3.75" customHeight="1" x14ac:dyDescent="0.25">
      <c r="A67" s="1053"/>
      <c r="B67" s="1053"/>
      <c r="C67" s="1053"/>
      <c r="E67" s="1053"/>
      <c r="F67" s="1053"/>
      <c r="G67" s="1053"/>
      <c r="I67" s="1053"/>
      <c r="J67" s="1053"/>
      <c r="K67" s="1053"/>
      <c r="M67" s="1053"/>
      <c r="N67" s="1053"/>
      <c r="O67" s="1053"/>
      <c r="Q67" s="1057"/>
      <c r="R67" s="1058"/>
      <c r="S67" s="1058"/>
      <c r="T67" s="1058"/>
      <c r="U67" s="1059"/>
      <c r="W67" s="1037"/>
      <c r="X67" s="1038"/>
      <c r="Y67" s="1038"/>
      <c r="Z67" s="1038"/>
      <c r="AA67" s="1038"/>
      <c r="AB67" s="1038"/>
      <c r="AC67" s="1038"/>
      <c r="AD67" s="1038"/>
      <c r="AE67" s="1038"/>
      <c r="AF67" s="1038"/>
      <c r="AG67" s="1038"/>
      <c r="AH67" s="1038"/>
      <c r="AI67" s="1038"/>
      <c r="AJ67" s="1038"/>
      <c r="AK67" s="1039"/>
      <c r="AM67" s="1037"/>
      <c r="AN67" s="1038"/>
      <c r="AO67" s="1038"/>
      <c r="AP67" s="1038"/>
      <c r="AQ67" s="1038"/>
      <c r="AR67" s="1038"/>
      <c r="AS67" s="1038"/>
      <c r="AT67" s="1038"/>
      <c r="AU67" s="1038"/>
      <c r="AV67" s="1038"/>
      <c r="AW67" s="1038"/>
      <c r="AX67" s="1038"/>
      <c r="AY67" s="1038"/>
      <c r="AZ67" s="1038"/>
      <c r="BA67" s="1038"/>
      <c r="BB67" s="1039"/>
      <c r="BD67" s="1053"/>
      <c r="BE67" s="1053"/>
      <c r="BF67" s="1053"/>
      <c r="BH67" s="1053"/>
      <c r="BI67" s="1053"/>
      <c r="BJ67" s="1053"/>
      <c r="BL67" s="1053"/>
      <c r="BM67" s="1053"/>
      <c r="BN67" s="1053"/>
      <c r="BP67" s="1053"/>
      <c r="BQ67" s="1053"/>
      <c r="BR67" s="1053"/>
      <c r="BS67" s="73"/>
      <c r="BU67" s="1053"/>
      <c r="BV67" s="1053"/>
      <c r="BW67" s="1053"/>
      <c r="BY67" s="1053"/>
      <c r="BZ67" s="1053"/>
      <c r="CA67" s="1053"/>
      <c r="CC67" s="1053"/>
      <c r="CD67" s="1053"/>
      <c r="CE67" s="1053"/>
      <c r="CG67" s="1053"/>
      <c r="CH67" s="1053"/>
      <c r="CI67" s="1053"/>
      <c r="CK67" s="1057"/>
      <c r="CL67" s="1058"/>
      <c r="CM67" s="1058"/>
      <c r="CN67" s="1058"/>
      <c r="CO67" s="1059"/>
      <c r="CQ67" s="1037"/>
      <c r="CR67" s="1038"/>
      <c r="CS67" s="1038"/>
      <c r="CT67" s="1038"/>
      <c r="CU67" s="1038"/>
      <c r="CV67" s="1038"/>
      <c r="CW67" s="1038"/>
      <c r="CX67" s="1038"/>
      <c r="CY67" s="1038"/>
      <c r="CZ67" s="1038"/>
      <c r="DA67" s="1038"/>
      <c r="DB67" s="1038"/>
      <c r="DC67" s="1038"/>
      <c r="DD67" s="1038"/>
      <c r="DE67" s="1038"/>
      <c r="DF67" s="1038"/>
      <c r="DG67" s="1039"/>
      <c r="DI67" s="1037"/>
      <c r="DJ67" s="1038"/>
      <c r="DK67" s="1038"/>
      <c r="DL67" s="1038"/>
      <c r="DM67" s="1038"/>
      <c r="DN67" s="1038"/>
      <c r="DO67" s="1038"/>
      <c r="DP67" s="1038"/>
      <c r="DQ67" s="1038"/>
      <c r="DR67" s="1038"/>
      <c r="DS67" s="1038"/>
      <c r="DT67" s="1038"/>
      <c r="DU67" s="1038"/>
      <c r="DV67" s="1038"/>
      <c r="DW67" s="1038"/>
      <c r="DX67" s="1038"/>
      <c r="DY67" s="1039"/>
      <c r="EA67" s="1081"/>
      <c r="EB67" s="631"/>
      <c r="EC67" s="631"/>
      <c r="ED67" s="631"/>
      <c r="EE67" s="631"/>
      <c r="EF67" s="631"/>
      <c r="EG67" s="631"/>
      <c r="EH67" s="631"/>
      <c r="EI67" s="631"/>
      <c r="EJ67" s="631"/>
      <c r="EK67" s="631"/>
      <c r="EL67" s="1082"/>
    </row>
    <row r="68" spans="1:142" ht="3.75" customHeight="1" x14ac:dyDescent="0.25">
      <c r="M68" s="436"/>
      <c r="N68" s="436"/>
      <c r="O68" s="436"/>
      <c r="Q68" s="1060"/>
      <c r="R68" s="1061"/>
      <c r="S68" s="1061"/>
      <c r="T68" s="1061"/>
      <c r="U68" s="1062"/>
      <c r="W68" s="1040"/>
      <c r="X68" s="1041"/>
      <c r="Y68" s="1041"/>
      <c r="Z68" s="1041"/>
      <c r="AA68" s="1041"/>
      <c r="AB68" s="1041"/>
      <c r="AC68" s="1041"/>
      <c r="AD68" s="1041"/>
      <c r="AE68" s="1041"/>
      <c r="AF68" s="1041"/>
      <c r="AG68" s="1041"/>
      <c r="AH68" s="1041"/>
      <c r="AI68" s="1041"/>
      <c r="AJ68" s="1041"/>
      <c r="AK68" s="1042"/>
      <c r="AM68" s="1040"/>
      <c r="AN68" s="1041"/>
      <c r="AO68" s="1041"/>
      <c r="AP68" s="1041"/>
      <c r="AQ68" s="1041"/>
      <c r="AR68" s="1041"/>
      <c r="AS68" s="1041"/>
      <c r="AT68" s="1041"/>
      <c r="AU68" s="1041"/>
      <c r="AV68" s="1041"/>
      <c r="AW68" s="1041"/>
      <c r="AX68" s="1041"/>
      <c r="AY68" s="1041"/>
      <c r="AZ68" s="1041"/>
      <c r="BA68" s="1041"/>
      <c r="BB68" s="1042"/>
      <c r="BD68" s="436"/>
      <c r="BE68" s="436"/>
      <c r="BF68" s="436"/>
      <c r="BS68" s="73"/>
      <c r="CK68" s="1060"/>
      <c r="CL68" s="1061"/>
      <c r="CM68" s="1061"/>
      <c r="CN68" s="1061"/>
      <c r="CO68" s="1062"/>
      <c r="CQ68" s="1040"/>
      <c r="CR68" s="1041"/>
      <c r="CS68" s="1041"/>
      <c r="CT68" s="1041"/>
      <c r="CU68" s="1041"/>
      <c r="CV68" s="1041"/>
      <c r="CW68" s="1041"/>
      <c r="CX68" s="1041"/>
      <c r="CY68" s="1041"/>
      <c r="CZ68" s="1041"/>
      <c r="DA68" s="1041"/>
      <c r="DB68" s="1041"/>
      <c r="DC68" s="1041"/>
      <c r="DD68" s="1041"/>
      <c r="DE68" s="1041"/>
      <c r="DF68" s="1041"/>
      <c r="DG68" s="1042"/>
      <c r="DI68" s="1040"/>
      <c r="DJ68" s="1041"/>
      <c r="DK68" s="1041"/>
      <c r="DL68" s="1041"/>
      <c r="DM68" s="1041"/>
      <c r="DN68" s="1041"/>
      <c r="DO68" s="1041"/>
      <c r="DP68" s="1041"/>
      <c r="DQ68" s="1041"/>
      <c r="DR68" s="1041"/>
      <c r="DS68" s="1041"/>
      <c r="DT68" s="1041"/>
      <c r="DU68" s="1041"/>
      <c r="DV68" s="1041"/>
      <c r="DW68" s="1041"/>
      <c r="DX68" s="1041"/>
      <c r="DY68" s="1042"/>
      <c r="EA68" s="1083"/>
      <c r="EB68" s="1084"/>
      <c r="EC68" s="1084"/>
      <c r="ED68" s="1084"/>
      <c r="EE68" s="1084"/>
      <c r="EF68" s="1084"/>
      <c r="EG68" s="1084"/>
      <c r="EH68" s="1084"/>
      <c r="EI68" s="1084"/>
      <c r="EJ68" s="1084"/>
      <c r="EK68" s="1084"/>
      <c r="EL68" s="1085"/>
    </row>
    <row r="69" spans="1:142" ht="3.75" customHeight="1" x14ac:dyDescent="0.25">
      <c r="M69" s="436"/>
      <c r="N69" s="436"/>
      <c r="O69" s="436"/>
      <c r="Q69" s="1054"/>
      <c r="R69" s="1055"/>
      <c r="S69" s="1055"/>
      <c r="T69" s="1055"/>
      <c r="U69" s="1056"/>
      <c r="W69" s="1034"/>
      <c r="X69" s="1096"/>
      <c r="Y69" s="1096"/>
      <c r="Z69" s="1096"/>
      <c r="AA69" s="1096"/>
      <c r="AB69" s="1096"/>
      <c r="AC69" s="1096"/>
      <c r="AD69" s="1096"/>
      <c r="AE69" s="1096"/>
      <c r="AF69" s="1096"/>
      <c r="AG69" s="1096"/>
      <c r="AH69" s="1096"/>
      <c r="AI69" s="1096"/>
      <c r="AJ69" s="1096"/>
      <c r="AK69" s="1036"/>
      <c r="AM69" s="1034"/>
      <c r="AN69" s="1035"/>
      <c r="AO69" s="1035"/>
      <c r="AP69" s="1035"/>
      <c r="AQ69" s="1035"/>
      <c r="AR69" s="1035"/>
      <c r="AS69" s="1035"/>
      <c r="AT69" s="1035"/>
      <c r="AU69" s="1035"/>
      <c r="AV69" s="1035"/>
      <c r="AW69" s="1035"/>
      <c r="AX69" s="1035"/>
      <c r="AY69" s="1035"/>
      <c r="AZ69" s="1035"/>
      <c r="BA69" s="1035"/>
      <c r="BB69" s="1036"/>
      <c r="BD69" s="436"/>
      <c r="BE69" s="436"/>
      <c r="BF69" s="436"/>
      <c r="BS69" s="73"/>
      <c r="CK69" s="1054"/>
      <c r="CL69" s="1055"/>
      <c r="CM69" s="1055"/>
      <c r="CN69" s="1055"/>
      <c r="CO69" s="1056"/>
      <c r="CQ69" s="1034"/>
      <c r="CR69" s="1035"/>
      <c r="CS69" s="1035"/>
      <c r="CT69" s="1035"/>
      <c r="CU69" s="1035"/>
      <c r="CV69" s="1035"/>
      <c r="CW69" s="1035"/>
      <c r="CX69" s="1035"/>
      <c r="CY69" s="1035"/>
      <c r="CZ69" s="1035"/>
      <c r="DA69" s="1035"/>
      <c r="DB69" s="1035"/>
      <c r="DC69" s="1035"/>
      <c r="DD69" s="1035"/>
      <c r="DE69" s="1035"/>
      <c r="DF69" s="1035"/>
      <c r="DG69" s="1036"/>
      <c r="DI69" s="1034"/>
      <c r="DJ69" s="1035"/>
      <c r="DK69" s="1035"/>
      <c r="DL69" s="1035"/>
      <c r="DM69" s="1035"/>
      <c r="DN69" s="1035"/>
      <c r="DO69" s="1035"/>
      <c r="DP69" s="1035"/>
      <c r="DQ69" s="1035"/>
      <c r="DR69" s="1035"/>
      <c r="DS69" s="1035"/>
      <c r="DT69" s="1035"/>
      <c r="DU69" s="1035"/>
      <c r="DV69" s="1035"/>
      <c r="DW69" s="1035"/>
      <c r="DX69" s="1035"/>
      <c r="DY69" s="1036"/>
      <c r="EA69" s="1078" t="s">
        <v>811</v>
      </c>
      <c r="EB69" s="1157"/>
      <c r="EC69" s="1157"/>
      <c r="ED69" s="1157"/>
      <c r="EE69" s="1157"/>
      <c r="EF69" s="1157"/>
      <c r="EG69" s="1157"/>
      <c r="EH69" s="1157"/>
      <c r="EI69" s="1157"/>
      <c r="EJ69" s="1157"/>
      <c r="EK69" s="1157"/>
      <c r="EL69" s="1080"/>
    </row>
    <row r="70" spans="1:142" ht="3.75" customHeight="1" x14ac:dyDescent="0.25">
      <c r="A70" s="1053"/>
      <c r="B70" s="1053"/>
      <c r="C70" s="1053"/>
      <c r="E70" s="1053"/>
      <c r="F70" s="1053"/>
      <c r="G70" s="1053"/>
      <c r="I70" s="1053"/>
      <c r="J70" s="1053"/>
      <c r="K70" s="1053"/>
      <c r="M70" s="1053"/>
      <c r="N70" s="1053"/>
      <c r="O70" s="1053"/>
      <c r="Q70" s="1057"/>
      <c r="R70" s="1058"/>
      <c r="S70" s="1058"/>
      <c r="T70" s="1058"/>
      <c r="U70" s="1059"/>
      <c r="W70" s="1037"/>
      <c r="X70" s="1038"/>
      <c r="Y70" s="1038"/>
      <c r="Z70" s="1038"/>
      <c r="AA70" s="1038"/>
      <c r="AB70" s="1038"/>
      <c r="AC70" s="1038"/>
      <c r="AD70" s="1038"/>
      <c r="AE70" s="1038"/>
      <c r="AF70" s="1038"/>
      <c r="AG70" s="1038"/>
      <c r="AH70" s="1038"/>
      <c r="AI70" s="1038"/>
      <c r="AJ70" s="1038"/>
      <c r="AK70" s="1039"/>
      <c r="AM70" s="1037"/>
      <c r="AN70" s="1038"/>
      <c r="AO70" s="1038"/>
      <c r="AP70" s="1038"/>
      <c r="AQ70" s="1038"/>
      <c r="AR70" s="1038"/>
      <c r="AS70" s="1038"/>
      <c r="AT70" s="1038"/>
      <c r="AU70" s="1038"/>
      <c r="AV70" s="1038"/>
      <c r="AW70" s="1038"/>
      <c r="AX70" s="1038"/>
      <c r="AY70" s="1038"/>
      <c r="AZ70" s="1038"/>
      <c r="BA70" s="1038"/>
      <c r="BB70" s="1039"/>
      <c r="BD70" s="1053"/>
      <c r="BE70" s="1053"/>
      <c r="BF70" s="1053"/>
      <c r="BH70" s="1053"/>
      <c r="BI70" s="1053"/>
      <c r="BJ70" s="1053"/>
      <c r="BL70" s="1053"/>
      <c r="BM70" s="1053"/>
      <c r="BN70" s="1053"/>
      <c r="BP70" s="1053"/>
      <c r="BQ70" s="1053"/>
      <c r="BR70" s="1053"/>
      <c r="BS70" s="73"/>
      <c r="BU70" s="1053"/>
      <c r="BV70" s="1053"/>
      <c r="BW70" s="1053"/>
      <c r="BY70" s="1053"/>
      <c r="BZ70" s="1053"/>
      <c r="CA70" s="1053"/>
      <c r="CC70" s="1053"/>
      <c r="CD70" s="1053"/>
      <c r="CE70" s="1053"/>
      <c r="CG70" s="1053"/>
      <c r="CH70" s="1053"/>
      <c r="CI70" s="1053"/>
      <c r="CK70" s="1057"/>
      <c r="CL70" s="1058"/>
      <c r="CM70" s="1058"/>
      <c r="CN70" s="1058"/>
      <c r="CO70" s="1059"/>
      <c r="CQ70" s="1037"/>
      <c r="CR70" s="1038"/>
      <c r="CS70" s="1038"/>
      <c r="CT70" s="1038"/>
      <c r="CU70" s="1038"/>
      <c r="CV70" s="1038"/>
      <c r="CW70" s="1038"/>
      <c r="CX70" s="1038"/>
      <c r="CY70" s="1038"/>
      <c r="CZ70" s="1038"/>
      <c r="DA70" s="1038"/>
      <c r="DB70" s="1038"/>
      <c r="DC70" s="1038"/>
      <c r="DD70" s="1038"/>
      <c r="DE70" s="1038"/>
      <c r="DF70" s="1038"/>
      <c r="DG70" s="1039"/>
      <c r="DI70" s="1037"/>
      <c r="DJ70" s="1038"/>
      <c r="DK70" s="1038"/>
      <c r="DL70" s="1038"/>
      <c r="DM70" s="1038"/>
      <c r="DN70" s="1038"/>
      <c r="DO70" s="1038"/>
      <c r="DP70" s="1038"/>
      <c r="DQ70" s="1038"/>
      <c r="DR70" s="1038"/>
      <c r="DS70" s="1038"/>
      <c r="DT70" s="1038"/>
      <c r="DU70" s="1038"/>
      <c r="DV70" s="1038"/>
      <c r="DW70" s="1038"/>
      <c r="DX70" s="1038"/>
      <c r="DY70" s="1039"/>
      <c r="EA70" s="1081"/>
      <c r="EB70" s="631"/>
      <c r="EC70" s="631"/>
      <c r="ED70" s="631"/>
      <c r="EE70" s="631"/>
      <c r="EF70" s="631"/>
      <c r="EG70" s="631"/>
      <c r="EH70" s="631"/>
      <c r="EI70" s="631"/>
      <c r="EJ70" s="631"/>
      <c r="EK70" s="631"/>
      <c r="EL70" s="1082"/>
    </row>
    <row r="71" spans="1:142" ht="3.75" customHeight="1" x14ac:dyDescent="0.25">
      <c r="A71" s="1053"/>
      <c r="B71" s="1053"/>
      <c r="C71" s="1053"/>
      <c r="E71" s="1053"/>
      <c r="F71" s="1053"/>
      <c r="G71" s="1053"/>
      <c r="I71" s="1053"/>
      <c r="J71" s="1053"/>
      <c r="K71" s="1053"/>
      <c r="M71" s="1053"/>
      <c r="N71" s="1053"/>
      <c r="O71" s="1053"/>
      <c r="Q71" s="1057"/>
      <c r="R71" s="1058"/>
      <c r="S71" s="1058"/>
      <c r="T71" s="1058"/>
      <c r="U71" s="1059"/>
      <c r="W71" s="1037"/>
      <c r="X71" s="1038"/>
      <c r="Y71" s="1038"/>
      <c r="Z71" s="1038"/>
      <c r="AA71" s="1038"/>
      <c r="AB71" s="1038"/>
      <c r="AC71" s="1038"/>
      <c r="AD71" s="1038"/>
      <c r="AE71" s="1038"/>
      <c r="AF71" s="1038"/>
      <c r="AG71" s="1038"/>
      <c r="AH71" s="1038"/>
      <c r="AI71" s="1038"/>
      <c r="AJ71" s="1038"/>
      <c r="AK71" s="1039"/>
      <c r="AM71" s="1037"/>
      <c r="AN71" s="1038"/>
      <c r="AO71" s="1038"/>
      <c r="AP71" s="1038"/>
      <c r="AQ71" s="1038"/>
      <c r="AR71" s="1038"/>
      <c r="AS71" s="1038"/>
      <c r="AT71" s="1038"/>
      <c r="AU71" s="1038"/>
      <c r="AV71" s="1038"/>
      <c r="AW71" s="1038"/>
      <c r="AX71" s="1038"/>
      <c r="AY71" s="1038"/>
      <c r="AZ71" s="1038"/>
      <c r="BA71" s="1038"/>
      <c r="BB71" s="1039"/>
      <c r="BD71" s="1053"/>
      <c r="BE71" s="1053"/>
      <c r="BF71" s="1053"/>
      <c r="BH71" s="1053"/>
      <c r="BI71" s="1053"/>
      <c r="BJ71" s="1053"/>
      <c r="BL71" s="1053"/>
      <c r="BM71" s="1053"/>
      <c r="BN71" s="1053"/>
      <c r="BP71" s="1053"/>
      <c r="BQ71" s="1053"/>
      <c r="BR71" s="1053"/>
      <c r="BS71" s="73"/>
      <c r="BU71" s="1053"/>
      <c r="BV71" s="1053"/>
      <c r="BW71" s="1053"/>
      <c r="BY71" s="1053"/>
      <c r="BZ71" s="1053"/>
      <c r="CA71" s="1053"/>
      <c r="CC71" s="1053"/>
      <c r="CD71" s="1053"/>
      <c r="CE71" s="1053"/>
      <c r="CG71" s="1053"/>
      <c r="CH71" s="1053"/>
      <c r="CI71" s="1053"/>
      <c r="CK71" s="1057"/>
      <c r="CL71" s="1058"/>
      <c r="CM71" s="1058"/>
      <c r="CN71" s="1058"/>
      <c r="CO71" s="1059"/>
      <c r="CQ71" s="1037"/>
      <c r="CR71" s="1038"/>
      <c r="CS71" s="1038"/>
      <c r="CT71" s="1038"/>
      <c r="CU71" s="1038"/>
      <c r="CV71" s="1038"/>
      <c r="CW71" s="1038"/>
      <c r="CX71" s="1038"/>
      <c r="CY71" s="1038"/>
      <c r="CZ71" s="1038"/>
      <c r="DA71" s="1038"/>
      <c r="DB71" s="1038"/>
      <c r="DC71" s="1038"/>
      <c r="DD71" s="1038"/>
      <c r="DE71" s="1038"/>
      <c r="DF71" s="1038"/>
      <c r="DG71" s="1039"/>
      <c r="DI71" s="1037"/>
      <c r="DJ71" s="1038"/>
      <c r="DK71" s="1038"/>
      <c r="DL71" s="1038"/>
      <c r="DM71" s="1038"/>
      <c r="DN71" s="1038"/>
      <c r="DO71" s="1038"/>
      <c r="DP71" s="1038"/>
      <c r="DQ71" s="1038"/>
      <c r="DR71" s="1038"/>
      <c r="DS71" s="1038"/>
      <c r="DT71" s="1038"/>
      <c r="DU71" s="1038"/>
      <c r="DV71" s="1038"/>
      <c r="DW71" s="1038"/>
      <c r="DX71" s="1038"/>
      <c r="DY71" s="1039"/>
      <c r="EA71" s="1081"/>
      <c r="EB71" s="631"/>
      <c r="EC71" s="631"/>
      <c r="ED71" s="631"/>
      <c r="EE71" s="631"/>
      <c r="EF71" s="631"/>
      <c r="EG71" s="631"/>
      <c r="EH71" s="631"/>
      <c r="EI71" s="631"/>
      <c r="EJ71" s="631"/>
      <c r="EK71" s="631"/>
      <c r="EL71" s="1082"/>
    </row>
    <row r="72" spans="1:142" ht="3.75" customHeight="1" x14ac:dyDescent="0.25">
      <c r="A72" s="1053"/>
      <c r="B72" s="1053"/>
      <c r="C72" s="1053"/>
      <c r="E72" s="1053"/>
      <c r="F72" s="1053"/>
      <c r="G72" s="1053"/>
      <c r="I72" s="1053"/>
      <c r="J72" s="1053"/>
      <c r="K72" s="1053"/>
      <c r="M72" s="1053"/>
      <c r="N72" s="1053"/>
      <c r="O72" s="1053"/>
      <c r="Q72" s="1057"/>
      <c r="R72" s="1058"/>
      <c r="S72" s="1058"/>
      <c r="T72" s="1058"/>
      <c r="U72" s="1059"/>
      <c r="W72" s="1037"/>
      <c r="X72" s="1038"/>
      <c r="Y72" s="1038"/>
      <c r="Z72" s="1038"/>
      <c r="AA72" s="1038"/>
      <c r="AB72" s="1038"/>
      <c r="AC72" s="1038"/>
      <c r="AD72" s="1038"/>
      <c r="AE72" s="1038"/>
      <c r="AF72" s="1038"/>
      <c r="AG72" s="1038"/>
      <c r="AH72" s="1038"/>
      <c r="AI72" s="1038"/>
      <c r="AJ72" s="1038"/>
      <c r="AK72" s="1039"/>
      <c r="AM72" s="1037"/>
      <c r="AN72" s="1038"/>
      <c r="AO72" s="1038"/>
      <c r="AP72" s="1038"/>
      <c r="AQ72" s="1038"/>
      <c r="AR72" s="1038"/>
      <c r="AS72" s="1038"/>
      <c r="AT72" s="1038"/>
      <c r="AU72" s="1038"/>
      <c r="AV72" s="1038"/>
      <c r="AW72" s="1038"/>
      <c r="AX72" s="1038"/>
      <c r="AY72" s="1038"/>
      <c r="AZ72" s="1038"/>
      <c r="BA72" s="1038"/>
      <c r="BB72" s="1039"/>
      <c r="BD72" s="1053"/>
      <c r="BE72" s="1053"/>
      <c r="BF72" s="1053"/>
      <c r="BH72" s="1053"/>
      <c r="BI72" s="1053"/>
      <c r="BJ72" s="1053"/>
      <c r="BL72" s="1053"/>
      <c r="BM72" s="1053"/>
      <c r="BN72" s="1053"/>
      <c r="BP72" s="1053"/>
      <c r="BQ72" s="1053"/>
      <c r="BR72" s="1053"/>
      <c r="BS72" s="73"/>
      <c r="BU72" s="1053"/>
      <c r="BV72" s="1053"/>
      <c r="BW72" s="1053"/>
      <c r="BY72" s="1053"/>
      <c r="BZ72" s="1053"/>
      <c r="CA72" s="1053"/>
      <c r="CC72" s="1053"/>
      <c r="CD72" s="1053"/>
      <c r="CE72" s="1053"/>
      <c r="CG72" s="1053"/>
      <c r="CH72" s="1053"/>
      <c r="CI72" s="1053"/>
      <c r="CK72" s="1057"/>
      <c r="CL72" s="1058"/>
      <c r="CM72" s="1058"/>
      <c r="CN72" s="1058"/>
      <c r="CO72" s="1059"/>
      <c r="CQ72" s="1037"/>
      <c r="CR72" s="1038"/>
      <c r="CS72" s="1038"/>
      <c r="CT72" s="1038"/>
      <c r="CU72" s="1038"/>
      <c r="CV72" s="1038"/>
      <c r="CW72" s="1038"/>
      <c r="CX72" s="1038"/>
      <c r="CY72" s="1038"/>
      <c r="CZ72" s="1038"/>
      <c r="DA72" s="1038"/>
      <c r="DB72" s="1038"/>
      <c r="DC72" s="1038"/>
      <c r="DD72" s="1038"/>
      <c r="DE72" s="1038"/>
      <c r="DF72" s="1038"/>
      <c r="DG72" s="1039"/>
      <c r="DI72" s="1037"/>
      <c r="DJ72" s="1038"/>
      <c r="DK72" s="1038"/>
      <c r="DL72" s="1038"/>
      <c r="DM72" s="1038"/>
      <c r="DN72" s="1038"/>
      <c r="DO72" s="1038"/>
      <c r="DP72" s="1038"/>
      <c r="DQ72" s="1038"/>
      <c r="DR72" s="1038"/>
      <c r="DS72" s="1038"/>
      <c r="DT72" s="1038"/>
      <c r="DU72" s="1038"/>
      <c r="DV72" s="1038"/>
      <c r="DW72" s="1038"/>
      <c r="DX72" s="1038"/>
      <c r="DY72" s="1039"/>
      <c r="EA72" s="1081"/>
      <c r="EB72" s="631"/>
      <c r="EC72" s="631"/>
      <c r="ED72" s="631"/>
      <c r="EE72" s="631"/>
      <c r="EF72" s="631"/>
      <c r="EG72" s="631"/>
      <c r="EH72" s="631"/>
      <c r="EI72" s="631"/>
      <c r="EJ72" s="631"/>
      <c r="EK72" s="631"/>
      <c r="EL72" s="1082"/>
    </row>
    <row r="73" spans="1:142" ht="3.75" customHeight="1" x14ac:dyDescent="0.25">
      <c r="Q73" s="1060"/>
      <c r="R73" s="1061"/>
      <c r="S73" s="1061"/>
      <c r="T73" s="1061"/>
      <c r="U73" s="1062"/>
      <c r="W73" s="1040"/>
      <c r="X73" s="1041"/>
      <c r="Y73" s="1041"/>
      <c r="Z73" s="1041"/>
      <c r="AA73" s="1041"/>
      <c r="AB73" s="1041"/>
      <c r="AC73" s="1041"/>
      <c r="AD73" s="1041"/>
      <c r="AE73" s="1041"/>
      <c r="AF73" s="1041"/>
      <c r="AG73" s="1041"/>
      <c r="AH73" s="1041"/>
      <c r="AI73" s="1041"/>
      <c r="AJ73" s="1041"/>
      <c r="AK73" s="1042"/>
      <c r="AM73" s="1040"/>
      <c r="AN73" s="1041"/>
      <c r="AO73" s="1041"/>
      <c r="AP73" s="1041"/>
      <c r="AQ73" s="1041"/>
      <c r="AR73" s="1041"/>
      <c r="AS73" s="1041"/>
      <c r="AT73" s="1041"/>
      <c r="AU73" s="1041"/>
      <c r="AV73" s="1041"/>
      <c r="AW73" s="1041"/>
      <c r="AX73" s="1041"/>
      <c r="AY73" s="1041"/>
      <c r="AZ73" s="1041"/>
      <c r="BA73" s="1041"/>
      <c r="BB73" s="1042"/>
      <c r="BD73" s="436"/>
      <c r="BE73" s="436"/>
      <c r="BF73" s="436"/>
      <c r="BS73" s="73"/>
      <c r="CK73" s="1060"/>
      <c r="CL73" s="1061"/>
      <c r="CM73" s="1061"/>
      <c r="CN73" s="1061"/>
      <c r="CO73" s="1062"/>
      <c r="CQ73" s="1040"/>
      <c r="CR73" s="1041"/>
      <c r="CS73" s="1041"/>
      <c r="CT73" s="1041"/>
      <c r="CU73" s="1041"/>
      <c r="CV73" s="1041"/>
      <c r="CW73" s="1041"/>
      <c r="CX73" s="1041"/>
      <c r="CY73" s="1041"/>
      <c r="CZ73" s="1041"/>
      <c r="DA73" s="1041"/>
      <c r="DB73" s="1041"/>
      <c r="DC73" s="1041"/>
      <c r="DD73" s="1041"/>
      <c r="DE73" s="1041"/>
      <c r="DF73" s="1041"/>
      <c r="DG73" s="1042"/>
      <c r="DI73" s="1040"/>
      <c r="DJ73" s="1041"/>
      <c r="DK73" s="1041"/>
      <c r="DL73" s="1041"/>
      <c r="DM73" s="1041"/>
      <c r="DN73" s="1041"/>
      <c r="DO73" s="1041"/>
      <c r="DP73" s="1041"/>
      <c r="DQ73" s="1041"/>
      <c r="DR73" s="1041"/>
      <c r="DS73" s="1041"/>
      <c r="DT73" s="1041"/>
      <c r="DU73" s="1041"/>
      <c r="DV73" s="1041"/>
      <c r="DW73" s="1041"/>
      <c r="DX73" s="1041"/>
      <c r="DY73" s="1042"/>
      <c r="EA73" s="1083"/>
      <c r="EB73" s="1084"/>
      <c r="EC73" s="1084"/>
      <c r="ED73" s="1084"/>
      <c r="EE73" s="1084"/>
      <c r="EF73" s="1084"/>
      <c r="EG73" s="1084"/>
      <c r="EH73" s="1084"/>
      <c r="EI73" s="1084"/>
      <c r="EJ73" s="1084"/>
      <c r="EK73" s="1084"/>
      <c r="EL73" s="1085"/>
    </row>
    <row r="74" spans="1:142" ht="3.75" customHeight="1" x14ac:dyDescent="0.25">
      <c r="Q74" s="1054"/>
      <c r="R74" s="1055"/>
      <c r="S74" s="1055"/>
      <c r="T74" s="1055"/>
      <c r="U74" s="1056"/>
      <c r="W74" s="1034"/>
      <c r="X74" s="1096"/>
      <c r="Y74" s="1096"/>
      <c r="Z74" s="1096"/>
      <c r="AA74" s="1096"/>
      <c r="AB74" s="1096"/>
      <c r="AC74" s="1096"/>
      <c r="AD74" s="1096"/>
      <c r="AE74" s="1096"/>
      <c r="AF74" s="1096"/>
      <c r="AG74" s="1096"/>
      <c r="AH74" s="1096"/>
      <c r="AI74" s="1096"/>
      <c r="AJ74" s="1096"/>
      <c r="AK74" s="1036"/>
      <c r="AM74" s="1034"/>
      <c r="AN74" s="1035"/>
      <c r="AO74" s="1035"/>
      <c r="AP74" s="1035"/>
      <c r="AQ74" s="1035"/>
      <c r="AR74" s="1035"/>
      <c r="AS74" s="1035"/>
      <c r="AT74" s="1035"/>
      <c r="AU74" s="1035"/>
      <c r="AV74" s="1035"/>
      <c r="AW74" s="1035"/>
      <c r="AX74" s="1035"/>
      <c r="AY74" s="1035"/>
      <c r="AZ74" s="1035"/>
      <c r="BA74" s="1035"/>
      <c r="BB74" s="1036"/>
      <c r="BS74" s="73"/>
      <c r="CK74" s="1054"/>
      <c r="CL74" s="1055"/>
      <c r="CM74" s="1055"/>
      <c r="CN74" s="1055"/>
      <c r="CO74" s="1056"/>
      <c r="CQ74" s="1034"/>
      <c r="CR74" s="1035"/>
      <c r="CS74" s="1035"/>
      <c r="CT74" s="1035"/>
      <c r="CU74" s="1035"/>
      <c r="CV74" s="1035"/>
      <c r="CW74" s="1035"/>
      <c r="CX74" s="1035"/>
      <c r="CY74" s="1035"/>
      <c r="CZ74" s="1035"/>
      <c r="DA74" s="1035"/>
      <c r="DB74" s="1035"/>
      <c r="DC74" s="1035"/>
      <c r="DD74" s="1035"/>
      <c r="DE74" s="1035"/>
      <c r="DF74" s="1035"/>
      <c r="DG74" s="1036"/>
      <c r="DI74" s="1034"/>
      <c r="DJ74" s="1035"/>
      <c r="DK74" s="1035"/>
      <c r="DL74" s="1035"/>
      <c r="DM74" s="1035"/>
      <c r="DN74" s="1035"/>
      <c r="DO74" s="1035"/>
      <c r="DP74" s="1035"/>
      <c r="DQ74" s="1035"/>
      <c r="DR74" s="1035"/>
      <c r="DS74" s="1035"/>
      <c r="DT74" s="1035"/>
      <c r="DU74" s="1035"/>
      <c r="DV74" s="1035"/>
      <c r="DW74" s="1035"/>
      <c r="DX74" s="1035"/>
      <c r="DY74" s="1036"/>
      <c r="EA74" s="1078" t="s">
        <v>811</v>
      </c>
      <c r="EB74" s="1157"/>
      <c r="EC74" s="1157"/>
      <c r="ED74" s="1157"/>
      <c r="EE74" s="1157"/>
      <c r="EF74" s="1157"/>
      <c r="EG74" s="1157"/>
      <c r="EH74" s="1157"/>
      <c r="EI74" s="1157"/>
      <c r="EJ74" s="1157"/>
      <c r="EK74" s="1157"/>
      <c r="EL74" s="1080"/>
    </row>
    <row r="75" spans="1:142" ht="3.75" customHeight="1" x14ac:dyDescent="0.25">
      <c r="A75" s="1053"/>
      <c r="B75" s="1053"/>
      <c r="C75" s="1053"/>
      <c r="E75" s="1053"/>
      <c r="F75" s="1053"/>
      <c r="G75" s="1053"/>
      <c r="I75" s="1053"/>
      <c r="J75" s="1053"/>
      <c r="K75" s="1053"/>
      <c r="M75" s="1053"/>
      <c r="N75" s="1053"/>
      <c r="O75" s="1053"/>
      <c r="Q75" s="1057"/>
      <c r="R75" s="1058"/>
      <c r="S75" s="1058"/>
      <c r="T75" s="1058"/>
      <c r="U75" s="1059"/>
      <c r="W75" s="1037"/>
      <c r="X75" s="1038"/>
      <c r="Y75" s="1038"/>
      <c r="Z75" s="1038"/>
      <c r="AA75" s="1038"/>
      <c r="AB75" s="1038"/>
      <c r="AC75" s="1038"/>
      <c r="AD75" s="1038"/>
      <c r="AE75" s="1038"/>
      <c r="AF75" s="1038"/>
      <c r="AG75" s="1038"/>
      <c r="AH75" s="1038"/>
      <c r="AI75" s="1038"/>
      <c r="AJ75" s="1038"/>
      <c r="AK75" s="1039"/>
      <c r="AM75" s="1037"/>
      <c r="AN75" s="1038"/>
      <c r="AO75" s="1038"/>
      <c r="AP75" s="1038"/>
      <c r="AQ75" s="1038"/>
      <c r="AR75" s="1038"/>
      <c r="AS75" s="1038"/>
      <c r="AT75" s="1038"/>
      <c r="AU75" s="1038"/>
      <c r="AV75" s="1038"/>
      <c r="AW75" s="1038"/>
      <c r="AX75" s="1038"/>
      <c r="AY75" s="1038"/>
      <c r="AZ75" s="1038"/>
      <c r="BA75" s="1038"/>
      <c r="BB75" s="1039"/>
      <c r="BD75" s="1053"/>
      <c r="BE75" s="1053"/>
      <c r="BF75" s="1053"/>
      <c r="BH75" s="1053"/>
      <c r="BI75" s="1053"/>
      <c r="BJ75" s="1053"/>
      <c r="BL75" s="1053"/>
      <c r="BM75" s="1053"/>
      <c r="BN75" s="1053"/>
      <c r="BP75" s="1053"/>
      <c r="BQ75" s="1053"/>
      <c r="BR75" s="1053"/>
      <c r="BS75" s="73"/>
      <c r="BU75" s="1053"/>
      <c r="BV75" s="1053"/>
      <c r="BW75" s="1053"/>
      <c r="BY75" s="1053"/>
      <c r="BZ75" s="1053"/>
      <c r="CA75" s="1053"/>
      <c r="CC75" s="1053"/>
      <c r="CD75" s="1053"/>
      <c r="CE75" s="1053"/>
      <c r="CG75" s="1053"/>
      <c r="CH75" s="1053"/>
      <c r="CI75" s="1053"/>
      <c r="CK75" s="1057"/>
      <c r="CL75" s="1058"/>
      <c r="CM75" s="1058"/>
      <c r="CN75" s="1058"/>
      <c r="CO75" s="1059"/>
      <c r="CQ75" s="1037"/>
      <c r="CR75" s="1038"/>
      <c r="CS75" s="1038"/>
      <c r="CT75" s="1038"/>
      <c r="CU75" s="1038"/>
      <c r="CV75" s="1038"/>
      <c r="CW75" s="1038"/>
      <c r="CX75" s="1038"/>
      <c r="CY75" s="1038"/>
      <c r="CZ75" s="1038"/>
      <c r="DA75" s="1038"/>
      <c r="DB75" s="1038"/>
      <c r="DC75" s="1038"/>
      <c r="DD75" s="1038"/>
      <c r="DE75" s="1038"/>
      <c r="DF75" s="1038"/>
      <c r="DG75" s="1039"/>
      <c r="DI75" s="1037"/>
      <c r="DJ75" s="1038"/>
      <c r="DK75" s="1038"/>
      <c r="DL75" s="1038"/>
      <c r="DM75" s="1038"/>
      <c r="DN75" s="1038"/>
      <c r="DO75" s="1038"/>
      <c r="DP75" s="1038"/>
      <c r="DQ75" s="1038"/>
      <c r="DR75" s="1038"/>
      <c r="DS75" s="1038"/>
      <c r="DT75" s="1038"/>
      <c r="DU75" s="1038"/>
      <c r="DV75" s="1038"/>
      <c r="DW75" s="1038"/>
      <c r="DX75" s="1038"/>
      <c r="DY75" s="1039"/>
      <c r="EA75" s="1081"/>
      <c r="EB75" s="631"/>
      <c r="EC75" s="631"/>
      <c r="ED75" s="631"/>
      <c r="EE75" s="631"/>
      <c r="EF75" s="631"/>
      <c r="EG75" s="631"/>
      <c r="EH75" s="631"/>
      <c r="EI75" s="631"/>
      <c r="EJ75" s="631"/>
      <c r="EK75" s="631"/>
      <c r="EL75" s="1082"/>
    </row>
    <row r="76" spans="1:142" ht="3.75" customHeight="1" x14ac:dyDescent="0.25">
      <c r="A76" s="1053"/>
      <c r="B76" s="1053"/>
      <c r="C76" s="1053"/>
      <c r="E76" s="1053"/>
      <c r="F76" s="1053"/>
      <c r="G76" s="1053"/>
      <c r="I76" s="1053"/>
      <c r="J76" s="1053"/>
      <c r="K76" s="1053"/>
      <c r="M76" s="1053"/>
      <c r="N76" s="1053"/>
      <c r="O76" s="1053"/>
      <c r="Q76" s="1057"/>
      <c r="R76" s="1058"/>
      <c r="S76" s="1058"/>
      <c r="T76" s="1058"/>
      <c r="U76" s="1059"/>
      <c r="W76" s="1037"/>
      <c r="X76" s="1038"/>
      <c r="Y76" s="1038"/>
      <c r="Z76" s="1038"/>
      <c r="AA76" s="1038"/>
      <c r="AB76" s="1038"/>
      <c r="AC76" s="1038"/>
      <c r="AD76" s="1038"/>
      <c r="AE76" s="1038"/>
      <c r="AF76" s="1038"/>
      <c r="AG76" s="1038"/>
      <c r="AH76" s="1038"/>
      <c r="AI76" s="1038"/>
      <c r="AJ76" s="1038"/>
      <c r="AK76" s="1039"/>
      <c r="AM76" s="1037"/>
      <c r="AN76" s="1038"/>
      <c r="AO76" s="1038"/>
      <c r="AP76" s="1038"/>
      <c r="AQ76" s="1038"/>
      <c r="AR76" s="1038"/>
      <c r="AS76" s="1038"/>
      <c r="AT76" s="1038"/>
      <c r="AU76" s="1038"/>
      <c r="AV76" s="1038"/>
      <c r="AW76" s="1038"/>
      <c r="AX76" s="1038"/>
      <c r="AY76" s="1038"/>
      <c r="AZ76" s="1038"/>
      <c r="BA76" s="1038"/>
      <c r="BB76" s="1039"/>
      <c r="BD76" s="1053"/>
      <c r="BE76" s="1053"/>
      <c r="BF76" s="1053"/>
      <c r="BH76" s="1053"/>
      <c r="BI76" s="1053"/>
      <c r="BJ76" s="1053"/>
      <c r="BL76" s="1053"/>
      <c r="BM76" s="1053"/>
      <c r="BN76" s="1053"/>
      <c r="BP76" s="1053"/>
      <c r="BQ76" s="1053"/>
      <c r="BR76" s="1053"/>
      <c r="BS76" s="73"/>
      <c r="BU76" s="1053"/>
      <c r="BV76" s="1053"/>
      <c r="BW76" s="1053"/>
      <c r="BY76" s="1053"/>
      <c r="BZ76" s="1053"/>
      <c r="CA76" s="1053"/>
      <c r="CC76" s="1053"/>
      <c r="CD76" s="1053"/>
      <c r="CE76" s="1053"/>
      <c r="CG76" s="1053"/>
      <c r="CH76" s="1053"/>
      <c r="CI76" s="1053"/>
      <c r="CK76" s="1057"/>
      <c r="CL76" s="1058"/>
      <c r="CM76" s="1058"/>
      <c r="CN76" s="1058"/>
      <c r="CO76" s="1059"/>
      <c r="CQ76" s="1037"/>
      <c r="CR76" s="1038"/>
      <c r="CS76" s="1038"/>
      <c r="CT76" s="1038"/>
      <c r="CU76" s="1038"/>
      <c r="CV76" s="1038"/>
      <c r="CW76" s="1038"/>
      <c r="CX76" s="1038"/>
      <c r="CY76" s="1038"/>
      <c r="CZ76" s="1038"/>
      <c r="DA76" s="1038"/>
      <c r="DB76" s="1038"/>
      <c r="DC76" s="1038"/>
      <c r="DD76" s="1038"/>
      <c r="DE76" s="1038"/>
      <c r="DF76" s="1038"/>
      <c r="DG76" s="1039"/>
      <c r="DI76" s="1037"/>
      <c r="DJ76" s="1038"/>
      <c r="DK76" s="1038"/>
      <c r="DL76" s="1038"/>
      <c r="DM76" s="1038"/>
      <c r="DN76" s="1038"/>
      <c r="DO76" s="1038"/>
      <c r="DP76" s="1038"/>
      <c r="DQ76" s="1038"/>
      <c r="DR76" s="1038"/>
      <c r="DS76" s="1038"/>
      <c r="DT76" s="1038"/>
      <c r="DU76" s="1038"/>
      <c r="DV76" s="1038"/>
      <c r="DW76" s="1038"/>
      <c r="DX76" s="1038"/>
      <c r="DY76" s="1039"/>
      <c r="EA76" s="1081"/>
      <c r="EB76" s="631"/>
      <c r="EC76" s="631"/>
      <c r="ED76" s="631"/>
      <c r="EE76" s="631"/>
      <c r="EF76" s="631"/>
      <c r="EG76" s="631"/>
      <c r="EH76" s="631"/>
      <c r="EI76" s="631"/>
      <c r="EJ76" s="631"/>
      <c r="EK76" s="631"/>
      <c r="EL76" s="1082"/>
    </row>
    <row r="77" spans="1:142" ht="3.75" customHeight="1" x14ac:dyDescent="0.25">
      <c r="A77" s="1053"/>
      <c r="B77" s="1053"/>
      <c r="C77" s="1053"/>
      <c r="E77" s="1053"/>
      <c r="F77" s="1053"/>
      <c r="G77" s="1053"/>
      <c r="I77" s="1053"/>
      <c r="J77" s="1053"/>
      <c r="K77" s="1053"/>
      <c r="M77" s="1053"/>
      <c r="N77" s="1053"/>
      <c r="O77" s="1053"/>
      <c r="Q77" s="1057"/>
      <c r="R77" s="1058"/>
      <c r="S77" s="1058"/>
      <c r="T77" s="1058"/>
      <c r="U77" s="1059"/>
      <c r="W77" s="1037"/>
      <c r="X77" s="1038"/>
      <c r="Y77" s="1038"/>
      <c r="Z77" s="1038"/>
      <c r="AA77" s="1038"/>
      <c r="AB77" s="1038"/>
      <c r="AC77" s="1038"/>
      <c r="AD77" s="1038"/>
      <c r="AE77" s="1038"/>
      <c r="AF77" s="1038"/>
      <c r="AG77" s="1038"/>
      <c r="AH77" s="1038"/>
      <c r="AI77" s="1038"/>
      <c r="AJ77" s="1038"/>
      <c r="AK77" s="1039"/>
      <c r="AM77" s="1037"/>
      <c r="AN77" s="1038"/>
      <c r="AO77" s="1038"/>
      <c r="AP77" s="1038"/>
      <c r="AQ77" s="1038"/>
      <c r="AR77" s="1038"/>
      <c r="AS77" s="1038"/>
      <c r="AT77" s="1038"/>
      <c r="AU77" s="1038"/>
      <c r="AV77" s="1038"/>
      <c r="AW77" s="1038"/>
      <c r="AX77" s="1038"/>
      <c r="AY77" s="1038"/>
      <c r="AZ77" s="1038"/>
      <c r="BA77" s="1038"/>
      <c r="BB77" s="1039"/>
      <c r="BD77" s="1053"/>
      <c r="BE77" s="1053"/>
      <c r="BF77" s="1053"/>
      <c r="BH77" s="1053"/>
      <c r="BI77" s="1053"/>
      <c r="BJ77" s="1053"/>
      <c r="BL77" s="1053"/>
      <c r="BM77" s="1053"/>
      <c r="BN77" s="1053"/>
      <c r="BP77" s="1053"/>
      <c r="BQ77" s="1053"/>
      <c r="BR77" s="1053"/>
      <c r="BS77" s="73"/>
      <c r="BU77" s="1053"/>
      <c r="BV77" s="1053"/>
      <c r="BW77" s="1053"/>
      <c r="BY77" s="1053"/>
      <c r="BZ77" s="1053"/>
      <c r="CA77" s="1053"/>
      <c r="CC77" s="1053"/>
      <c r="CD77" s="1053"/>
      <c r="CE77" s="1053"/>
      <c r="CG77" s="1053"/>
      <c r="CH77" s="1053"/>
      <c r="CI77" s="1053"/>
      <c r="CK77" s="1057"/>
      <c r="CL77" s="1058"/>
      <c r="CM77" s="1058"/>
      <c r="CN77" s="1058"/>
      <c r="CO77" s="1059"/>
      <c r="CQ77" s="1037"/>
      <c r="CR77" s="1038"/>
      <c r="CS77" s="1038"/>
      <c r="CT77" s="1038"/>
      <c r="CU77" s="1038"/>
      <c r="CV77" s="1038"/>
      <c r="CW77" s="1038"/>
      <c r="CX77" s="1038"/>
      <c r="CY77" s="1038"/>
      <c r="CZ77" s="1038"/>
      <c r="DA77" s="1038"/>
      <c r="DB77" s="1038"/>
      <c r="DC77" s="1038"/>
      <c r="DD77" s="1038"/>
      <c r="DE77" s="1038"/>
      <c r="DF77" s="1038"/>
      <c r="DG77" s="1039"/>
      <c r="DI77" s="1037"/>
      <c r="DJ77" s="1038"/>
      <c r="DK77" s="1038"/>
      <c r="DL77" s="1038"/>
      <c r="DM77" s="1038"/>
      <c r="DN77" s="1038"/>
      <c r="DO77" s="1038"/>
      <c r="DP77" s="1038"/>
      <c r="DQ77" s="1038"/>
      <c r="DR77" s="1038"/>
      <c r="DS77" s="1038"/>
      <c r="DT77" s="1038"/>
      <c r="DU77" s="1038"/>
      <c r="DV77" s="1038"/>
      <c r="DW77" s="1038"/>
      <c r="DX77" s="1038"/>
      <c r="DY77" s="1039"/>
      <c r="EA77" s="1081"/>
      <c r="EB77" s="631"/>
      <c r="EC77" s="631"/>
      <c r="ED77" s="631"/>
      <c r="EE77" s="631"/>
      <c r="EF77" s="631"/>
      <c r="EG77" s="631"/>
      <c r="EH77" s="631"/>
      <c r="EI77" s="631"/>
      <c r="EJ77" s="631"/>
      <c r="EK77" s="631"/>
      <c r="EL77" s="1082"/>
    </row>
    <row r="78" spans="1:142" ht="3.75" customHeight="1" x14ac:dyDescent="0.25">
      <c r="Q78" s="1060"/>
      <c r="R78" s="1061"/>
      <c r="S78" s="1061"/>
      <c r="T78" s="1061"/>
      <c r="U78" s="1062"/>
      <c r="W78" s="1040"/>
      <c r="X78" s="1041"/>
      <c r="Y78" s="1041"/>
      <c r="Z78" s="1041"/>
      <c r="AA78" s="1041"/>
      <c r="AB78" s="1041"/>
      <c r="AC78" s="1041"/>
      <c r="AD78" s="1041"/>
      <c r="AE78" s="1041"/>
      <c r="AF78" s="1041"/>
      <c r="AG78" s="1041"/>
      <c r="AH78" s="1041"/>
      <c r="AI78" s="1041"/>
      <c r="AJ78" s="1041"/>
      <c r="AK78" s="1042"/>
      <c r="AM78" s="1040"/>
      <c r="AN78" s="1041"/>
      <c r="AO78" s="1041"/>
      <c r="AP78" s="1041"/>
      <c r="AQ78" s="1041"/>
      <c r="AR78" s="1041"/>
      <c r="AS78" s="1041"/>
      <c r="AT78" s="1041"/>
      <c r="AU78" s="1041"/>
      <c r="AV78" s="1041"/>
      <c r="AW78" s="1041"/>
      <c r="AX78" s="1041"/>
      <c r="AY78" s="1041"/>
      <c r="AZ78" s="1041"/>
      <c r="BA78" s="1041"/>
      <c r="BB78" s="1042"/>
      <c r="BS78" s="73"/>
      <c r="CK78" s="1060"/>
      <c r="CL78" s="1061"/>
      <c r="CM78" s="1061"/>
      <c r="CN78" s="1061"/>
      <c r="CO78" s="1062"/>
      <c r="CQ78" s="1040"/>
      <c r="CR78" s="1041"/>
      <c r="CS78" s="1041"/>
      <c r="CT78" s="1041"/>
      <c r="CU78" s="1041"/>
      <c r="CV78" s="1041"/>
      <c r="CW78" s="1041"/>
      <c r="CX78" s="1041"/>
      <c r="CY78" s="1041"/>
      <c r="CZ78" s="1041"/>
      <c r="DA78" s="1041"/>
      <c r="DB78" s="1041"/>
      <c r="DC78" s="1041"/>
      <c r="DD78" s="1041"/>
      <c r="DE78" s="1041"/>
      <c r="DF78" s="1041"/>
      <c r="DG78" s="1042"/>
      <c r="DI78" s="1040"/>
      <c r="DJ78" s="1041"/>
      <c r="DK78" s="1041"/>
      <c r="DL78" s="1041"/>
      <c r="DM78" s="1041"/>
      <c r="DN78" s="1041"/>
      <c r="DO78" s="1041"/>
      <c r="DP78" s="1041"/>
      <c r="DQ78" s="1041"/>
      <c r="DR78" s="1041"/>
      <c r="DS78" s="1041"/>
      <c r="DT78" s="1041"/>
      <c r="DU78" s="1041"/>
      <c r="DV78" s="1041"/>
      <c r="DW78" s="1041"/>
      <c r="DX78" s="1041"/>
      <c r="DY78" s="1042"/>
      <c r="EA78" s="1083"/>
      <c r="EB78" s="1084"/>
      <c r="EC78" s="1084"/>
      <c r="ED78" s="1084"/>
      <c r="EE78" s="1084"/>
      <c r="EF78" s="1084"/>
      <c r="EG78" s="1084"/>
      <c r="EH78" s="1084"/>
      <c r="EI78" s="1084"/>
      <c r="EJ78" s="1084"/>
      <c r="EK78" s="1084"/>
      <c r="EL78" s="1085"/>
    </row>
    <row r="79" spans="1:142" ht="3.75" customHeight="1" x14ac:dyDescent="0.25">
      <c r="Q79" s="1054"/>
      <c r="R79" s="1055"/>
      <c r="S79" s="1055"/>
      <c r="T79" s="1055"/>
      <c r="U79" s="1056"/>
      <c r="W79" s="1034"/>
      <c r="X79" s="1096"/>
      <c r="Y79" s="1096"/>
      <c r="Z79" s="1096"/>
      <c r="AA79" s="1096"/>
      <c r="AB79" s="1096"/>
      <c r="AC79" s="1096"/>
      <c r="AD79" s="1096"/>
      <c r="AE79" s="1096"/>
      <c r="AF79" s="1096"/>
      <c r="AG79" s="1096"/>
      <c r="AH79" s="1096"/>
      <c r="AI79" s="1096"/>
      <c r="AJ79" s="1096"/>
      <c r="AK79" s="1036"/>
      <c r="AM79" s="1034"/>
      <c r="AN79" s="1035"/>
      <c r="AO79" s="1035"/>
      <c r="AP79" s="1035"/>
      <c r="AQ79" s="1035"/>
      <c r="AR79" s="1035"/>
      <c r="AS79" s="1035"/>
      <c r="AT79" s="1035"/>
      <c r="AU79" s="1035"/>
      <c r="AV79" s="1035"/>
      <c r="AW79" s="1035"/>
      <c r="AX79" s="1035"/>
      <c r="AY79" s="1035"/>
      <c r="AZ79" s="1035"/>
      <c r="BA79" s="1035"/>
      <c r="BB79" s="1036"/>
      <c r="BS79" s="73"/>
      <c r="CK79" s="1054"/>
      <c r="CL79" s="1055"/>
      <c r="CM79" s="1055"/>
      <c r="CN79" s="1055"/>
      <c r="CO79" s="1056"/>
      <c r="CQ79" s="1034"/>
      <c r="CR79" s="1035"/>
      <c r="CS79" s="1035"/>
      <c r="CT79" s="1035"/>
      <c r="CU79" s="1035"/>
      <c r="CV79" s="1035"/>
      <c r="CW79" s="1035"/>
      <c r="CX79" s="1035"/>
      <c r="CY79" s="1035"/>
      <c r="CZ79" s="1035"/>
      <c r="DA79" s="1035"/>
      <c r="DB79" s="1035"/>
      <c r="DC79" s="1035"/>
      <c r="DD79" s="1035"/>
      <c r="DE79" s="1035"/>
      <c r="DF79" s="1035"/>
      <c r="DG79" s="1036"/>
      <c r="DI79" s="1034"/>
      <c r="DJ79" s="1035"/>
      <c r="DK79" s="1035"/>
      <c r="DL79" s="1035"/>
      <c r="DM79" s="1035"/>
      <c r="DN79" s="1035"/>
      <c r="DO79" s="1035"/>
      <c r="DP79" s="1035"/>
      <c r="DQ79" s="1035"/>
      <c r="DR79" s="1035"/>
      <c r="DS79" s="1035"/>
      <c r="DT79" s="1035"/>
      <c r="DU79" s="1035"/>
      <c r="DV79" s="1035"/>
      <c r="DW79" s="1035"/>
      <c r="DX79" s="1035"/>
      <c r="DY79" s="1036"/>
      <c r="EA79" s="1078" t="s">
        <v>811</v>
      </c>
      <c r="EB79" s="1157"/>
      <c r="EC79" s="1157"/>
      <c r="ED79" s="1157"/>
      <c r="EE79" s="1157"/>
      <c r="EF79" s="1157"/>
      <c r="EG79" s="1157"/>
      <c r="EH79" s="1157"/>
      <c r="EI79" s="1157"/>
      <c r="EJ79" s="1157"/>
      <c r="EK79" s="1157"/>
      <c r="EL79" s="1080"/>
    </row>
    <row r="80" spans="1:142" ht="3.75" customHeight="1" x14ac:dyDescent="0.25">
      <c r="A80" s="1053"/>
      <c r="B80" s="1053"/>
      <c r="C80" s="1053"/>
      <c r="E80" s="1053"/>
      <c r="F80" s="1053"/>
      <c r="G80" s="1053"/>
      <c r="I80" s="1053"/>
      <c r="J80" s="1053"/>
      <c r="K80" s="1053"/>
      <c r="M80" s="1053"/>
      <c r="N80" s="1053"/>
      <c r="O80" s="1053"/>
      <c r="Q80" s="1057"/>
      <c r="R80" s="1058"/>
      <c r="S80" s="1058"/>
      <c r="T80" s="1058"/>
      <c r="U80" s="1059"/>
      <c r="W80" s="1037"/>
      <c r="X80" s="1038"/>
      <c r="Y80" s="1038"/>
      <c r="Z80" s="1038"/>
      <c r="AA80" s="1038"/>
      <c r="AB80" s="1038"/>
      <c r="AC80" s="1038"/>
      <c r="AD80" s="1038"/>
      <c r="AE80" s="1038"/>
      <c r="AF80" s="1038"/>
      <c r="AG80" s="1038"/>
      <c r="AH80" s="1038"/>
      <c r="AI80" s="1038"/>
      <c r="AJ80" s="1038"/>
      <c r="AK80" s="1039"/>
      <c r="AM80" s="1037"/>
      <c r="AN80" s="1038"/>
      <c r="AO80" s="1038"/>
      <c r="AP80" s="1038"/>
      <c r="AQ80" s="1038"/>
      <c r="AR80" s="1038"/>
      <c r="AS80" s="1038"/>
      <c r="AT80" s="1038"/>
      <c r="AU80" s="1038"/>
      <c r="AV80" s="1038"/>
      <c r="AW80" s="1038"/>
      <c r="AX80" s="1038"/>
      <c r="AY80" s="1038"/>
      <c r="AZ80" s="1038"/>
      <c r="BA80" s="1038"/>
      <c r="BB80" s="1039"/>
      <c r="BD80" s="1053"/>
      <c r="BE80" s="1053"/>
      <c r="BF80" s="1053"/>
      <c r="BH80" s="1053"/>
      <c r="BI80" s="1053"/>
      <c r="BJ80" s="1053"/>
      <c r="BL80" s="1053"/>
      <c r="BM80" s="1053"/>
      <c r="BN80" s="1053"/>
      <c r="BP80" s="1053"/>
      <c r="BQ80" s="1053"/>
      <c r="BR80" s="1053"/>
      <c r="BS80" s="73"/>
      <c r="BU80" s="1053"/>
      <c r="BV80" s="1053"/>
      <c r="BW80" s="1053"/>
      <c r="BY80" s="1053"/>
      <c r="BZ80" s="1053"/>
      <c r="CA80" s="1053"/>
      <c r="CC80" s="1053"/>
      <c r="CD80" s="1053"/>
      <c r="CE80" s="1053"/>
      <c r="CG80" s="1053"/>
      <c r="CH80" s="1053"/>
      <c r="CI80" s="1053"/>
      <c r="CK80" s="1057"/>
      <c r="CL80" s="1058"/>
      <c r="CM80" s="1058"/>
      <c r="CN80" s="1058"/>
      <c r="CO80" s="1059"/>
      <c r="CQ80" s="1037"/>
      <c r="CR80" s="1038"/>
      <c r="CS80" s="1038"/>
      <c r="CT80" s="1038"/>
      <c r="CU80" s="1038"/>
      <c r="CV80" s="1038"/>
      <c r="CW80" s="1038"/>
      <c r="CX80" s="1038"/>
      <c r="CY80" s="1038"/>
      <c r="CZ80" s="1038"/>
      <c r="DA80" s="1038"/>
      <c r="DB80" s="1038"/>
      <c r="DC80" s="1038"/>
      <c r="DD80" s="1038"/>
      <c r="DE80" s="1038"/>
      <c r="DF80" s="1038"/>
      <c r="DG80" s="1039"/>
      <c r="DI80" s="1037"/>
      <c r="DJ80" s="1038"/>
      <c r="DK80" s="1038"/>
      <c r="DL80" s="1038"/>
      <c r="DM80" s="1038"/>
      <c r="DN80" s="1038"/>
      <c r="DO80" s="1038"/>
      <c r="DP80" s="1038"/>
      <c r="DQ80" s="1038"/>
      <c r="DR80" s="1038"/>
      <c r="DS80" s="1038"/>
      <c r="DT80" s="1038"/>
      <c r="DU80" s="1038"/>
      <c r="DV80" s="1038"/>
      <c r="DW80" s="1038"/>
      <c r="DX80" s="1038"/>
      <c r="DY80" s="1039"/>
      <c r="EA80" s="1081"/>
      <c r="EB80" s="631"/>
      <c r="EC80" s="631"/>
      <c r="ED80" s="631"/>
      <c r="EE80" s="631"/>
      <c r="EF80" s="631"/>
      <c r="EG80" s="631"/>
      <c r="EH80" s="631"/>
      <c r="EI80" s="631"/>
      <c r="EJ80" s="631"/>
      <c r="EK80" s="631"/>
      <c r="EL80" s="1082"/>
    </row>
    <row r="81" spans="1:142" ht="3.75" customHeight="1" x14ac:dyDescent="0.25">
      <c r="A81" s="1053"/>
      <c r="B81" s="1053"/>
      <c r="C81" s="1053"/>
      <c r="E81" s="1053"/>
      <c r="F81" s="1053"/>
      <c r="G81" s="1053"/>
      <c r="I81" s="1053"/>
      <c r="J81" s="1053"/>
      <c r="K81" s="1053"/>
      <c r="M81" s="1053"/>
      <c r="N81" s="1053"/>
      <c r="O81" s="1053"/>
      <c r="Q81" s="1057"/>
      <c r="R81" s="1058"/>
      <c r="S81" s="1058"/>
      <c r="T81" s="1058"/>
      <c r="U81" s="1059"/>
      <c r="W81" s="1037"/>
      <c r="X81" s="1038"/>
      <c r="Y81" s="1038"/>
      <c r="Z81" s="1038"/>
      <c r="AA81" s="1038"/>
      <c r="AB81" s="1038"/>
      <c r="AC81" s="1038"/>
      <c r="AD81" s="1038"/>
      <c r="AE81" s="1038"/>
      <c r="AF81" s="1038"/>
      <c r="AG81" s="1038"/>
      <c r="AH81" s="1038"/>
      <c r="AI81" s="1038"/>
      <c r="AJ81" s="1038"/>
      <c r="AK81" s="1039"/>
      <c r="AM81" s="1037"/>
      <c r="AN81" s="1038"/>
      <c r="AO81" s="1038"/>
      <c r="AP81" s="1038"/>
      <c r="AQ81" s="1038"/>
      <c r="AR81" s="1038"/>
      <c r="AS81" s="1038"/>
      <c r="AT81" s="1038"/>
      <c r="AU81" s="1038"/>
      <c r="AV81" s="1038"/>
      <c r="AW81" s="1038"/>
      <c r="AX81" s="1038"/>
      <c r="AY81" s="1038"/>
      <c r="AZ81" s="1038"/>
      <c r="BA81" s="1038"/>
      <c r="BB81" s="1039"/>
      <c r="BD81" s="1053"/>
      <c r="BE81" s="1053"/>
      <c r="BF81" s="1053"/>
      <c r="BH81" s="1053"/>
      <c r="BI81" s="1053"/>
      <c r="BJ81" s="1053"/>
      <c r="BL81" s="1053"/>
      <c r="BM81" s="1053"/>
      <c r="BN81" s="1053"/>
      <c r="BP81" s="1053"/>
      <c r="BQ81" s="1053"/>
      <c r="BR81" s="1053"/>
      <c r="BS81" s="73"/>
      <c r="BU81" s="1053"/>
      <c r="BV81" s="1053"/>
      <c r="BW81" s="1053"/>
      <c r="BY81" s="1053"/>
      <c r="BZ81" s="1053"/>
      <c r="CA81" s="1053"/>
      <c r="CC81" s="1053"/>
      <c r="CD81" s="1053"/>
      <c r="CE81" s="1053"/>
      <c r="CG81" s="1053"/>
      <c r="CH81" s="1053"/>
      <c r="CI81" s="1053"/>
      <c r="CK81" s="1057"/>
      <c r="CL81" s="1058"/>
      <c r="CM81" s="1058"/>
      <c r="CN81" s="1058"/>
      <c r="CO81" s="1059"/>
      <c r="CQ81" s="1037"/>
      <c r="CR81" s="1038"/>
      <c r="CS81" s="1038"/>
      <c r="CT81" s="1038"/>
      <c r="CU81" s="1038"/>
      <c r="CV81" s="1038"/>
      <c r="CW81" s="1038"/>
      <c r="CX81" s="1038"/>
      <c r="CY81" s="1038"/>
      <c r="CZ81" s="1038"/>
      <c r="DA81" s="1038"/>
      <c r="DB81" s="1038"/>
      <c r="DC81" s="1038"/>
      <c r="DD81" s="1038"/>
      <c r="DE81" s="1038"/>
      <c r="DF81" s="1038"/>
      <c r="DG81" s="1039"/>
      <c r="DI81" s="1037"/>
      <c r="DJ81" s="1038"/>
      <c r="DK81" s="1038"/>
      <c r="DL81" s="1038"/>
      <c r="DM81" s="1038"/>
      <c r="DN81" s="1038"/>
      <c r="DO81" s="1038"/>
      <c r="DP81" s="1038"/>
      <c r="DQ81" s="1038"/>
      <c r="DR81" s="1038"/>
      <c r="DS81" s="1038"/>
      <c r="DT81" s="1038"/>
      <c r="DU81" s="1038"/>
      <c r="DV81" s="1038"/>
      <c r="DW81" s="1038"/>
      <c r="DX81" s="1038"/>
      <c r="DY81" s="1039"/>
      <c r="EA81" s="1081"/>
      <c r="EB81" s="631"/>
      <c r="EC81" s="631"/>
      <c r="ED81" s="631"/>
      <c r="EE81" s="631"/>
      <c r="EF81" s="631"/>
      <c r="EG81" s="631"/>
      <c r="EH81" s="631"/>
      <c r="EI81" s="631"/>
      <c r="EJ81" s="631"/>
      <c r="EK81" s="631"/>
      <c r="EL81" s="1082"/>
    </row>
    <row r="82" spans="1:142" ht="3.75" customHeight="1" x14ac:dyDescent="0.25">
      <c r="A82" s="1053"/>
      <c r="B82" s="1053"/>
      <c r="C82" s="1053"/>
      <c r="E82" s="1053"/>
      <c r="F82" s="1053"/>
      <c r="G82" s="1053"/>
      <c r="I82" s="1053"/>
      <c r="J82" s="1053"/>
      <c r="K82" s="1053"/>
      <c r="M82" s="1053"/>
      <c r="N82" s="1053"/>
      <c r="O82" s="1053"/>
      <c r="Q82" s="1057"/>
      <c r="R82" s="1058"/>
      <c r="S82" s="1058"/>
      <c r="T82" s="1058"/>
      <c r="U82" s="1059"/>
      <c r="W82" s="1037"/>
      <c r="X82" s="1038"/>
      <c r="Y82" s="1038"/>
      <c r="Z82" s="1038"/>
      <c r="AA82" s="1038"/>
      <c r="AB82" s="1038"/>
      <c r="AC82" s="1038"/>
      <c r="AD82" s="1038"/>
      <c r="AE82" s="1038"/>
      <c r="AF82" s="1038"/>
      <c r="AG82" s="1038"/>
      <c r="AH82" s="1038"/>
      <c r="AI82" s="1038"/>
      <c r="AJ82" s="1038"/>
      <c r="AK82" s="1039"/>
      <c r="AM82" s="1037"/>
      <c r="AN82" s="1038"/>
      <c r="AO82" s="1038"/>
      <c r="AP82" s="1038"/>
      <c r="AQ82" s="1038"/>
      <c r="AR82" s="1038"/>
      <c r="AS82" s="1038"/>
      <c r="AT82" s="1038"/>
      <c r="AU82" s="1038"/>
      <c r="AV82" s="1038"/>
      <c r="AW82" s="1038"/>
      <c r="AX82" s="1038"/>
      <c r="AY82" s="1038"/>
      <c r="AZ82" s="1038"/>
      <c r="BA82" s="1038"/>
      <c r="BB82" s="1039"/>
      <c r="BD82" s="1053"/>
      <c r="BE82" s="1053"/>
      <c r="BF82" s="1053"/>
      <c r="BH82" s="1053"/>
      <c r="BI82" s="1053"/>
      <c r="BJ82" s="1053"/>
      <c r="BL82" s="1053"/>
      <c r="BM82" s="1053"/>
      <c r="BN82" s="1053"/>
      <c r="BP82" s="1053"/>
      <c r="BQ82" s="1053"/>
      <c r="BR82" s="1053"/>
      <c r="BS82" s="73"/>
      <c r="BU82" s="1053"/>
      <c r="BV82" s="1053"/>
      <c r="BW82" s="1053"/>
      <c r="BY82" s="1053"/>
      <c r="BZ82" s="1053"/>
      <c r="CA82" s="1053"/>
      <c r="CC82" s="1053"/>
      <c r="CD82" s="1053"/>
      <c r="CE82" s="1053"/>
      <c r="CG82" s="1053"/>
      <c r="CH82" s="1053"/>
      <c r="CI82" s="1053"/>
      <c r="CK82" s="1057"/>
      <c r="CL82" s="1058"/>
      <c r="CM82" s="1058"/>
      <c r="CN82" s="1058"/>
      <c r="CO82" s="1059"/>
      <c r="CQ82" s="1037"/>
      <c r="CR82" s="1038"/>
      <c r="CS82" s="1038"/>
      <c r="CT82" s="1038"/>
      <c r="CU82" s="1038"/>
      <c r="CV82" s="1038"/>
      <c r="CW82" s="1038"/>
      <c r="CX82" s="1038"/>
      <c r="CY82" s="1038"/>
      <c r="CZ82" s="1038"/>
      <c r="DA82" s="1038"/>
      <c r="DB82" s="1038"/>
      <c r="DC82" s="1038"/>
      <c r="DD82" s="1038"/>
      <c r="DE82" s="1038"/>
      <c r="DF82" s="1038"/>
      <c r="DG82" s="1039"/>
      <c r="DI82" s="1037"/>
      <c r="DJ82" s="1038"/>
      <c r="DK82" s="1038"/>
      <c r="DL82" s="1038"/>
      <c r="DM82" s="1038"/>
      <c r="DN82" s="1038"/>
      <c r="DO82" s="1038"/>
      <c r="DP82" s="1038"/>
      <c r="DQ82" s="1038"/>
      <c r="DR82" s="1038"/>
      <c r="DS82" s="1038"/>
      <c r="DT82" s="1038"/>
      <c r="DU82" s="1038"/>
      <c r="DV82" s="1038"/>
      <c r="DW82" s="1038"/>
      <c r="DX82" s="1038"/>
      <c r="DY82" s="1039"/>
      <c r="EA82" s="1081"/>
      <c r="EB82" s="631"/>
      <c r="EC82" s="631"/>
      <c r="ED82" s="631"/>
      <c r="EE82" s="631"/>
      <c r="EF82" s="631"/>
      <c r="EG82" s="631"/>
      <c r="EH82" s="631"/>
      <c r="EI82" s="631"/>
      <c r="EJ82" s="631"/>
      <c r="EK82" s="631"/>
      <c r="EL82" s="1082"/>
    </row>
    <row r="83" spans="1:142" ht="3.75" customHeight="1" x14ac:dyDescent="0.25">
      <c r="Q83" s="1060"/>
      <c r="R83" s="1061"/>
      <c r="S83" s="1061"/>
      <c r="T83" s="1061"/>
      <c r="U83" s="1062"/>
      <c r="W83" s="1040"/>
      <c r="X83" s="1041"/>
      <c r="Y83" s="1041"/>
      <c r="Z83" s="1041"/>
      <c r="AA83" s="1041"/>
      <c r="AB83" s="1041"/>
      <c r="AC83" s="1041"/>
      <c r="AD83" s="1041"/>
      <c r="AE83" s="1041"/>
      <c r="AF83" s="1041"/>
      <c r="AG83" s="1041"/>
      <c r="AH83" s="1041"/>
      <c r="AI83" s="1041"/>
      <c r="AJ83" s="1041"/>
      <c r="AK83" s="1042"/>
      <c r="AM83" s="1040"/>
      <c r="AN83" s="1041"/>
      <c r="AO83" s="1041"/>
      <c r="AP83" s="1041"/>
      <c r="AQ83" s="1041"/>
      <c r="AR83" s="1041"/>
      <c r="AS83" s="1041"/>
      <c r="AT83" s="1041"/>
      <c r="AU83" s="1041"/>
      <c r="AV83" s="1041"/>
      <c r="AW83" s="1041"/>
      <c r="AX83" s="1041"/>
      <c r="AY83" s="1041"/>
      <c r="AZ83" s="1041"/>
      <c r="BA83" s="1041"/>
      <c r="BB83" s="1042"/>
      <c r="BS83" s="73"/>
      <c r="CK83" s="1060"/>
      <c r="CL83" s="1061"/>
      <c r="CM83" s="1061"/>
      <c r="CN83" s="1061"/>
      <c r="CO83" s="1062"/>
      <c r="CQ83" s="1040"/>
      <c r="CR83" s="1041"/>
      <c r="CS83" s="1041"/>
      <c r="CT83" s="1041"/>
      <c r="CU83" s="1041"/>
      <c r="CV83" s="1041"/>
      <c r="CW83" s="1041"/>
      <c r="CX83" s="1041"/>
      <c r="CY83" s="1041"/>
      <c r="CZ83" s="1041"/>
      <c r="DA83" s="1041"/>
      <c r="DB83" s="1041"/>
      <c r="DC83" s="1041"/>
      <c r="DD83" s="1041"/>
      <c r="DE83" s="1041"/>
      <c r="DF83" s="1041"/>
      <c r="DG83" s="1042"/>
      <c r="DI83" s="1040"/>
      <c r="DJ83" s="1041"/>
      <c r="DK83" s="1041"/>
      <c r="DL83" s="1041"/>
      <c r="DM83" s="1041"/>
      <c r="DN83" s="1041"/>
      <c r="DO83" s="1041"/>
      <c r="DP83" s="1041"/>
      <c r="DQ83" s="1041"/>
      <c r="DR83" s="1041"/>
      <c r="DS83" s="1041"/>
      <c r="DT83" s="1041"/>
      <c r="DU83" s="1041"/>
      <c r="DV83" s="1041"/>
      <c r="DW83" s="1041"/>
      <c r="DX83" s="1041"/>
      <c r="DY83" s="1042"/>
      <c r="EA83" s="1083"/>
      <c r="EB83" s="1084"/>
      <c r="EC83" s="1084"/>
      <c r="ED83" s="1084"/>
      <c r="EE83" s="1084"/>
      <c r="EF83" s="1084"/>
      <c r="EG83" s="1084"/>
      <c r="EH83" s="1084"/>
      <c r="EI83" s="1084"/>
      <c r="EJ83" s="1084"/>
      <c r="EK83" s="1084"/>
      <c r="EL83" s="1085"/>
    </row>
    <row r="84" spans="1:142" ht="3.75" customHeight="1" x14ac:dyDescent="0.25">
      <c r="Q84" s="1054"/>
      <c r="R84" s="1055"/>
      <c r="S84" s="1055"/>
      <c r="T84" s="1055"/>
      <c r="U84" s="1056"/>
      <c r="W84" s="1034"/>
      <c r="X84" s="1096"/>
      <c r="Y84" s="1096"/>
      <c r="Z84" s="1096"/>
      <c r="AA84" s="1096"/>
      <c r="AB84" s="1096"/>
      <c r="AC84" s="1096"/>
      <c r="AD84" s="1096"/>
      <c r="AE84" s="1096"/>
      <c r="AF84" s="1096"/>
      <c r="AG84" s="1096"/>
      <c r="AH84" s="1096"/>
      <c r="AI84" s="1096"/>
      <c r="AJ84" s="1096"/>
      <c r="AK84" s="1036"/>
      <c r="AM84" s="1034"/>
      <c r="AN84" s="1035"/>
      <c r="AO84" s="1035"/>
      <c r="AP84" s="1035"/>
      <c r="AQ84" s="1035"/>
      <c r="AR84" s="1035"/>
      <c r="AS84" s="1035"/>
      <c r="AT84" s="1035"/>
      <c r="AU84" s="1035"/>
      <c r="AV84" s="1035"/>
      <c r="AW84" s="1035"/>
      <c r="AX84" s="1035"/>
      <c r="AY84" s="1035"/>
      <c r="AZ84" s="1035"/>
      <c r="BA84" s="1035"/>
      <c r="BB84" s="1036"/>
      <c r="BS84" s="73"/>
      <c r="CK84" s="1054"/>
      <c r="CL84" s="1055"/>
      <c r="CM84" s="1055"/>
      <c r="CN84" s="1055"/>
      <c r="CO84" s="1056"/>
      <c r="CQ84" s="1034"/>
      <c r="CR84" s="1035"/>
      <c r="CS84" s="1035"/>
      <c r="CT84" s="1035"/>
      <c r="CU84" s="1035"/>
      <c r="CV84" s="1035"/>
      <c r="CW84" s="1035"/>
      <c r="CX84" s="1035"/>
      <c r="CY84" s="1035"/>
      <c r="CZ84" s="1035"/>
      <c r="DA84" s="1035"/>
      <c r="DB84" s="1035"/>
      <c r="DC84" s="1035"/>
      <c r="DD84" s="1035"/>
      <c r="DE84" s="1035"/>
      <c r="DF84" s="1035"/>
      <c r="DG84" s="1036"/>
      <c r="DI84" s="1034"/>
      <c r="DJ84" s="1035"/>
      <c r="DK84" s="1035"/>
      <c r="DL84" s="1035"/>
      <c r="DM84" s="1035"/>
      <c r="DN84" s="1035"/>
      <c r="DO84" s="1035"/>
      <c r="DP84" s="1035"/>
      <c r="DQ84" s="1035"/>
      <c r="DR84" s="1035"/>
      <c r="DS84" s="1035"/>
      <c r="DT84" s="1035"/>
      <c r="DU84" s="1035"/>
      <c r="DV84" s="1035"/>
      <c r="DW84" s="1035"/>
      <c r="DX84" s="1035"/>
      <c r="DY84" s="1036"/>
      <c r="EA84" s="1078" t="s">
        <v>811</v>
      </c>
      <c r="EB84" s="1157"/>
      <c r="EC84" s="1157"/>
      <c r="ED84" s="1157"/>
      <c r="EE84" s="1157"/>
      <c r="EF84" s="1157"/>
      <c r="EG84" s="1157"/>
      <c r="EH84" s="1157"/>
      <c r="EI84" s="1157"/>
      <c r="EJ84" s="1157"/>
      <c r="EK84" s="1157"/>
      <c r="EL84" s="1080"/>
    </row>
    <row r="85" spans="1:142" ht="3.75" customHeight="1" x14ac:dyDescent="0.25">
      <c r="A85" s="1053"/>
      <c r="B85" s="1053"/>
      <c r="C85" s="1053"/>
      <c r="E85" s="1053"/>
      <c r="F85" s="1053"/>
      <c r="G85" s="1053"/>
      <c r="I85" s="1053"/>
      <c r="J85" s="1053"/>
      <c r="K85" s="1053"/>
      <c r="M85" s="1053"/>
      <c r="N85" s="1053"/>
      <c r="O85" s="1053"/>
      <c r="Q85" s="1057"/>
      <c r="R85" s="1058"/>
      <c r="S85" s="1058"/>
      <c r="T85" s="1058"/>
      <c r="U85" s="1059"/>
      <c r="W85" s="1037"/>
      <c r="X85" s="1038"/>
      <c r="Y85" s="1038"/>
      <c r="Z85" s="1038"/>
      <c r="AA85" s="1038"/>
      <c r="AB85" s="1038"/>
      <c r="AC85" s="1038"/>
      <c r="AD85" s="1038"/>
      <c r="AE85" s="1038"/>
      <c r="AF85" s="1038"/>
      <c r="AG85" s="1038"/>
      <c r="AH85" s="1038"/>
      <c r="AI85" s="1038"/>
      <c r="AJ85" s="1038"/>
      <c r="AK85" s="1039"/>
      <c r="AM85" s="1037"/>
      <c r="AN85" s="1038"/>
      <c r="AO85" s="1038"/>
      <c r="AP85" s="1038"/>
      <c r="AQ85" s="1038"/>
      <c r="AR85" s="1038"/>
      <c r="AS85" s="1038"/>
      <c r="AT85" s="1038"/>
      <c r="AU85" s="1038"/>
      <c r="AV85" s="1038"/>
      <c r="AW85" s="1038"/>
      <c r="AX85" s="1038"/>
      <c r="AY85" s="1038"/>
      <c r="AZ85" s="1038"/>
      <c r="BA85" s="1038"/>
      <c r="BB85" s="1039"/>
      <c r="BD85" s="1053"/>
      <c r="BE85" s="1053"/>
      <c r="BF85" s="1053"/>
      <c r="BH85" s="1053"/>
      <c r="BI85" s="1053"/>
      <c r="BJ85" s="1053"/>
      <c r="BL85" s="1053"/>
      <c r="BM85" s="1053"/>
      <c r="BN85" s="1053"/>
      <c r="BP85" s="1053"/>
      <c r="BQ85" s="1053"/>
      <c r="BR85" s="1053"/>
      <c r="BS85" s="73"/>
      <c r="BU85" s="1053"/>
      <c r="BV85" s="1053"/>
      <c r="BW85" s="1053"/>
      <c r="BY85" s="1053"/>
      <c r="BZ85" s="1053"/>
      <c r="CA85" s="1053"/>
      <c r="CC85" s="1053"/>
      <c r="CD85" s="1053"/>
      <c r="CE85" s="1053"/>
      <c r="CG85" s="1053"/>
      <c r="CH85" s="1053"/>
      <c r="CI85" s="1053"/>
      <c r="CK85" s="1057"/>
      <c r="CL85" s="1058"/>
      <c r="CM85" s="1058"/>
      <c r="CN85" s="1058"/>
      <c r="CO85" s="1059"/>
      <c r="CQ85" s="1037"/>
      <c r="CR85" s="1038"/>
      <c r="CS85" s="1038"/>
      <c r="CT85" s="1038"/>
      <c r="CU85" s="1038"/>
      <c r="CV85" s="1038"/>
      <c r="CW85" s="1038"/>
      <c r="CX85" s="1038"/>
      <c r="CY85" s="1038"/>
      <c r="CZ85" s="1038"/>
      <c r="DA85" s="1038"/>
      <c r="DB85" s="1038"/>
      <c r="DC85" s="1038"/>
      <c r="DD85" s="1038"/>
      <c r="DE85" s="1038"/>
      <c r="DF85" s="1038"/>
      <c r="DG85" s="1039"/>
      <c r="DI85" s="1037"/>
      <c r="DJ85" s="1038"/>
      <c r="DK85" s="1038"/>
      <c r="DL85" s="1038"/>
      <c r="DM85" s="1038"/>
      <c r="DN85" s="1038"/>
      <c r="DO85" s="1038"/>
      <c r="DP85" s="1038"/>
      <c r="DQ85" s="1038"/>
      <c r="DR85" s="1038"/>
      <c r="DS85" s="1038"/>
      <c r="DT85" s="1038"/>
      <c r="DU85" s="1038"/>
      <c r="DV85" s="1038"/>
      <c r="DW85" s="1038"/>
      <c r="DX85" s="1038"/>
      <c r="DY85" s="1039"/>
      <c r="EA85" s="1081"/>
      <c r="EB85" s="631"/>
      <c r="EC85" s="631"/>
      <c r="ED85" s="631"/>
      <c r="EE85" s="631"/>
      <c r="EF85" s="631"/>
      <c r="EG85" s="631"/>
      <c r="EH85" s="631"/>
      <c r="EI85" s="631"/>
      <c r="EJ85" s="631"/>
      <c r="EK85" s="631"/>
      <c r="EL85" s="1082"/>
    </row>
    <row r="86" spans="1:142" ht="3.75" customHeight="1" x14ac:dyDescent="0.25">
      <c r="A86" s="1053"/>
      <c r="B86" s="1053"/>
      <c r="C86" s="1053"/>
      <c r="E86" s="1053"/>
      <c r="F86" s="1053"/>
      <c r="G86" s="1053"/>
      <c r="I86" s="1053"/>
      <c r="J86" s="1053"/>
      <c r="K86" s="1053"/>
      <c r="M86" s="1053"/>
      <c r="N86" s="1053"/>
      <c r="O86" s="1053"/>
      <c r="Q86" s="1057"/>
      <c r="R86" s="1058"/>
      <c r="S86" s="1058"/>
      <c r="T86" s="1058"/>
      <c r="U86" s="1059"/>
      <c r="W86" s="1037"/>
      <c r="X86" s="1038"/>
      <c r="Y86" s="1038"/>
      <c r="Z86" s="1038"/>
      <c r="AA86" s="1038"/>
      <c r="AB86" s="1038"/>
      <c r="AC86" s="1038"/>
      <c r="AD86" s="1038"/>
      <c r="AE86" s="1038"/>
      <c r="AF86" s="1038"/>
      <c r="AG86" s="1038"/>
      <c r="AH86" s="1038"/>
      <c r="AI86" s="1038"/>
      <c r="AJ86" s="1038"/>
      <c r="AK86" s="1039"/>
      <c r="AM86" s="1037"/>
      <c r="AN86" s="1038"/>
      <c r="AO86" s="1038"/>
      <c r="AP86" s="1038"/>
      <c r="AQ86" s="1038"/>
      <c r="AR86" s="1038"/>
      <c r="AS86" s="1038"/>
      <c r="AT86" s="1038"/>
      <c r="AU86" s="1038"/>
      <c r="AV86" s="1038"/>
      <c r="AW86" s="1038"/>
      <c r="AX86" s="1038"/>
      <c r="AY86" s="1038"/>
      <c r="AZ86" s="1038"/>
      <c r="BA86" s="1038"/>
      <c r="BB86" s="1039"/>
      <c r="BD86" s="1053"/>
      <c r="BE86" s="1053"/>
      <c r="BF86" s="1053"/>
      <c r="BH86" s="1053"/>
      <c r="BI86" s="1053"/>
      <c r="BJ86" s="1053"/>
      <c r="BL86" s="1053"/>
      <c r="BM86" s="1053"/>
      <c r="BN86" s="1053"/>
      <c r="BP86" s="1053"/>
      <c r="BQ86" s="1053"/>
      <c r="BR86" s="1053"/>
      <c r="BS86" s="73"/>
      <c r="BU86" s="1053"/>
      <c r="BV86" s="1053"/>
      <c r="BW86" s="1053"/>
      <c r="BY86" s="1053"/>
      <c r="BZ86" s="1053"/>
      <c r="CA86" s="1053"/>
      <c r="CC86" s="1053"/>
      <c r="CD86" s="1053"/>
      <c r="CE86" s="1053"/>
      <c r="CG86" s="1053"/>
      <c r="CH86" s="1053"/>
      <c r="CI86" s="1053"/>
      <c r="CK86" s="1057"/>
      <c r="CL86" s="1058"/>
      <c r="CM86" s="1058"/>
      <c r="CN86" s="1058"/>
      <c r="CO86" s="1059"/>
      <c r="CQ86" s="1037"/>
      <c r="CR86" s="1038"/>
      <c r="CS86" s="1038"/>
      <c r="CT86" s="1038"/>
      <c r="CU86" s="1038"/>
      <c r="CV86" s="1038"/>
      <c r="CW86" s="1038"/>
      <c r="CX86" s="1038"/>
      <c r="CY86" s="1038"/>
      <c r="CZ86" s="1038"/>
      <c r="DA86" s="1038"/>
      <c r="DB86" s="1038"/>
      <c r="DC86" s="1038"/>
      <c r="DD86" s="1038"/>
      <c r="DE86" s="1038"/>
      <c r="DF86" s="1038"/>
      <c r="DG86" s="1039"/>
      <c r="DI86" s="1037"/>
      <c r="DJ86" s="1038"/>
      <c r="DK86" s="1038"/>
      <c r="DL86" s="1038"/>
      <c r="DM86" s="1038"/>
      <c r="DN86" s="1038"/>
      <c r="DO86" s="1038"/>
      <c r="DP86" s="1038"/>
      <c r="DQ86" s="1038"/>
      <c r="DR86" s="1038"/>
      <c r="DS86" s="1038"/>
      <c r="DT86" s="1038"/>
      <c r="DU86" s="1038"/>
      <c r="DV86" s="1038"/>
      <c r="DW86" s="1038"/>
      <c r="DX86" s="1038"/>
      <c r="DY86" s="1039"/>
      <c r="EA86" s="1081"/>
      <c r="EB86" s="631"/>
      <c r="EC86" s="631"/>
      <c r="ED86" s="631"/>
      <c r="EE86" s="631"/>
      <c r="EF86" s="631"/>
      <c r="EG86" s="631"/>
      <c r="EH86" s="631"/>
      <c r="EI86" s="631"/>
      <c r="EJ86" s="631"/>
      <c r="EK86" s="631"/>
      <c r="EL86" s="1082"/>
    </row>
    <row r="87" spans="1:142" ht="3.75" customHeight="1" x14ac:dyDescent="0.25">
      <c r="A87" s="1053"/>
      <c r="B87" s="1053"/>
      <c r="C87" s="1053"/>
      <c r="E87" s="1053"/>
      <c r="F87" s="1053"/>
      <c r="G87" s="1053"/>
      <c r="I87" s="1053"/>
      <c r="J87" s="1053"/>
      <c r="K87" s="1053"/>
      <c r="M87" s="1053"/>
      <c r="N87" s="1053"/>
      <c r="O87" s="1053"/>
      <c r="Q87" s="1057"/>
      <c r="R87" s="1058"/>
      <c r="S87" s="1058"/>
      <c r="T87" s="1058"/>
      <c r="U87" s="1059"/>
      <c r="W87" s="1037"/>
      <c r="X87" s="1038"/>
      <c r="Y87" s="1038"/>
      <c r="Z87" s="1038"/>
      <c r="AA87" s="1038"/>
      <c r="AB87" s="1038"/>
      <c r="AC87" s="1038"/>
      <c r="AD87" s="1038"/>
      <c r="AE87" s="1038"/>
      <c r="AF87" s="1038"/>
      <c r="AG87" s="1038"/>
      <c r="AH87" s="1038"/>
      <c r="AI87" s="1038"/>
      <c r="AJ87" s="1038"/>
      <c r="AK87" s="1039"/>
      <c r="AM87" s="1037"/>
      <c r="AN87" s="1038"/>
      <c r="AO87" s="1038"/>
      <c r="AP87" s="1038"/>
      <c r="AQ87" s="1038"/>
      <c r="AR87" s="1038"/>
      <c r="AS87" s="1038"/>
      <c r="AT87" s="1038"/>
      <c r="AU87" s="1038"/>
      <c r="AV87" s="1038"/>
      <c r="AW87" s="1038"/>
      <c r="AX87" s="1038"/>
      <c r="AY87" s="1038"/>
      <c r="AZ87" s="1038"/>
      <c r="BA87" s="1038"/>
      <c r="BB87" s="1039"/>
      <c r="BD87" s="1053"/>
      <c r="BE87" s="1053"/>
      <c r="BF87" s="1053"/>
      <c r="BH87" s="1053"/>
      <c r="BI87" s="1053"/>
      <c r="BJ87" s="1053"/>
      <c r="BL87" s="1053"/>
      <c r="BM87" s="1053"/>
      <c r="BN87" s="1053"/>
      <c r="BP87" s="1053"/>
      <c r="BQ87" s="1053"/>
      <c r="BR87" s="1053"/>
      <c r="BS87" s="73"/>
      <c r="BU87" s="1053"/>
      <c r="BV87" s="1053"/>
      <c r="BW87" s="1053"/>
      <c r="BY87" s="1053"/>
      <c r="BZ87" s="1053"/>
      <c r="CA87" s="1053"/>
      <c r="CC87" s="1053"/>
      <c r="CD87" s="1053"/>
      <c r="CE87" s="1053"/>
      <c r="CG87" s="1053"/>
      <c r="CH87" s="1053"/>
      <c r="CI87" s="1053"/>
      <c r="CK87" s="1057"/>
      <c r="CL87" s="1058"/>
      <c r="CM87" s="1058"/>
      <c r="CN87" s="1058"/>
      <c r="CO87" s="1059"/>
      <c r="CQ87" s="1037"/>
      <c r="CR87" s="1038"/>
      <c r="CS87" s="1038"/>
      <c r="CT87" s="1038"/>
      <c r="CU87" s="1038"/>
      <c r="CV87" s="1038"/>
      <c r="CW87" s="1038"/>
      <c r="CX87" s="1038"/>
      <c r="CY87" s="1038"/>
      <c r="CZ87" s="1038"/>
      <c r="DA87" s="1038"/>
      <c r="DB87" s="1038"/>
      <c r="DC87" s="1038"/>
      <c r="DD87" s="1038"/>
      <c r="DE87" s="1038"/>
      <c r="DF87" s="1038"/>
      <c r="DG87" s="1039"/>
      <c r="DI87" s="1037"/>
      <c r="DJ87" s="1038"/>
      <c r="DK87" s="1038"/>
      <c r="DL87" s="1038"/>
      <c r="DM87" s="1038"/>
      <c r="DN87" s="1038"/>
      <c r="DO87" s="1038"/>
      <c r="DP87" s="1038"/>
      <c r="DQ87" s="1038"/>
      <c r="DR87" s="1038"/>
      <c r="DS87" s="1038"/>
      <c r="DT87" s="1038"/>
      <c r="DU87" s="1038"/>
      <c r="DV87" s="1038"/>
      <c r="DW87" s="1038"/>
      <c r="DX87" s="1038"/>
      <c r="DY87" s="1039"/>
      <c r="EA87" s="1081"/>
      <c r="EB87" s="631"/>
      <c r="EC87" s="631"/>
      <c r="ED87" s="631"/>
      <c r="EE87" s="631"/>
      <c r="EF87" s="631"/>
      <c r="EG87" s="631"/>
      <c r="EH87" s="631"/>
      <c r="EI87" s="631"/>
      <c r="EJ87" s="631"/>
      <c r="EK87" s="631"/>
      <c r="EL87" s="1082"/>
    </row>
    <row r="88" spans="1:142" ht="3.75" customHeight="1" x14ac:dyDescent="0.25">
      <c r="Q88" s="1060"/>
      <c r="R88" s="1061"/>
      <c r="S88" s="1061"/>
      <c r="T88" s="1061"/>
      <c r="U88" s="1062"/>
      <c r="W88" s="1040"/>
      <c r="X88" s="1041"/>
      <c r="Y88" s="1041"/>
      <c r="Z88" s="1041"/>
      <c r="AA88" s="1041"/>
      <c r="AB88" s="1041"/>
      <c r="AC88" s="1041"/>
      <c r="AD88" s="1041"/>
      <c r="AE88" s="1041"/>
      <c r="AF88" s="1041"/>
      <c r="AG88" s="1041"/>
      <c r="AH88" s="1041"/>
      <c r="AI88" s="1041"/>
      <c r="AJ88" s="1041"/>
      <c r="AK88" s="1042"/>
      <c r="AM88" s="1040"/>
      <c r="AN88" s="1041"/>
      <c r="AO88" s="1041"/>
      <c r="AP88" s="1041"/>
      <c r="AQ88" s="1041"/>
      <c r="AR88" s="1041"/>
      <c r="AS88" s="1041"/>
      <c r="AT88" s="1041"/>
      <c r="AU88" s="1041"/>
      <c r="AV88" s="1041"/>
      <c r="AW88" s="1041"/>
      <c r="AX88" s="1041"/>
      <c r="AY88" s="1041"/>
      <c r="AZ88" s="1041"/>
      <c r="BA88" s="1041"/>
      <c r="BB88" s="1042"/>
      <c r="BS88" s="73"/>
      <c r="CK88" s="1060"/>
      <c r="CL88" s="1061"/>
      <c r="CM88" s="1061"/>
      <c r="CN88" s="1061"/>
      <c r="CO88" s="1062"/>
      <c r="CQ88" s="1040"/>
      <c r="CR88" s="1041"/>
      <c r="CS88" s="1041"/>
      <c r="CT88" s="1041"/>
      <c r="CU88" s="1041"/>
      <c r="CV88" s="1041"/>
      <c r="CW88" s="1041"/>
      <c r="CX88" s="1041"/>
      <c r="CY88" s="1041"/>
      <c r="CZ88" s="1041"/>
      <c r="DA88" s="1041"/>
      <c r="DB88" s="1041"/>
      <c r="DC88" s="1041"/>
      <c r="DD88" s="1041"/>
      <c r="DE88" s="1041"/>
      <c r="DF88" s="1041"/>
      <c r="DG88" s="1042"/>
      <c r="DI88" s="1040"/>
      <c r="DJ88" s="1041"/>
      <c r="DK88" s="1041"/>
      <c r="DL88" s="1041"/>
      <c r="DM88" s="1041"/>
      <c r="DN88" s="1041"/>
      <c r="DO88" s="1041"/>
      <c r="DP88" s="1041"/>
      <c r="DQ88" s="1041"/>
      <c r="DR88" s="1041"/>
      <c r="DS88" s="1041"/>
      <c r="DT88" s="1041"/>
      <c r="DU88" s="1041"/>
      <c r="DV88" s="1041"/>
      <c r="DW88" s="1041"/>
      <c r="DX88" s="1041"/>
      <c r="DY88" s="1042"/>
      <c r="EA88" s="1083"/>
      <c r="EB88" s="1084"/>
      <c r="EC88" s="1084"/>
      <c r="ED88" s="1084"/>
      <c r="EE88" s="1084"/>
      <c r="EF88" s="1084"/>
      <c r="EG88" s="1084"/>
      <c r="EH88" s="1084"/>
      <c r="EI88" s="1084"/>
      <c r="EJ88" s="1084"/>
      <c r="EK88" s="1084"/>
      <c r="EL88" s="1085"/>
    </row>
    <row r="89" spans="1:142" ht="3.75" customHeight="1" x14ac:dyDescent="0.25">
      <c r="Q89" s="1054"/>
      <c r="R89" s="1055"/>
      <c r="S89" s="1055"/>
      <c r="T89" s="1055"/>
      <c r="U89" s="1056"/>
      <c r="W89" s="1034"/>
      <c r="X89" s="1096"/>
      <c r="Y89" s="1096"/>
      <c r="Z89" s="1096"/>
      <c r="AA89" s="1096"/>
      <c r="AB89" s="1096"/>
      <c r="AC89" s="1096"/>
      <c r="AD89" s="1096"/>
      <c r="AE89" s="1096"/>
      <c r="AF89" s="1096"/>
      <c r="AG89" s="1096"/>
      <c r="AH89" s="1096"/>
      <c r="AI89" s="1096"/>
      <c r="AJ89" s="1096"/>
      <c r="AK89" s="1036"/>
      <c r="AM89" s="1034"/>
      <c r="AN89" s="1035"/>
      <c r="AO89" s="1035"/>
      <c r="AP89" s="1035"/>
      <c r="AQ89" s="1035"/>
      <c r="AR89" s="1035"/>
      <c r="AS89" s="1035"/>
      <c r="AT89" s="1035"/>
      <c r="AU89" s="1035"/>
      <c r="AV89" s="1035"/>
      <c r="AW89" s="1035"/>
      <c r="AX89" s="1035"/>
      <c r="AY89" s="1035"/>
      <c r="AZ89" s="1035"/>
      <c r="BA89" s="1035"/>
      <c r="BB89" s="1036"/>
      <c r="BS89" s="73"/>
      <c r="CK89" s="1054"/>
      <c r="CL89" s="1055"/>
      <c r="CM89" s="1055"/>
      <c r="CN89" s="1055"/>
      <c r="CO89" s="1056"/>
      <c r="CQ89" s="1034"/>
      <c r="CR89" s="1035"/>
      <c r="CS89" s="1035"/>
      <c r="CT89" s="1035"/>
      <c r="CU89" s="1035"/>
      <c r="CV89" s="1035"/>
      <c r="CW89" s="1035"/>
      <c r="CX89" s="1035"/>
      <c r="CY89" s="1035"/>
      <c r="CZ89" s="1035"/>
      <c r="DA89" s="1035"/>
      <c r="DB89" s="1035"/>
      <c r="DC89" s="1035"/>
      <c r="DD89" s="1035"/>
      <c r="DE89" s="1035"/>
      <c r="DF89" s="1035"/>
      <c r="DG89" s="1036"/>
      <c r="DI89" s="1034"/>
      <c r="DJ89" s="1035"/>
      <c r="DK89" s="1035"/>
      <c r="DL89" s="1035"/>
      <c r="DM89" s="1035"/>
      <c r="DN89" s="1035"/>
      <c r="DO89" s="1035"/>
      <c r="DP89" s="1035"/>
      <c r="DQ89" s="1035"/>
      <c r="DR89" s="1035"/>
      <c r="DS89" s="1035"/>
      <c r="DT89" s="1035"/>
      <c r="DU89" s="1035"/>
      <c r="DV89" s="1035"/>
      <c r="DW89" s="1035"/>
      <c r="DX89" s="1035"/>
      <c r="DY89" s="1036"/>
      <c r="EA89" s="1078" t="s">
        <v>811</v>
      </c>
      <c r="EB89" s="1157"/>
      <c r="EC89" s="1157"/>
      <c r="ED89" s="1157"/>
      <c r="EE89" s="1157"/>
      <c r="EF89" s="1157"/>
      <c r="EG89" s="1157"/>
      <c r="EH89" s="1157"/>
      <c r="EI89" s="1157"/>
      <c r="EJ89" s="1157"/>
      <c r="EK89" s="1157"/>
      <c r="EL89" s="1080"/>
    </row>
    <row r="90" spans="1:142" ht="3.75" customHeight="1" x14ac:dyDescent="0.25">
      <c r="A90" s="1053"/>
      <c r="B90" s="1053"/>
      <c r="C90" s="1053"/>
      <c r="E90" s="1053"/>
      <c r="F90" s="1053"/>
      <c r="G90" s="1053"/>
      <c r="I90" s="1053"/>
      <c r="J90" s="1053"/>
      <c r="K90" s="1053"/>
      <c r="M90" s="1053"/>
      <c r="N90" s="1053"/>
      <c r="O90" s="1053"/>
      <c r="Q90" s="1057"/>
      <c r="R90" s="1058"/>
      <c r="S90" s="1058"/>
      <c r="T90" s="1058"/>
      <c r="U90" s="1059"/>
      <c r="W90" s="1037"/>
      <c r="X90" s="1038"/>
      <c r="Y90" s="1038"/>
      <c r="Z90" s="1038"/>
      <c r="AA90" s="1038"/>
      <c r="AB90" s="1038"/>
      <c r="AC90" s="1038"/>
      <c r="AD90" s="1038"/>
      <c r="AE90" s="1038"/>
      <c r="AF90" s="1038"/>
      <c r="AG90" s="1038"/>
      <c r="AH90" s="1038"/>
      <c r="AI90" s="1038"/>
      <c r="AJ90" s="1038"/>
      <c r="AK90" s="1039"/>
      <c r="AM90" s="1037"/>
      <c r="AN90" s="1038"/>
      <c r="AO90" s="1038"/>
      <c r="AP90" s="1038"/>
      <c r="AQ90" s="1038"/>
      <c r="AR90" s="1038"/>
      <c r="AS90" s="1038"/>
      <c r="AT90" s="1038"/>
      <c r="AU90" s="1038"/>
      <c r="AV90" s="1038"/>
      <c r="AW90" s="1038"/>
      <c r="AX90" s="1038"/>
      <c r="AY90" s="1038"/>
      <c r="AZ90" s="1038"/>
      <c r="BA90" s="1038"/>
      <c r="BB90" s="1039"/>
      <c r="BD90" s="1053"/>
      <c r="BE90" s="1053"/>
      <c r="BF90" s="1053"/>
      <c r="BH90" s="1053"/>
      <c r="BI90" s="1053"/>
      <c r="BJ90" s="1053"/>
      <c r="BL90" s="1053"/>
      <c r="BM90" s="1053"/>
      <c r="BN90" s="1053"/>
      <c r="BP90" s="1053"/>
      <c r="BQ90" s="1053"/>
      <c r="BR90" s="1053"/>
      <c r="BS90" s="73"/>
      <c r="BU90" s="1053"/>
      <c r="BV90" s="1053"/>
      <c r="BW90" s="1053"/>
      <c r="BY90" s="1053"/>
      <c r="BZ90" s="1053"/>
      <c r="CA90" s="1053"/>
      <c r="CC90" s="1053"/>
      <c r="CD90" s="1053"/>
      <c r="CE90" s="1053"/>
      <c r="CG90" s="1053"/>
      <c r="CH90" s="1053"/>
      <c r="CI90" s="1053"/>
      <c r="CK90" s="1057"/>
      <c r="CL90" s="1058"/>
      <c r="CM90" s="1058"/>
      <c r="CN90" s="1058"/>
      <c r="CO90" s="1059"/>
      <c r="CQ90" s="1037"/>
      <c r="CR90" s="1038"/>
      <c r="CS90" s="1038"/>
      <c r="CT90" s="1038"/>
      <c r="CU90" s="1038"/>
      <c r="CV90" s="1038"/>
      <c r="CW90" s="1038"/>
      <c r="CX90" s="1038"/>
      <c r="CY90" s="1038"/>
      <c r="CZ90" s="1038"/>
      <c r="DA90" s="1038"/>
      <c r="DB90" s="1038"/>
      <c r="DC90" s="1038"/>
      <c r="DD90" s="1038"/>
      <c r="DE90" s="1038"/>
      <c r="DF90" s="1038"/>
      <c r="DG90" s="1039"/>
      <c r="DI90" s="1037"/>
      <c r="DJ90" s="1038"/>
      <c r="DK90" s="1038"/>
      <c r="DL90" s="1038"/>
      <c r="DM90" s="1038"/>
      <c r="DN90" s="1038"/>
      <c r="DO90" s="1038"/>
      <c r="DP90" s="1038"/>
      <c r="DQ90" s="1038"/>
      <c r="DR90" s="1038"/>
      <c r="DS90" s="1038"/>
      <c r="DT90" s="1038"/>
      <c r="DU90" s="1038"/>
      <c r="DV90" s="1038"/>
      <c r="DW90" s="1038"/>
      <c r="DX90" s="1038"/>
      <c r="DY90" s="1039"/>
      <c r="EA90" s="1081"/>
      <c r="EB90" s="631"/>
      <c r="EC90" s="631"/>
      <c r="ED90" s="631"/>
      <c r="EE90" s="631"/>
      <c r="EF90" s="631"/>
      <c r="EG90" s="631"/>
      <c r="EH90" s="631"/>
      <c r="EI90" s="631"/>
      <c r="EJ90" s="631"/>
      <c r="EK90" s="631"/>
      <c r="EL90" s="1082"/>
    </row>
    <row r="91" spans="1:142" ht="3.75" customHeight="1" x14ac:dyDescent="0.25">
      <c r="A91" s="1053"/>
      <c r="B91" s="1053"/>
      <c r="C91" s="1053"/>
      <c r="E91" s="1053"/>
      <c r="F91" s="1053"/>
      <c r="G91" s="1053"/>
      <c r="I91" s="1053"/>
      <c r="J91" s="1053"/>
      <c r="K91" s="1053"/>
      <c r="M91" s="1053"/>
      <c r="N91" s="1053"/>
      <c r="O91" s="1053"/>
      <c r="Q91" s="1057"/>
      <c r="R91" s="1058"/>
      <c r="S91" s="1058"/>
      <c r="T91" s="1058"/>
      <c r="U91" s="1059"/>
      <c r="W91" s="1037"/>
      <c r="X91" s="1038"/>
      <c r="Y91" s="1038"/>
      <c r="Z91" s="1038"/>
      <c r="AA91" s="1038"/>
      <c r="AB91" s="1038"/>
      <c r="AC91" s="1038"/>
      <c r="AD91" s="1038"/>
      <c r="AE91" s="1038"/>
      <c r="AF91" s="1038"/>
      <c r="AG91" s="1038"/>
      <c r="AH91" s="1038"/>
      <c r="AI91" s="1038"/>
      <c r="AJ91" s="1038"/>
      <c r="AK91" s="1039"/>
      <c r="AM91" s="1037"/>
      <c r="AN91" s="1038"/>
      <c r="AO91" s="1038"/>
      <c r="AP91" s="1038"/>
      <c r="AQ91" s="1038"/>
      <c r="AR91" s="1038"/>
      <c r="AS91" s="1038"/>
      <c r="AT91" s="1038"/>
      <c r="AU91" s="1038"/>
      <c r="AV91" s="1038"/>
      <c r="AW91" s="1038"/>
      <c r="AX91" s="1038"/>
      <c r="AY91" s="1038"/>
      <c r="AZ91" s="1038"/>
      <c r="BA91" s="1038"/>
      <c r="BB91" s="1039"/>
      <c r="BD91" s="1053"/>
      <c r="BE91" s="1053"/>
      <c r="BF91" s="1053"/>
      <c r="BH91" s="1053"/>
      <c r="BI91" s="1053"/>
      <c r="BJ91" s="1053"/>
      <c r="BL91" s="1053"/>
      <c r="BM91" s="1053"/>
      <c r="BN91" s="1053"/>
      <c r="BP91" s="1053"/>
      <c r="BQ91" s="1053"/>
      <c r="BR91" s="1053"/>
      <c r="BS91" s="73"/>
      <c r="BU91" s="1053"/>
      <c r="BV91" s="1053"/>
      <c r="BW91" s="1053"/>
      <c r="BY91" s="1053"/>
      <c r="BZ91" s="1053"/>
      <c r="CA91" s="1053"/>
      <c r="CC91" s="1053"/>
      <c r="CD91" s="1053"/>
      <c r="CE91" s="1053"/>
      <c r="CG91" s="1053"/>
      <c r="CH91" s="1053"/>
      <c r="CI91" s="1053"/>
      <c r="CK91" s="1057"/>
      <c r="CL91" s="1058"/>
      <c r="CM91" s="1058"/>
      <c r="CN91" s="1058"/>
      <c r="CO91" s="1059"/>
      <c r="CQ91" s="1037"/>
      <c r="CR91" s="1038"/>
      <c r="CS91" s="1038"/>
      <c r="CT91" s="1038"/>
      <c r="CU91" s="1038"/>
      <c r="CV91" s="1038"/>
      <c r="CW91" s="1038"/>
      <c r="CX91" s="1038"/>
      <c r="CY91" s="1038"/>
      <c r="CZ91" s="1038"/>
      <c r="DA91" s="1038"/>
      <c r="DB91" s="1038"/>
      <c r="DC91" s="1038"/>
      <c r="DD91" s="1038"/>
      <c r="DE91" s="1038"/>
      <c r="DF91" s="1038"/>
      <c r="DG91" s="1039"/>
      <c r="DI91" s="1037"/>
      <c r="DJ91" s="1038"/>
      <c r="DK91" s="1038"/>
      <c r="DL91" s="1038"/>
      <c r="DM91" s="1038"/>
      <c r="DN91" s="1038"/>
      <c r="DO91" s="1038"/>
      <c r="DP91" s="1038"/>
      <c r="DQ91" s="1038"/>
      <c r="DR91" s="1038"/>
      <c r="DS91" s="1038"/>
      <c r="DT91" s="1038"/>
      <c r="DU91" s="1038"/>
      <c r="DV91" s="1038"/>
      <c r="DW91" s="1038"/>
      <c r="DX91" s="1038"/>
      <c r="DY91" s="1039"/>
      <c r="EA91" s="1081"/>
      <c r="EB91" s="631"/>
      <c r="EC91" s="631"/>
      <c r="ED91" s="631"/>
      <c r="EE91" s="631"/>
      <c r="EF91" s="631"/>
      <c r="EG91" s="631"/>
      <c r="EH91" s="631"/>
      <c r="EI91" s="631"/>
      <c r="EJ91" s="631"/>
      <c r="EK91" s="631"/>
      <c r="EL91" s="1082"/>
    </row>
    <row r="92" spans="1:142" ht="3.75" customHeight="1" x14ac:dyDescent="0.25">
      <c r="A92" s="1053"/>
      <c r="B92" s="1053"/>
      <c r="C92" s="1053"/>
      <c r="E92" s="1053"/>
      <c r="F92" s="1053"/>
      <c r="G92" s="1053"/>
      <c r="I92" s="1053"/>
      <c r="J92" s="1053"/>
      <c r="K92" s="1053"/>
      <c r="M92" s="1053"/>
      <c r="N92" s="1053"/>
      <c r="O92" s="1053"/>
      <c r="Q92" s="1057"/>
      <c r="R92" s="1058"/>
      <c r="S92" s="1058"/>
      <c r="T92" s="1058"/>
      <c r="U92" s="1059"/>
      <c r="W92" s="1037"/>
      <c r="X92" s="1038"/>
      <c r="Y92" s="1038"/>
      <c r="Z92" s="1038"/>
      <c r="AA92" s="1038"/>
      <c r="AB92" s="1038"/>
      <c r="AC92" s="1038"/>
      <c r="AD92" s="1038"/>
      <c r="AE92" s="1038"/>
      <c r="AF92" s="1038"/>
      <c r="AG92" s="1038"/>
      <c r="AH92" s="1038"/>
      <c r="AI92" s="1038"/>
      <c r="AJ92" s="1038"/>
      <c r="AK92" s="1039"/>
      <c r="AM92" s="1037"/>
      <c r="AN92" s="1038"/>
      <c r="AO92" s="1038"/>
      <c r="AP92" s="1038"/>
      <c r="AQ92" s="1038"/>
      <c r="AR92" s="1038"/>
      <c r="AS92" s="1038"/>
      <c r="AT92" s="1038"/>
      <c r="AU92" s="1038"/>
      <c r="AV92" s="1038"/>
      <c r="AW92" s="1038"/>
      <c r="AX92" s="1038"/>
      <c r="AY92" s="1038"/>
      <c r="AZ92" s="1038"/>
      <c r="BA92" s="1038"/>
      <c r="BB92" s="1039"/>
      <c r="BD92" s="1053"/>
      <c r="BE92" s="1053"/>
      <c r="BF92" s="1053"/>
      <c r="BH92" s="1053"/>
      <c r="BI92" s="1053"/>
      <c r="BJ92" s="1053"/>
      <c r="BL92" s="1053"/>
      <c r="BM92" s="1053"/>
      <c r="BN92" s="1053"/>
      <c r="BP92" s="1053"/>
      <c r="BQ92" s="1053"/>
      <c r="BR92" s="1053"/>
      <c r="BS92" s="73"/>
      <c r="BU92" s="1053"/>
      <c r="BV92" s="1053"/>
      <c r="BW92" s="1053"/>
      <c r="BY92" s="1053"/>
      <c r="BZ92" s="1053"/>
      <c r="CA92" s="1053"/>
      <c r="CC92" s="1053"/>
      <c r="CD92" s="1053"/>
      <c r="CE92" s="1053"/>
      <c r="CG92" s="1053"/>
      <c r="CH92" s="1053"/>
      <c r="CI92" s="1053"/>
      <c r="CK92" s="1057"/>
      <c r="CL92" s="1058"/>
      <c r="CM92" s="1058"/>
      <c r="CN92" s="1058"/>
      <c r="CO92" s="1059"/>
      <c r="CQ92" s="1037"/>
      <c r="CR92" s="1038"/>
      <c r="CS92" s="1038"/>
      <c r="CT92" s="1038"/>
      <c r="CU92" s="1038"/>
      <c r="CV92" s="1038"/>
      <c r="CW92" s="1038"/>
      <c r="CX92" s="1038"/>
      <c r="CY92" s="1038"/>
      <c r="CZ92" s="1038"/>
      <c r="DA92" s="1038"/>
      <c r="DB92" s="1038"/>
      <c r="DC92" s="1038"/>
      <c r="DD92" s="1038"/>
      <c r="DE92" s="1038"/>
      <c r="DF92" s="1038"/>
      <c r="DG92" s="1039"/>
      <c r="DI92" s="1037"/>
      <c r="DJ92" s="1038"/>
      <c r="DK92" s="1038"/>
      <c r="DL92" s="1038"/>
      <c r="DM92" s="1038"/>
      <c r="DN92" s="1038"/>
      <c r="DO92" s="1038"/>
      <c r="DP92" s="1038"/>
      <c r="DQ92" s="1038"/>
      <c r="DR92" s="1038"/>
      <c r="DS92" s="1038"/>
      <c r="DT92" s="1038"/>
      <c r="DU92" s="1038"/>
      <c r="DV92" s="1038"/>
      <c r="DW92" s="1038"/>
      <c r="DX92" s="1038"/>
      <c r="DY92" s="1039"/>
      <c r="EA92" s="1081"/>
      <c r="EB92" s="631"/>
      <c r="EC92" s="631"/>
      <c r="ED92" s="631"/>
      <c r="EE92" s="631"/>
      <c r="EF92" s="631"/>
      <c r="EG92" s="631"/>
      <c r="EH92" s="631"/>
      <c r="EI92" s="631"/>
      <c r="EJ92" s="631"/>
      <c r="EK92" s="631"/>
      <c r="EL92" s="1082"/>
    </row>
    <row r="93" spans="1:142" ht="3.75" customHeight="1" x14ac:dyDescent="0.25">
      <c r="Q93" s="1060"/>
      <c r="R93" s="1061"/>
      <c r="S93" s="1061"/>
      <c r="T93" s="1061"/>
      <c r="U93" s="1062"/>
      <c r="W93" s="1040"/>
      <c r="X93" s="1041"/>
      <c r="Y93" s="1041"/>
      <c r="Z93" s="1041"/>
      <c r="AA93" s="1041"/>
      <c r="AB93" s="1041"/>
      <c r="AC93" s="1041"/>
      <c r="AD93" s="1041"/>
      <c r="AE93" s="1041"/>
      <c r="AF93" s="1041"/>
      <c r="AG93" s="1041"/>
      <c r="AH93" s="1041"/>
      <c r="AI93" s="1041"/>
      <c r="AJ93" s="1041"/>
      <c r="AK93" s="1042"/>
      <c r="AM93" s="1040"/>
      <c r="AN93" s="1041"/>
      <c r="AO93" s="1041"/>
      <c r="AP93" s="1041"/>
      <c r="AQ93" s="1041"/>
      <c r="AR93" s="1041"/>
      <c r="AS93" s="1041"/>
      <c r="AT93" s="1041"/>
      <c r="AU93" s="1041"/>
      <c r="AV93" s="1041"/>
      <c r="AW93" s="1041"/>
      <c r="AX93" s="1041"/>
      <c r="AY93" s="1041"/>
      <c r="AZ93" s="1041"/>
      <c r="BA93" s="1041"/>
      <c r="BB93" s="1042"/>
      <c r="BS93" s="73"/>
      <c r="CK93" s="1060"/>
      <c r="CL93" s="1061"/>
      <c r="CM93" s="1061"/>
      <c r="CN93" s="1061"/>
      <c r="CO93" s="1062"/>
      <c r="CQ93" s="1040"/>
      <c r="CR93" s="1041"/>
      <c r="CS93" s="1041"/>
      <c r="CT93" s="1041"/>
      <c r="CU93" s="1041"/>
      <c r="CV93" s="1041"/>
      <c r="CW93" s="1041"/>
      <c r="CX93" s="1041"/>
      <c r="CY93" s="1041"/>
      <c r="CZ93" s="1041"/>
      <c r="DA93" s="1041"/>
      <c r="DB93" s="1041"/>
      <c r="DC93" s="1041"/>
      <c r="DD93" s="1041"/>
      <c r="DE93" s="1041"/>
      <c r="DF93" s="1041"/>
      <c r="DG93" s="1042"/>
      <c r="DI93" s="1040"/>
      <c r="DJ93" s="1041"/>
      <c r="DK93" s="1041"/>
      <c r="DL93" s="1041"/>
      <c r="DM93" s="1041"/>
      <c r="DN93" s="1041"/>
      <c r="DO93" s="1041"/>
      <c r="DP93" s="1041"/>
      <c r="DQ93" s="1041"/>
      <c r="DR93" s="1041"/>
      <c r="DS93" s="1041"/>
      <c r="DT93" s="1041"/>
      <c r="DU93" s="1041"/>
      <c r="DV93" s="1041"/>
      <c r="DW93" s="1041"/>
      <c r="DX93" s="1041"/>
      <c r="DY93" s="1042"/>
      <c r="EA93" s="1083"/>
      <c r="EB93" s="1084"/>
      <c r="EC93" s="1084"/>
      <c r="ED93" s="1084"/>
      <c r="EE93" s="1084"/>
      <c r="EF93" s="1084"/>
      <c r="EG93" s="1084"/>
      <c r="EH93" s="1084"/>
      <c r="EI93" s="1084"/>
      <c r="EJ93" s="1084"/>
      <c r="EK93" s="1084"/>
      <c r="EL93" s="1085"/>
    </row>
    <row r="94" spans="1:142" ht="3.75" customHeight="1" x14ac:dyDescent="0.25">
      <c r="Q94" s="1054"/>
      <c r="R94" s="1055"/>
      <c r="S94" s="1055"/>
      <c r="T94" s="1055"/>
      <c r="U94" s="1056"/>
      <c r="W94" s="1034"/>
      <c r="X94" s="1096"/>
      <c r="Y94" s="1096"/>
      <c r="Z94" s="1096"/>
      <c r="AA94" s="1096"/>
      <c r="AB94" s="1096"/>
      <c r="AC94" s="1096"/>
      <c r="AD94" s="1096"/>
      <c r="AE94" s="1096"/>
      <c r="AF94" s="1096"/>
      <c r="AG94" s="1096"/>
      <c r="AH94" s="1096"/>
      <c r="AI94" s="1096"/>
      <c r="AJ94" s="1096"/>
      <c r="AK94" s="1036"/>
      <c r="AM94" s="1034"/>
      <c r="AN94" s="1035"/>
      <c r="AO94" s="1035"/>
      <c r="AP94" s="1035"/>
      <c r="AQ94" s="1035"/>
      <c r="AR94" s="1035"/>
      <c r="AS94" s="1035"/>
      <c r="AT94" s="1035"/>
      <c r="AU94" s="1035"/>
      <c r="AV94" s="1035"/>
      <c r="AW94" s="1035"/>
      <c r="AX94" s="1035"/>
      <c r="AY94" s="1035"/>
      <c r="AZ94" s="1035"/>
      <c r="BA94" s="1035"/>
      <c r="BB94" s="1036"/>
      <c r="BS94" s="73"/>
      <c r="CK94" s="1054"/>
      <c r="CL94" s="1055"/>
      <c r="CM94" s="1055"/>
      <c r="CN94" s="1055"/>
      <c r="CO94" s="1056"/>
      <c r="CQ94" s="1034"/>
      <c r="CR94" s="1035"/>
      <c r="CS94" s="1035"/>
      <c r="CT94" s="1035"/>
      <c r="CU94" s="1035"/>
      <c r="CV94" s="1035"/>
      <c r="CW94" s="1035"/>
      <c r="CX94" s="1035"/>
      <c r="CY94" s="1035"/>
      <c r="CZ94" s="1035"/>
      <c r="DA94" s="1035"/>
      <c r="DB94" s="1035"/>
      <c r="DC94" s="1035"/>
      <c r="DD94" s="1035"/>
      <c r="DE94" s="1035"/>
      <c r="DF94" s="1035"/>
      <c r="DG94" s="1036"/>
      <c r="DI94" s="1034"/>
      <c r="DJ94" s="1035"/>
      <c r="DK94" s="1035"/>
      <c r="DL94" s="1035"/>
      <c r="DM94" s="1035"/>
      <c r="DN94" s="1035"/>
      <c r="DO94" s="1035"/>
      <c r="DP94" s="1035"/>
      <c r="DQ94" s="1035"/>
      <c r="DR94" s="1035"/>
      <c r="DS94" s="1035"/>
      <c r="DT94" s="1035"/>
      <c r="DU94" s="1035"/>
      <c r="DV94" s="1035"/>
      <c r="DW94" s="1035"/>
      <c r="DX94" s="1035"/>
      <c r="DY94" s="1036"/>
      <c r="EA94" s="1078" t="s">
        <v>811</v>
      </c>
      <c r="EB94" s="1157"/>
      <c r="EC94" s="1157"/>
      <c r="ED94" s="1157"/>
      <c r="EE94" s="1157"/>
      <c r="EF94" s="1157"/>
      <c r="EG94" s="1157"/>
      <c r="EH94" s="1157"/>
      <c r="EI94" s="1157"/>
      <c r="EJ94" s="1157"/>
      <c r="EK94" s="1157"/>
      <c r="EL94" s="1080"/>
    </row>
    <row r="95" spans="1:142" ht="3.75" customHeight="1" x14ac:dyDescent="0.25">
      <c r="A95" s="1053"/>
      <c r="B95" s="1053"/>
      <c r="C95" s="1053"/>
      <c r="E95" s="1053"/>
      <c r="F95" s="1053"/>
      <c r="G95" s="1053"/>
      <c r="I95" s="1053"/>
      <c r="J95" s="1053"/>
      <c r="K95" s="1053"/>
      <c r="M95" s="1053"/>
      <c r="N95" s="1053"/>
      <c r="O95" s="1053"/>
      <c r="Q95" s="1057"/>
      <c r="R95" s="1058"/>
      <c r="S95" s="1058"/>
      <c r="T95" s="1058"/>
      <c r="U95" s="1059"/>
      <c r="W95" s="1037"/>
      <c r="X95" s="1038"/>
      <c r="Y95" s="1038"/>
      <c r="Z95" s="1038"/>
      <c r="AA95" s="1038"/>
      <c r="AB95" s="1038"/>
      <c r="AC95" s="1038"/>
      <c r="AD95" s="1038"/>
      <c r="AE95" s="1038"/>
      <c r="AF95" s="1038"/>
      <c r="AG95" s="1038"/>
      <c r="AH95" s="1038"/>
      <c r="AI95" s="1038"/>
      <c r="AJ95" s="1038"/>
      <c r="AK95" s="1039"/>
      <c r="AM95" s="1037"/>
      <c r="AN95" s="1038"/>
      <c r="AO95" s="1038"/>
      <c r="AP95" s="1038"/>
      <c r="AQ95" s="1038"/>
      <c r="AR95" s="1038"/>
      <c r="AS95" s="1038"/>
      <c r="AT95" s="1038"/>
      <c r="AU95" s="1038"/>
      <c r="AV95" s="1038"/>
      <c r="AW95" s="1038"/>
      <c r="AX95" s="1038"/>
      <c r="AY95" s="1038"/>
      <c r="AZ95" s="1038"/>
      <c r="BA95" s="1038"/>
      <c r="BB95" s="1039"/>
      <c r="BD95" s="1053"/>
      <c r="BE95" s="1053"/>
      <c r="BF95" s="1053"/>
      <c r="BH95" s="1053"/>
      <c r="BI95" s="1053"/>
      <c r="BJ95" s="1053"/>
      <c r="BL95" s="1053"/>
      <c r="BM95" s="1053"/>
      <c r="BN95" s="1053"/>
      <c r="BP95" s="1053"/>
      <c r="BQ95" s="1053"/>
      <c r="BR95" s="1053"/>
      <c r="BS95" s="73"/>
      <c r="BU95" s="1053"/>
      <c r="BV95" s="1053"/>
      <c r="BW95" s="1053"/>
      <c r="BY95" s="1053"/>
      <c r="BZ95" s="1053"/>
      <c r="CA95" s="1053"/>
      <c r="CC95" s="1053"/>
      <c r="CD95" s="1053"/>
      <c r="CE95" s="1053"/>
      <c r="CG95" s="1053"/>
      <c r="CH95" s="1053"/>
      <c r="CI95" s="1053"/>
      <c r="CK95" s="1057"/>
      <c r="CL95" s="1058"/>
      <c r="CM95" s="1058"/>
      <c r="CN95" s="1058"/>
      <c r="CO95" s="1059"/>
      <c r="CQ95" s="1037"/>
      <c r="CR95" s="1038"/>
      <c r="CS95" s="1038"/>
      <c r="CT95" s="1038"/>
      <c r="CU95" s="1038"/>
      <c r="CV95" s="1038"/>
      <c r="CW95" s="1038"/>
      <c r="CX95" s="1038"/>
      <c r="CY95" s="1038"/>
      <c r="CZ95" s="1038"/>
      <c r="DA95" s="1038"/>
      <c r="DB95" s="1038"/>
      <c r="DC95" s="1038"/>
      <c r="DD95" s="1038"/>
      <c r="DE95" s="1038"/>
      <c r="DF95" s="1038"/>
      <c r="DG95" s="1039"/>
      <c r="DI95" s="1037"/>
      <c r="DJ95" s="1038"/>
      <c r="DK95" s="1038"/>
      <c r="DL95" s="1038"/>
      <c r="DM95" s="1038"/>
      <c r="DN95" s="1038"/>
      <c r="DO95" s="1038"/>
      <c r="DP95" s="1038"/>
      <c r="DQ95" s="1038"/>
      <c r="DR95" s="1038"/>
      <c r="DS95" s="1038"/>
      <c r="DT95" s="1038"/>
      <c r="DU95" s="1038"/>
      <c r="DV95" s="1038"/>
      <c r="DW95" s="1038"/>
      <c r="DX95" s="1038"/>
      <c r="DY95" s="1039"/>
      <c r="EA95" s="1081"/>
      <c r="EB95" s="631"/>
      <c r="EC95" s="631"/>
      <c r="ED95" s="631"/>
      <c r="EE95" s="631"/>
      <c r="EF95" s="631"/>
      <c r="EG95" s="631"/>
      <c r="EH95" s="631"/>
      <c r="EI95" s="631"/>
      <c r="EJ95" s="631"/>
      <c r="EK95" s="631"/>
      <c r="EL95" s="1082"/>
    </row>
    <row r="96" spans="1:142" ht="3.75" customHeight="1" x14ac:dyDescent="0.25">
      <c r="A96" s="1053"/>
      <c r="B96" s="1053"/>
      <c r="C96" s="1053"/>
      <c r="E96" s="1053"/>
      <c r="F96" s="1053"/>
      <c r="G96" s="1053"/>
      <c r="I96" s="1053"/>
      <c r="J96" s="1053"/>
      <c r="K96" s="1053"/>
      <c r="M96" s="1053"/>
      <c r="N96" s="1053"/>
      <c r="O96" s="1053"/>
      <c r="Q96" s="1057"/>
      <c r="R96" s="1058"/>
      <c r="S96" s="1058"/>
      <c r="T96" s="1058"/>
      <c r="U96" s="1059"/>
      <c r="W96" s="1037"/>
      <c r="X96" s="1038"/>
      <c r="Y96" s="1038"/>
      <c r="Z96" s="1038"/>
      <c r="AA96" s="1038"/>
      <c r="AB96" s="1038"/>
      <c r="AC96" s="1038"/>
      <c r="AD96" s="1038"/>
      <c r="AE96" s="1038"/>
      <c r="AF96" s="1038"/>
      <c r="AG96" s="1038"/>
      <c r="AH96" s="1038"/>
      <c r="AI96" s="1038"/>
      <c r="AJ96" s="1038"/>
      <c r="AK96" s="1039"/>
      <c r="AM96" s="1037"/>
      <c r="AN96" s="1038"/>
      <c r="AO96" s="1038"/>
      <c r="AP96" s="1038"/>
      <c r="AQ96" s="1038"/>
      <c r="AR96" s="1038"/>
      <c r="AS96" s="1038"/>
      <c r="AT96" s="1038"/>
      <c r="AU96" s="1038"/>
      <c r="AV96" s="1038"/>
      <c r="AW96" s="1038"/>
      <c r="AX96" s="1038"/>
      <c r="AY96" s="1038"/>
      <c r="AZ96" s="1038"/>
      <c r="BA96" s="1038"/>
      <c r="BB96" s="1039"/>
      <c r="BD96" s="1053"/>
      <c r="BE96" s="1053"/>
      <c r="BF96" s="1053"/>
      <c r="BH96" s="1053"/>
      <c r="BI96" s="1053"/>
      <c r="BJ96" s="1053"/>
      <c r="BL96" s="1053"/>
      <c r="BM96" s="1053"/>
      <c r="BN96" s="1053"/>
      <c r="BP96" s="1053"/>
      <c r="BQ96" s="1053"/>
      <c r="BR96" s="1053"/>
      <c r="BS96" s="73"/>
      <c r="BU96" s="1053"/>
      <c r="BV96" s="1053"/>
      <c r="BW96" s="1053"/>
      <c r="BY96" s="1053"/>
      <c r="BZ96" s="1053"/>
      <c r="CA96" s="1053"/>
      <c r="CC96" s="1053"/>
      <c r="CD96" s="1053"/>
      <c r="CE96" s="1053"/>
      <c r="CG96" s="1053"/>
      <c r="CH96" s="1053"/>
      <c r="CI96" s="1053"/>
      <c r="CK96" s="1057"/>
      <c r="CL96" s="1058"/>
      <c r="CM96" s="1058"/>
      <c r="CN96" s="1058"/>
      <c r="CO96" s="1059"/>
      <c r="CQ96" s="1037"/>
      <c r="CR96" s="1038"/>
      <c r="CS96" s="1038"/>
      <c r="CT96" s="1038"/>
      <c r="CU96" s="1038"/>
      <c r="CV96" s="1038"/>
      <c r="CW96" s="1038"/>
      <c r="CX96" s="1038"/>
      <c r="CY96" s="1038"/>
      <c r="CZ96" s="1038"/>
      <c r="DA96" s="1038"/>
      <c r="DB96" s="1038"/>
      <c r="DC96" s="1038"/>
      <c r="DD96" s="1038"/>
      <c r="DE96" s="1038"/>
      <c r="DF96" s="1038"/>
      <c r="DG96" s="1039"/>
      <c r="DI96" s="1037"/>
      <c r="DJ96" s="1038"/>
      <c r="DK96" s="1038"/>
      <c r="DL96" s="1038"/>
      <c r="DM96" s="1038"/>
      <c r="DN96" s="1038"/>
      <c r="DO96" s="1038"/>
      <c r="DP96" s="1038"/>
      <c r="DQ96" s="1038"/>
      <c r="DR96" s="1038"/>
      <c r="DS96" s="1038"/>
      <c r="DT96" s="1038"/>
      <c r="DU96" s="1038"/>
      <c r="DV96" s="1038"/>
      <c r="DW96" s="1038"/>
      <c r="DX96" s="1038"/>
      <c r="DY96" s="1039"/>
      <c r="EA96" s="1081"/>
      <c r="EB96" s="631"/>
      <c r="EC96" s="631"/>
      <c r="ED96" s="631"/>
      <c r="EE96" s="631"/>
      <c r="EF96" s="631"/>
      <c r="EG96" s="631"/>
      <c r="EH96" s="631"/>
      <c r="EI96" s="631"/>
      <c r="EJ96" s="631"/>
      <c r="EK96" s="631"/>
      <c r="EL96" s="1082"/>
    </row>
    <row r="97" spans="1:142" ht="3.75" customHeight="1" x14ac:dyDescent="0.25">
      <c r="A97" s="1053"/>
      <c r="B97" s="1053"/>
      <c r="C97" s="1053"/>
      <c r="E97" s="1053"/>
      <c r="F97" s="1053"/>
      <c r="G97" s="1053"/>
      <c r="I97" s="1053"/>
      <c r="J97" s="1053"/>
      <c r="K97" s="1053"/>
      <c r="M97" s="1053"/>
      <c r="N97" s="1053"/>
      <c r="O97" s="1053"/>
      <c r="Q97" s="1057"/>
      <c r="R97" s="1058"/>
      <c r="S97" s="1058"/>
      <c r="T97" s="1058"/>
      <c r="U97" s="1059"/>
      <c r="W97" s="1037"/>
      <c r="X97" s="1038"/>
      <c r="Y97" s="1038"/>
      <c r="Z97" s="1038"/>
      <c r="AA97" s="1038"/>
      <c r="AB97" s="1038"/>
      <c r="AC97" s="1038"/>
      <c r="AD97" s="1038"/>
      <c r="AE97" s="1038"/>
      <c r="AF97" s="1038"/>
      <c r="AG97" s="1038"/>
      <c r="AH97" s="1038"/>
      <c r="AI97" s="1038"/>
      <c r="AJ97" s="1038"/>
      <c r="AK97" s="1039"/>
      <c r="AM97" s="1037"/>
      <c r="AN97" s="1038"/>
      <c r="AO97" s="1038"/>
      <c r="AP97" s="1038"/>
      <c r="AQ97" s="1038"/>
      <c r="AR97" s="1038"/>
      <c r="AS97" s="1038"/>
      <c r="AT97" s="1038"/>
      <c r="AU97" s="1038"/>
      <c r="AV97" s="1038"/>
      <c r="AW97" s="1038"/>
      <c r="AX97" s="1038"/>
      <c r="AY97" s="1038"/>
      <c r="AZ97" s="1038"/>
      <c r="BA97" s="1038"/>
      <c r="BB97" s="1039"/>
      <c r="BD97" s="1053"/>
      <c r="BE97" s="1053"/>
      <c r="BF97" s="1053"/>
      <c r="BH97" s="1053"/>
      <c r="BI97" s="1053"/>
      <c r="BJ97" s="1053"/>
      <c r="BL97" s="1053"/>
      <c r="BM97" s="1053"/>
      <c r="BN97" s="1053"/>
      <c r="BP97" s="1053"/>
      <c r="BQ97" s="1053"/>
      <c r="BR97" s="1053"/>
      <c r="BS97" s="73"/>
      <c r="BU97" s="1053"/>
      <c r="BV97" s="1053"/>
      <c r="BW97" s="1053"/>
      <c r="BY97" s="1053"/>
      <c r="BZ97" s="1053"/>
      <c r="CA97" s="1053"/>
      <c r="CC97" s="1053"/>
      <c r="CD97" s="1053"/>
      <c r="CE97" s="1053"/>
      <c r="CG97" s="1053"/>
      <c r="CH97" s="1053"/>
      <c r="CI97" s="1053"/>
      <c r="CK97" s="1057"/>
      <c r="CL97" s="1058"/>
      <c r="CM97" s="1058"/>
      <c r="CN97" s="1058"/>
      <c r="CO97" s="1059"/>
      <c r="CQ97" s="1037"/>
      <c r="CR97" s="1038"/>
      <c r="CS97" s="1038"/>
      <c r="CT97" s="1038"/>
      <c r="CU97" s="1038"/>
      <c r="CV97" s="1038"/>
      <c r="CW97" s="1038"/>
      <c r="CX97" s="1038"/>
      <c r="CY97" s="1038"/>
      <c r="CZ97" s="1038"/>
      <c r="DA97" s="1038"/>
      <c r="DB97" s="1038"/>
      <c r="DC97" s="1038"/>
      <c r="DD97" s="1038"/>
      <c r="DE97" s="1038"/>
      <c r="DF97" s="1038"/>
      <c r="DG97" s="1039"/>
      <c r="DI97" s="1037"/>
      <c r="DJ97" s="1038"/>
      <c r="DK97" s="1038"/>
      <c r="DL97" s="1038"/>
      <c r="DM97" s="1038"/>
      <c r="DN97" s="1038"/>
      <c r="DO97" s="1038"/>
      <c r="DP97" s="1038"/>
      <c r="DQ97" s="1038"/>
      <c r="DR97" s="1038"/>
      <c r="DS97" s="1038"/>
      <c r="DT97" s="1038"/>
      <c r="DU97" s="1038"/>
      <c r="DV97" s="1038"/>
      <c r="DW97" s="1038"/>
      <c r="DX97" s="1038"/>
      <c r="DY97" s="1039"/>
      <c r="EA97" s="1081"/>
      <c r="EB97" s="631"/>
      <c r="EC97" s="631"/>
      <c r="ED97" s="631"/>
      <c r="EE97" s="631"/>
      <c r="EF97" s="631"/>
      <c r="EG97" s="631"/>
      <c r="EH97" s="631"/>
      <c r="EI97" s="631"/>
      <c r="EJ97" s="631"/>
      <c r="EK97" s="631"/>
      <c r="EL97" s="1082"/>
    </row>
    <row r="98" spans="1:142" ht="3.75" customHeight="1" x14ac:dyDescent="0.25">
      <c r="Q98" s="1060"/>
      <c r="R98" s="1061"/>
      <c r="S98" s="1061"/>
      <c r="T98" s="1061"/>
      <c r="U98" s="1062"/>
      <c r="W98" s="1040"/>
      <c r="X98" s="1041"/>
      <c r="Y98" s="1041"/>
      <c r="Z98" s="1041"/>
      <c r="AA98" s="1041"/>
      <c r="AB98" s="1041"/>
      <c r="AC98" s="1041"/>
      <c r="AD98" s="1041"/>
      <c r="AE98" s="1041"/>
      <c r="AF98" s="1041"/>
      <c r="AG98" s="1041"/>
      <c r="AH98" s="1041"/>
      <c r="AI98" s="1041"/>
      <c r="AJ98" s="1041"/>
      <c r="AK98" s="1042"/>
      <c r="AM98" s="1040"/>
      <c r="AN98" s="1041"/>
      <c r="AO98" s="1041"/>
      <c r="AP98" s="1041"/>
      <c r="AQ98" s="1041"/>
      <c r="AR98" s="1041"/>
      <c r="AS98" s="1041"/>
      <c r="AT98" s="1041"/>
      <c r="AU98" s="1041"/>
      <c r="AV98" s="1041"/>
      <c r="AW98" s="1041"/>
      <c r="AX98" s="1041"/>
      <c r="AY98" s="1041"/>
      <c r="AZ98" s="1041"/>
      <c r="BA98" s="1041"/>
      <c r="BB98" s="1042"/>
      <c r="BS98" s="73"/>
      <c r="CK98" s="1060"/>
      <c r="CL98" s="1061"/>
      <c r="CM98" s="1061"/>
      <c r="CN98" s="1061"/>
      <c r="CO98" s="1062"/>
      <c r="CQ98" s="1040"/>
      <c r="CR98" s="1041"/>
      <c r="CS98" s="1041"/>
      <c r="CT98" s="1041"/>
      <c r="CU98" s="1041"/>
      <c r="CV98" s="1041"/>
      <c r="CW98" s="1041"/>
      <c r="CX98" s="1041"/>
      <c r="CY98" s="1041"/>
      <c r="CZ98" s="1041"/>
      <c r="DA98" s="1041"/>
      <c r="DB98" s="1041"/>
      <c r="DC98" s="1041"/>
      <c r="DD98" s="1041"/>
      <c r="DE98" s="1041"/>
      <c r="DF98" s="1041"/>
      <c r="DG98" s="1042"/>
      <c r="DI98" s="1040"/>
      <c r="DJ98" s="1041"/>
      <c r="DK98" s="1041"/>
      <c r="DL98" s="1041"/>
      <c r="DM98" s="1041"/>
      <c r="DN98" s="1041"/>
      <c r="DO98" s="1041"/>
      <c r="DP98" s="1041"/>
      <c r="DQ98" s="1041"/>
      <c r="DR98" s="1041"/>
      <c r="DS98" s="1041"/>
      <c r="DT98" s="1041"/>
      <c r="DU98" s="1041"/>
      <c r="DV98" s="1041"/>
      <c r="DW98" s="1041"/>
      <c r="DX98" s="1041"/>
      <c r="DY98" s="1042"/>
      <c r="EA98" s="1083"/>
      <c r="EB98" s="1084"/>
      <c r="EC98" s="1084"/>
      <c r="ED98" s="1084"/>
      <c r="EE98" s="1084"/>
      <c r="EF98" s="1084"/>
      <c r="EG98" s="1084"/>
      <c r="EH98" s="1084"/>
      <c r="EI98" s="1084"/>
      <c r="EJ98" s="1084"/>
      <c r="EK98" s="1084"/>
      <c r="EL98" s="1085"/>
    </row>
    <row r="99" spans="1:142" ht="3.75" customHeight="1" thickBot="1" x14ac:dyDescent="0.3">
      <c r="A99" s="355"/>
      <c r="B99" s="355"/>
      <c r="C99" s="355"/>
      <c r="D99" s="355"/>
      <c r="E99" s="355"/>
      <c r="F99" s="355"/>
      <c r="G99" s="355"/>
      <c r="H99" s="355"/>
      <c r="I99" s="355"/>
      <c r="J99" s="355"/>
      <c r="K99" s="355"/>
      <c r="L99" s="355"/>
      <c r="M99" s="355"/>
      <c r="N99" s="355"/>
      <c r="O99" s="355"/>
      <c r="P99" s="355"/>
      <c r="Q99" s="355"/>
      <c r="R99" s="355"/>
      <c r="S99" s="355"/>
      <c r="T99" s="355"/>
      <c r="U99" s="355"/>
      <c r="V99" s="355"/>
      <c r="W99" s="355"/>
      <c r="X99" s="355"/>
      <c r="Y99" s="355"/>
      <c r="Z99" s="355"/>
      <c r="AA99" s="355"/>
      <c r="AB99" s="355"/>
      <c r="AC99" s="355"/>
      <c r="AD99" s="355"/>
      <c r="AE99" s="355"/>
      <c r="AF99" s="355"/>
      <c r="AG99" s="355"/>
      <c r="AH99" s="355"/>
      <c r="AI99" s="355"/>
      <c r="AJ99" s="355"/>
      <c r="AK99" s="355"/>
      <c r="AL99" s="355"/>
      <c r="AM99" s="355"/>
      <c r="AN99" s="355"/>
      <c r="AO99" s="355"/>
      <c r="AP99" s="355"/>
      <c r="AQ99" s="355"/>
      <c r="AR99" s="355"/>
      <c r="AS99" s="355"/>
      <c r="AT99" s="355"/>
      <c r="AU99" s="355"/>
      <c r="AV99" s="355"/>
      <c r="AW99" s="355"/>
      <c r="AX99" s="355"/>
      <c r="AY99" s="355"/>
      <c r="AZ99" s="355"/>
      <c r="BA99" s="355"/>
      <c r="BB99" s="355"/>
      <c r="BC99" s="355"/>
      <c r="BD99" s="355"/>
      <c r="BE99" s="355"/>
      <c r="BF99" s="355"/>
      <c r="BG99" s="355"/>
      <c r="BH99" s="355"/>
      <c r="BI99" s="355"/>
      <c r="BJ99" s="355"/>
      <c r="BK99" s="355"/>
      <c r="BL99" s="355"/>
      <c r="BM99" s="355"/>
      <c r="BN99" s="355"/>
      <c r="BO99" s="355"/>
      <c r="BP99" s="355"/>
      <c r="BQ99" s="355"/>
      <c r="BR99" s="355"/>
      <c r="BS99" s="360"/>
      <c r="BT99" s="355"/>
      <c r="BU99" s="355"/>
      <c r="BV99" s="355"/>
      <c r="BW99" s="355"/>
      <c r="BX99" s="355"/>
      <c r="BY99" s="355"/>
      <c r="BZ99" s="355"/>
      <c r="CA99" s="355"/>
      <c r="CB99" s="355"/>
      <c r="CC99" s="355"/>
      <c r="CD99" s="355"/>
      <c r="CE99" s="355"/>
      <c r="CF99" s="355"/>
      <c r="CG99" s="355"/>
      <c r="CH99" s="355"/>
      <c r="CI99" s="355"/>
      <c r="CJ99" s="355"/>
      <c r="CK99" s="355"/>
      <c r="CL99" s="355"/>
      <c r="CM99" s="355"/>
      <c r="CN99" s="355"/>
      <c r="CO99" s="355"/>
      <c r="CP99" s="355"/>
      <c r="CQ99" s="355"/>
      <c r="CR99" s="355"/>
      <c r="CS99" s="355"/>
      <c r="CT99" s="355"/>
      <c r="CU99" s="355"/>
      <c r="CV99" s="355"/>
      <c r="CW99" s="355"/>
      <c r="CX99" s="355"/>
      <c r="CY99" s="355"/>
      <c r="CZ99" s="355"/>
      <c r="DA99" s="355"/>
      <c r="DB99" s="355"/>
      <c r="DC99" s="355"/>
      <c r="DD99" s="355"/>
      <c r="DE99" s="355"/>
      <c r="DF99" s="355"/>
      <c r="DG99" s="355"/>
      <c r="DH99" s="355"/>
      <c r="DI99" s="355"/>
      <c r="DJ99" s="355"/>
      <c r="DK99" s="355"/>
      <c r="DL99" s="355"/>
      <c r="DM99" s="355"/>
      <c r="DN99" s="355"/>
      <c r="DO99" s="355"/>
      <c r="DP99" s="355"/>
      <c r="DQ99" s="355"/>
      <c r="DR99" s="355"/>
      <c r="DS99" s="355"/>
      <c r="DT99" s="355"/>
      <c r="DU99" s="355"/>
      <c r="DV99" s="355"/>
      <c r="DW99" s="355"/>
      <c r="DX99" s="355"/>
      <c r="DY99" s="355"/>
      <c r="DZ99" s="355"/>
      <c r="EA99" s="355"/>
      <c r="EB99" s="355"/>
      <c r="EC99" s="355"/>
      <c r="ED99" s="355"/>
      <c r="EE99" s="355"/>
      <c r="EF99" s="355"/>
      <c r="EG99" s="355"/>
      <c r="EH99" s="355"/>
      <c r="EI99" s="355"/>
      <c r="EJ99" s="355"/>
      <c r="EK99" s="355"/>
      <c r="EL99" s="355"/>
    </row>
    <row r="100" spans="1:142" ht="3.75" customHeight="1" x14ac:dyDescent="0.25">
      <c r="BS100" s="73"/>
    </row>
    <row r="101" spans="1:142" ht="3.75" customHeight="1" x14ac:dyDescent="0.25">
      <c r="BS101" s="73"/>
    </row>
    <row r="102" spans="1:142" ht="3.75" customHeight="1" x14ac:dyDescent="0.25">
      <c r="BS102" s="73"/>
    </row>
    <row r="103" spans="1:142" ht="3.75" customHeight="1" x14ac:dyDescent="0.25">
      <c r="AB103" s="1077" t="s">
        <v>800</v>
      </c>
      <c r="AC103" s="1077"/>
      <c r="AD103" s="1077"/>
      <c r="AE103" s="1077"/>
      <c r="AF103" s="1077"/>
      <c r="AG103" s="1077"/>
      <c r="AH103" s="1077"/>
      <c r="AI103" s="1077"/>
      <c r="AJ103" s="1077"/>
      <c r="AK103" s="1077"/>
      <c r="AL103" s="1077"/>
      <c r="AM103" s="1077"/>
      <c r="AN103" s="1077"/>
      <c r="AO103" s="1077"/>
      <c r="AP103" s="1077"/>
      <c r="AQ103" s="1077"/>
      <c r="AR103" s="1077"/>
      <c r="BS103" s="73"/>
      <c r="CU103" s="1077" t="s">
        <v>806</v>
      </c>
      <c r="CV103" s="1077"/>
      <c r="CW103" s="1077"/>
      <c r="CX103" s="1077"/>
      <c r="CY103" s="1077"/>
      <c r="CZ103" s="1077"/>
      <c r="DA103" s="1077"/>
      <c r="DB103" s="1077"/>
      <c r="DC103" s="1077"/>
      <c r="DD103" s="1077"/>
      <c r="DE103" s="1077"/>
      <c r="DF103" s="1077"/>
      <c r="DG103" s="1077"/>
      <c r="DH103" s="1077"/>
      <c r="DI103" s="1077"/>
      <c r="DJ103" s="1077"/>
      <c r="DK103" s="1077"/>
    </row>
    <row r="104" spans="1:142" ht="3.75" customHeight="1" x14ac:dyDescent="0.25">
      <c r="D104" s="356"/>
      <c r="E104" s="356"/>
      <c r="F104" s="356"/>
      <c r="G104" s="356"/>
      <c r="H104" s="356"/>
      <c r="I104" s="356"/>
      <c r="J104" s="356"/>
      <c r="K104" s="356"/>
      <c r="L104" s="356"/>
      <c r="AB104" s="1077"/>
      <c r="AC104" s="1077"/>
      <c r="AD104" s="1077"/>
      <c r="AE104" s="1077"/>
      <c r="AF104" s="1077"/>
      <c r="AG104" s="1077"/>
      <c r="AH104" s="1077"/>
      <c r="AI104" s="1077"/>
      <c r="AJ104" s="1077"/>
      <c r="AK104" s="1077"/>
      <c r="AL104" s="1077"/>
      <c r="AM104" s="1077"/>
      <c r="AN104" s="1077"/>
      <c r="AO104" s="1077"/>
      <c r="AP104" s="1077"/>
      <c r="AQ104" s="1077"/>
      <c r="AR104" s="1077"/>
      <c r="BN104" s="356"/>
      <c r="BO104" s="356"/>
      <c r="BP104" s="356"/>
      <c r="BQ104" s="356"/>
      <c r="BR104" s="356"/>
      <c r="BS104" s="441"/>
      <c r="BT104" s="356"/>
      <c r="BU104" s="356"/>
      <c r="BV104" s="356"/>
      <c r="BW104" s="356"/>
      <c r="BX104" s="356"/>
      <c r="BY104" s="356"/>
      <c r="BZ104" s="356"/>
      <c r="CA104" s="356"/>
      <c r="CB104" s="356"/>
      <c r="CC104" s="356"/>
      <c r="CD104" s="356"/>
      <c r="CE104" s="356"/>
      <c r="CF104" s="356"/>
      <c r="CG104" s="356"/>
      <c r="CH104" s="356"/>
      <c r="CI104" s="356"/>
      <c r="CJ104" s="356"/>
      <c r="CK104" s="356"/>
      <c r="CL104" s="356"/>
      <c r="CM104" s="356"/>
      <c r="CN104" s="356"/>
      <c r="CO104" s="356"/>
      <c r="CP104" s="356"/>
      <c r="CQ104" s="356"/>
      <c r="CR104" s="356"/>
      <c r="CS104" s="356"/>
      <c r="CT104" s="356"/>
      <c r="CU104" s="1077"/>
      <c r="CV104" s="1077"/>
      <c r="CW104" s="1077"/>
      <c r="CX104" s="1077"/>
      <c r="CY104" s="1077"/>
      <c r="CZ104" s="1077"/>
      <c r="DA104" s="1077"/>
      <c r="DB104" s="1077"/>
      <c r="DC104" s="1077"/>
      <c r="DD104" s="1077"/>
      <c r="DE104" s="1077"/>
      <c r="DF104" s="1077"/>
      <c r="DG104" s="1077"/>
      <c r="DH104" s="1077"/>
      <c r="DI104" s="1077"/>
      <c r="DJ104" s="1077"/>
      <c r="DK104" s="1077"/>
      <c r="EC104" s="356"/>
      <c r="ED104" s="356"/>
      <c r="EE104" s="356"/>
      <c r="EF104" s="356"/>
      <c r="EG104" s="356"/>
      <c r="EH104" s="356"/>
      <c r="EI104" s="356"/>
      <c r="EJ104" s="356"/>
    </row>
    <row r="105" spans="1:142" ht="3.75" customHeight="1" x14ac:dyDescent="0.25">
      <c r="D105" s="356"/>
      <c r="E105" s="356"/>
      <c r="F105" s="356"/>
      <c r="G105" s="356"/>
      <c r="H105" s="356"/>
      <c r="I105" s="356"/>
      <c r="J105" s="356"/>
      <c r="K105" s="356"/>
      <c r="L105" s="356"/>
      <c r="AB105" s="1077"/>
      <c r="AC105" s="1077"/>
      <c r="AD105" s="1077"/>
      <c r="AE105" s="1077"/>
      <c r="AF105" s="1077"/>
      <c r="AG105" s="1077"/>
      <c r="AH105" s="1077"/>
      <c r="AI105" s="1077"/>
      <c r="AJ105" s="1077"/>
      <c r="AK105" s="1077"/>
      <c r="AL105" s="1077"/>
      <c r="AM105" s="1077"/>
      <c r="AN105" s="1077"/>
      <c r="AO105" s="1077"/>
      <c r="AP105" s="1077"/>
      <c r="AQ105" s="1077"/>
      <c r="AR105" s="1077"/>
      <c r="BN105" s="356"/>
      <c r="BO105" s="356"/>
      <c r="BP105" s="356"/>
      <c r="BQ105" s="356"/>
      <c r="BR105" s="356"/>
      <c r="BS105" s="441"/>
      <c r="BT105" s="356"/>
      <c r="BU105" s="356"/>
      <c r="BV105" s="356"/>
      <c r="BW105" s="356"/>
      <c r="BX105" s="356"/>
      <c r="BY105" s="356"/>
      <c r="BZ105" s="356"/>
      <c r="CA105" s="356"/>
      <c r="CB105" s="356"/>
      <c r="CC105" s="356"/>
      <c r="CD105" s="356"/>
      <c r="CE105" s="356"/>
      <c r="CF105" s="356"/>
      <c r="CG105" s="356"/>
      <c r="CH105" s="356"/>
      <c r="CI105" s="356"/>
      <c r="CJ105" s="356"/>
      <c r="CK105" s="356"/>
      <c r="CL105" s="356"/>
      <c r="CM105" s="356"/>
      <c r="CN105" s="356"/>
      <c r="CO105" s="356"/>
      <c r="CP105" s="356"/>
      <c r="CQ105" s="356"/>
      <c r="CR105" s="356"/>
      <c r="CS105" s="356"/>
      <c r="CT105" s="356"/>
      <c r="CU105" s="1077"/>
      <c r="CV105" s="1077"/>
      <c r="CW105" s="1077"/>
      <c r="CX105" s="1077"/>
      <c r="CY105" s="1077"/>
      <c r="CZ105" s="1077"/>
      <c r="DA105" s="1077"/>
      <c r="DB105" s="1077"/>
      <c r="DC105" s="1077"/>
      <c r="DD105" s="1077"/>
      <c r="DE105" s="1077"/>
      <c r="DF105" s="1077"/>
      <c r="DG105" s="1077"/>
      <c r="DH105" s="1077"/>
      <c r="DI105" s="1077"/>
      <c r="DJ105" s="1077"/>
      <c r="DK105" s="1077"/>
      <c r="EC105" s="356"/>
      <c r="ED105" s="356"/>
      <c r="EE105" s="356"/>
      <c r="EF105" s="356"/>
      <c r="EG105" s="356"/>
      <c r="EH105" s="356"/>
      <c r="EI105" s="356"/>
      <c r="EJ105" s="356"/>
    </row>
    <row r="106" spans="1:142" ht="3.75" customHeight="1" x14ac:dyDescent="0.25">
      <c r="D106" s="356"/>
      <c r="E106" s="356"/>
      <c r="F106" s="356"/>
      <c r="G106" s="356"/>
      <c r="H106" s="356"/>
      <c r="I106" s="356"/>
      <c r="J106" s="356"/>
      <c r="K106" s="356"/>
      <c r="L106" s="356"/>
      <c r="M106" s="356"/>
      <c r="N106" s="356"/>
      <c r="O106" s="356"/>
      <c r="P106" s="356"/>
      <c r="Q106" s="356"/>
      <c r="R106" s="356"/>
      <c r="S106" s="356"/>
      <c r="T106" s="356"/>
      <c r="U106" s="356"/>
      <c r="V106" s="356"/>
      <c r="W106" s="356"/>
      <c r="X106" s="356"/>
      <c r="Y106" s="356"/>
      <c r="Z106" s="356"/>
      <c r="AA106" s="356"/>
      <c r="AB106" s="356"/>
      <c r="AC106" s="356"/>
      <c r="AD106" s="356"/>
      <c r="AE106" s="356"/>
      <c r="AF106" s="356"/>
      <c r="AG106" s="356"/>
      <c r="AH106" s="356"/>
      <c r="AI106" s="356"/>
      <c r="AJ106" s="356"/>
      <c r="AK106" s="356"/>
      <c r="AL106" s="356"/>
      <c r="AM106" s="356"/>
      <c r="AN106" s="356"/>
      <c r="AO106" s="356"/>
      <c r="AP106" s="356"/>
      <c r="AQ106" s="356"/>
      <c r="AR106" s="356"/>
      <c r="AS106" s="356"/>
      <c r="AT106" s="356"/>
      <c r="AU106" s="356"/>
      <c r="AV106" s="356"/>
      <c r="AW106" s="356"/>
      <c r="AX106" s="356"/>
      <c r="AY106" s="356"/>
      <c r="AZ106" s="356"/>
      <c r="BA106" s="356"/>
      <c r="BB106" s="356"/>
      <c r="BC106" s="356"/>
      <c r="BD106" s="356"/>
      <c r="BE106" s="356"/>
      <c r="BF106" s="356"/>
      <c r="BG106" s="356"/>
      <c r="BH106" s="356"/>
      <c r="BI106" s="356"/>
      <c r="BJ106" s="356"/>
      <c r="BK106" s="356"/>
      <c r="BL106" s="356"/>
      <c r="BM106" s="356"/>
      <c r="BN106" s="356"/>
      <c r="BO106" s="356"/>
      <c r="BP106" s="356"/>
      <c r="BQ106" s="356"/>
      <c r="BR106" s="356"/>
      <c r="BS106" s="441"/>
      <c r="BT106" s="356"/>
      <c r="BU106" s="356"/>
      <c r="BV106" s="356"/>
      <c r="BW106" s="356"/>
      <c r="BX106" s="356"/>
      <c r="BY106" s="356"/>
      <c r="BZ106" s="356"/>
      <c r="CA106" s="356"/>
      <c r="CB106" s="356"/>
      <c r="CC106" s="356"/>
      <c r="CD106" s="356"/>
      <c r="CE106" s="356"/>
      <c r="CF106" s="356"/>
      <c r="CG106" s="356"/>
      <c r="CH106" s="356"/>
      <c r="CI106" s="356"/>
      <c r="CJ106" s="356"/>
      <c r="CK106" s="356"/>
      <c r="CL106" s="356"/>
      <c r="CM106" s="356"/>
      <c r="CN106" s="356"/>
      <c r="CO106" s="356"/>
      <c r="CP106" s="356"/>
      <c r="CQ106" s="356"/>
      <c r="CR106" s="356"/>
      <c r="CS106" s="356"/>
      <c r="CT106" s="356"/>
      <c r="CU106" s="356"/>
      <c r="CV106" s="356"/>
      <c r="CW106" s="356"/>
      <c r="CX106" s="356"/>
      <c r="DH106" s="356"/>
      <c r="DI106" s="356"/>
      <c r="DJ106" s="356"/>
      <c r="DK106" s="356"/>
      <c r="EC106" s="356"/>
      <c r="ED106" s="356"/>
      <c r="EE106" s="356"/>
      <c r="EF106" s="356"/>
      <c r="EG106" s="356"/>
      <c r="EH106" s="356"/>
      <c r="EI106" s="356"/>
      <c r="EJ106" s="356"/>
    </row>
    <row r="107" spans="1:142" ht="3.75" customHeight="1" x14ac:dyDescent="0.25">
      <c r="BQ107" s="356"/>
      <c r="BR107" s="356"/>
      <c r="BS107" s="441"/>
      <c r="BT107" s="356"/>
      <c r="BU107" s="356"/>
      <c r="BV107" s="356"/>
      <c r="BW107" s="356"/>
      <c r="CU107" s="356"/>
      <c r="CV107" s="356"/>
      <c r="CW107" s="356"/>
      <c r="CX107" s="356"/>
      <c r="DH107" s="356"/>
      <c r="DI107" s="356"/>
      <c r="DJ107" s="356"/>
      <c r="DK107" s="356"/>
    </row>
    <row r="108" spans="1:142" ht="3.75" customHeight="1" x14ac:dyDescent="0.25">
      <c r="BQ108" s="356"/>
      <c r="BR108" s="356"/>
      <c r="BS108" s="441"/>
      <c r="BT108" s="356"/>
      <c r="BU108" s="356"/>
      <c r="BV108" s="356"/>
      <c r="BW108" s="356"/>
      <c r="CY108" s="631" t="s">
        <v>596</v>
      </c>
      <c r="CZ108" s="631"/>
      <c r="DA108" s="631"/>
      <c r="DB108" s="631"/>
      <c r="DC108" s="631"/>
      <c r="DD108" s="631"/>
      <c r="DE108" s="631"/>
      <c r="DF108" s="631"/>
      <c r="DG108" s="631"/>
    </row>
    <row r="109" spans="1:142" ht="3.75" customHeight="1" x14ac:dyDescent="0.25">
      <c r="BQ109" s="356"/>
      <c r="BR109" s="356"/>
      <c r="BS109" s="441"/>
      <c r="BT109" s="356"/>
      <c r="BU109" s="356"/>
      <c r="BV109" s="356"/>
      <c r="BW109" s="356"/>
      <c r="CY109" s="631"/>
      <c r="CZ109" s="631"/>
      <c r="DA109" s="631"/>
      <c r="DB109" s="631"/>
      <c r="DC109" s="631"/>
      <c r="DD109" s="631"/>
      <c r="DE109" s="631"/>
      <c r="DF109" s="631"/>
      <c r="DG109" s="631"/>
    </row>
    <row r="110" spans="1:142" ht="3.75" customHeight="1" x14ac:dyDescent="0.25">
      <c r="M110" s="1071" t="s">
        <v>797</v>
      </c>
      <c r="N110" s="1071"/>
      <c r="O110" s="1071"/>
      <c r="P110" s="1071"/>
      <c r="Q110" s="1071"/>
      <c r="R110" s="1071"/>
      <c r="S110" s="1071"/>
      <c r="T110" s="1071"/>
      <c r="U110" s="356"/>
      <c r="V110" s="356"/>
      <c r="W110" s="356"/>
      <c r="X110" s="356"/>
      <c r="Y110" s="356"/>
      <c r="Z110" s="356"/>
      <c r="AA110" s="356"/>
      <c r="AB110" s="356"/>
      <c r="AC110" s="356"/>
      <c r="AD110" s="356"/>
      <c r="AE110" s="356"/>
      <c r="AF110" s="356"/>
      <c r="AG110" s="356"/>
      <c r="AH110" s="356"/>
      <c r="AI110" s="356"/>
      <c r="AJ110" s="1071" t="s">
        <v>798</v>
      </c>
      <c r="AK110" s="1071"/>
      <c r="AL110" s="1071"/>
      <c r="AM110" s="1071"/>
      <c r="AN110" s="1071"/>
      <c r="AO110" s="1071"/>
      <c r="AP110" s="1071"/>
      <c r="AQ110" s="1071"/>
      <c r="AR110" s="356"/>
      <c r="AS110" s="356"/>
      <c r="AT110" s="356"/>
      <c r="AU110" s="356"/>
      <c r="AV110" s="356"/>
      <c r="AW110" s="356"/>
      <c r="AX110" s="356"/>
      <c r="AY110" s="356"/>
      <c r="AZ110" s="356"/>
      <c r="BA110" s="356"/>
      <c r="BB110" s="356"/>
      <c r="BC110" s="356"/>
      <c r="BD110" s="356"/>
      <c r="BE110" s="356"/>
      <c r="BF110" s="1071" t="s">
        <v>799</v>
      </c>
      <c r="BG110" s="1071"/>
      <c r="BH110" s="1071"/>
      <c r="BI110" s="1071"/>
      <c r="BJ110" s="1071"/>
      <c r="BK110" s="1071"/>
      <c r="BL110" s="1071"/>
      <c r="BM110" s="1071"/>
      <c r="BQ110" s="356"/>
      <c r="BR110" s="356"/>
      <c r="BS110" s="441"/>
      <c r="BT110" s="356"/>
      <c r="BU110" s="356"/>
      <c r="BV110" s="356"/>
      <c r="BW110" s="356"/>
      <c r="CY110" s="631"/>
      <c r="CZ110" s="631"/>
      <c r="DA110" s="631"/>
      <c r="DB110" s="631"/>
      <c r="DC110" s="631"/>
      <c r="DD110" s="631"/>
      <c r="DE110" s="631"/>
      <c r="DF110" s="631"/>
      <c r="DG110" s="631"/>
    </row>
    <row r="111" spans="1:142" ht="3.75" customHeight="1" x14ac:dyDescent="0.25">
      <c r="M111" s="1071"/>
      <c r="N111" s="1071"/>
      <c r="O111" s="1071"/>
      <c r="P111" s="1071"/>
      <c r="Q111" s="1071"/>
      <c r="R111" s="1071"/>
      <c r="S111" s="1071"/>
      <c r="T111" s="1071"/>
      <c r="U111" s="356"/>
      <c r="V111" s="356"/>
      <c r="W111" s="356"/>
      <c r="X111" s="356"/>
      <c r="Y111" s="356"/>
      <c r="Z111" s="356"/>
      <c r="AA111" s="356"/>
      <c r="AB111" s="356"/>
      <c r="AC111" s="356"/>
      <c r="AD111" s="356"/>
      <c r="AE111" s="356"/>
      <c r="AF111" s="356"/>
      <c r="AG111" s="356"/>
      <c r="AH111" s="356"/>
      <c r="AI111" s="356"/>
      <c r="AJ111" s="1071"/>
      <c r="AK111" s="1071"/>
      <c r="AL111" s="1071"/>
      <c r="AM111" s="1071"/>
      <c r="AN111" s="1071"/>
      <c r="AO111" s="1071"/>
      <c r="AP111" s="1071"/>
      <c r="AQ111" s="1071"/>
      <c r="AR111" s="356"/>
      <c r="AS111" s="356"/>
      <c r="AT111" s="356"/>
      <c r="AU111" s="356"/>
      <c r="AV111" s="356"/>
      <c r="AW111" s="356"/>
      <c r="AX111" s="356"/>
      <c r="AY111" s="356"/>
      <c r="AZ111" s="356"/>
      <c r="BA111" s="356"/>
      <c r="BB111" s="356"/>
      <c r="BC111" s="356"/>
      <c r="BD111" s="356"/>
      <c r="BE111" s="356"/>
      <c r="BF111" s="1071"/>
      <c r="BG111" s="1071"/>
      <c r="BH111" s="1071"/>
      <c r="BI111" s="1071"/>
      <c r="BJ111" s="1071"/>
      <c r="BK111" s="1071"/>
      <c r="BL111" s="1071"/>
      <c r="BM111" s="1071"/>
      <c r="BQ111" s="356"/>
      <c r="BR111" s="356"/>
      <c r="BS111" s="441"/>
      <c r="BT111" s="356"/>
      <c r="BU111" s="356"/>
      <c r="BV111" s="356"/>
      <c r="BW111" s="356"/>
    </row>
    <row r="112" spans="1:142" ht="3.75" customHeight="1" x14ac:dyDescent="0.25">
      <c r="D112" s="356"/>
      <c r="E112" s="356"/>
      <c r="F112" s="356"/>
      <c r="G112" s="356"/>
      <c r="H112" s="356"/>
      <c r="I112" s="356"/>
      <c r="J112" s="356"/>
      <c r="K112" s="356"/>
      <c r="L112" s="356"/>
      <c r="M112" s="356"/>
      <c r="N112" s="356"/>
      <c r="O112" s="356"/>
      <c r="P112" s="356"/>
      <c r="Q112" s="356"/>
      <c r="R112" s="356"/>
      <c r="S112" s="356"/>
      <c r="T112" s="356"/>
      <c r="U112" s="356"/>
      <c r="V112" s="356"/>
      <c r="W112" s="356"/>
      <c r="X112" s="356"/>
      <c r="Y112" s="356"/>
      <c r="Z112" s="356"/>
      <c r="AA112" s="356"/>
      <c r="AB112" s="356"/>
      <c r="AC112" s="356"/>
      <c r="AD112" s="356"/>
      <c r="AE112" s="356"/>
      <c r="AF112" s="356"/>
      <c r="AG112" s="356"/>
      <c r="AH112" s="356"/>
      <c r="AI112" s="356"/>
      <c r="AJ112" s="356"/>
      <c r="AK112" s="356"/>
      <c r="AL112" s="356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56"/>
      <c r="AW112" s="356"/>
      <c r="AX112" s="356"/>
      <c r="AY112" s="356"/>
      <c r="AZ112" s="356"/>
      <c r="BA112" s="356"/>
      <c r="BB112" s="356"/>
      <c r="BC112" s="356"/>
      <c r="BD112" s="356"/>
      <c r="BE112" s="356"/>
      <c r="BF112" s="356"/>
      <c r="BG112" s="356"/>
      <c r="BH112" s="356"/>
      <c r="BI112" s="356"/>
      <c r="BJ112" s="356"/>
      <c r="BK112" s="356"/>
      <c r="BL112" s="356"/>
      <c r="BM112" s="356"/>
      <c r="BN112" s="356"/>
      <c r="BO112" s="356"/>
      <c r="BP112" s="356"/>
      <c r="BQ112" s="356"/>
      <c r="BR112" s="356"/>
      <c r="BS112" s="441"/>
      <c r="BT112" s="356"/>
      <c r="BU112" s="356"/>
      <c r="BV112" s="356"/>
      <c r="BW112" s="356"/>
      <c r="CG112" s="1071" t="s">
        <v>807</v>
      </c>
      <c r="CH112" s="1071"/>
      <c r="CI112" s="1071"/>
      <c r="CJ112" s="1071"/>
      <c r="CK112" s="1071"/>
      <c r="CL112" s="1071"/>
      <c r="CM112" s="1071"/>
      <c r="CN112" s="1071"/>
      <c r="CO112" s="356"/>
      <c r="CP112" s="356"/>
      <c r="CQ112" s="356"/>
      <c r="CR112" s="356"/>
      <c r="CS112" s="356"/>
      <c r="CT112" s="356"/>
      <c r="CU112" s="356"/>
      <c r="CV112" s="356"/>
      <c r="CW112" s="356"/>
      <c r="CX112" s="356"/>
      <c r="CY112" s="356"/>
      <c r="CZ112" s="356"/>
      <c r="DA112" s="356"/>
      <c r="DB112" s="356"/>
      <c r="DC112" s="356"/>
      <c r="DD112" s="1071" t="s">
        <v>808</v>
      </c>
      <c r="DE112" s="1071"/>
      <c r="DF112" s="1071"/>
      <c r="DG112" s="1071"/>
      <c r="DH112" s="1071"/>
      <c r="DI112" s="1071"/>
      <c r="DJ112" s="1071"/>
      <c r="DK112" s="1071"/>
      <c r="DL112" s="356"/>
      <c r="DM112" s="356"/>
      <c r="DN112" s="356"/>
      <c r="DO112" s="356"/>
      <c r="DP112" s="356"/>
      <c r="DQ112" s="356"/>
      <c r="DR112" s="356"/>
      <c r="DS112" s="356"/>
      <c r="DT112" s="356"/>
      <c r="DU112" s="356"/>
      <c r="DV112" s="356"/>
      <c r="DW112" s="356"/>
      <c r="DX112" s="356"/>
      <c r="DY112" s="356"/>
      <c r="DZ112" s="1071" t="s">
        <v>809</v>
      </c>
      <c r="EA112" s="1071"/>
      <c r="EB112" s="1071"/>
      <c r="EC112" s="1071"/>
      <c r="ED112" s="1071"/>
      <c r="EE112" s="1071"/>
      <c r="EF112" s="1071"/>
      <c r="EG112" s="1071"/>
    </row>
    <row r="113" spans="4:140" ht="3.75" customHeight="1" x14ac:dyDescent="0.25">
      <c r="D113" s="356"/>
      <c r="E113" s="356"/>
      <c r="F113" s="356"/>
      <c r="G113" s="356"/>
      <c r="H113" s="356"/>
      <c r="I113" s="356"/>
      <c r="J113" s="356"/>
      <c r="K113" s="356"/>
      <c r="L113" s="356"/>
      <c r="M113" s="356"/>
      <c r="N113" s="356"/>
      <c r="O113" s="356"/>
      <c r="P113" s="356"/>
      <c r="Q113" s="356"/>
      <c r="R113" s="356"/>
      <c r="S113" s="356"/>
      <c r="T113" s="356"/>
      <c r="U113" s="356"/>
      <c r="V113" s="356"/>
      <c r="W113" s="356"/>
      <c r="X113" s="356"/>
      <c r="Y113" s="356"/>
      <c r="Z113" s="356"/>
      <c r="AA113" s="356"/>
      <c r="AB113" s="356"/>
      <c r="AC113" s="356"/>
      <c r="AD113" s="356"/>
      <c r="AE113" s="356"/>
      <c r="AF113" s="356"/>
      <c r="AG113" s="356"/>
      <c r="AH113" s="356"/>
      <c r="AI113" s="356"/>
      <c r="AJ113" s="356"/>
      <c r="AK113" s="356"/>
      <c r="AL113" s="356"/>
      <c r="AM113" s="356"/>
      <c r="AN113" s="356"/>
      <c r="AO113" s="356"/>
      <c r="AP113" s="356"/>
      <c r="AQ113" s="356"/>
      <c r="AR113" s="356"/>
      <c r="AS113" s="356"/>
      <c r="AT113" s="356"/>
      <c r="AU113" s="356"/>
      <c r="AV113" s="356"/>
      <c r="AW113" s="356"/>
      <c r="AX113" s="356"/>
      <c r="AY113" s="356"/>
      <c r="AZ113" s="356"/>
      <c r="BA113" s="356"/>
      <c r="BB113" s="356"/>
      <c r="BC113" s="356"/>
      <c r="BD113" s="356"/>
      <c r="BE113" s="356"/>
      <c r="BF113" s="356"/>
      <c r="BG113" s="356"/>
      <c r="BH113" s="356"/>
      <c r="BI113" s="356"/>
      <c r="BJ113" s="356"/>
      <c r="BK113" s="356"/>
      <c r="BL113" s="356"/>
      <c r="BM113" s="356"/>
      <c r="BN113" s="356"/>
      <c r="BO113" s="356"/>
      <c r="BP113" s="356"/>
      <c r="BQ113" s="356"/>
      <c r="BR113" s="356"/>
      <c r="BS113" s="441"/>
      <c r="BT113" s="356"/>
      <c r="BU113" s="356"/>
      <c r="BV113" s="356"/>
      <c r="BW113" s="356"/>
      <c r="CG113" s="1071"/>
      <c r="CH113" s="1071"/>
      <c r="CI113" s="1071"/>
      <c r="CJ113" s="1071"/>
      <c r="CK113" s="1071"/>
      <c r="CL113" s="1071"/>
      <c r="CM113" s="1071"/>
      <c r="CN113" s="1071"/>
      <c r="CO113" s="356"/>
      <c r="CP113" s="356"/>
      <c r="CQ113" s="356"/>
      <c r="CR113" s="356"/>
      <c r="CS113" s="356"/>
      <c r="CT113" s="356"/>
      <c r="CU113" s="356"/>
      <c r="CV113" s="356"/>
      <c r="CW113" s="356"/>
      <c r="CX113" s="356"/>
      <c r="CY113" s="356"/>
      <c r="CZ113" s="356"/>
      <c r="DA113" s="356"/>
      <c r="DB113" s="356"/>
      <c r="DC113" s="356"/>
      <c r="DD113" s="1071"/>
      <c r="DE113" s="1071"/>
      <c r="DF113" s="1071"/>
      <c r="DG113" s="1071"/>
      <c r="DH113" s="1071"/>
      <c r="DI113" s="1071"/>
      <c r="DJ113" s="1071"/>
      <c r="DK113" s="1071"/>
      <c r="DL113" s="356"/>
      <c r="DM113" s="356"/>
      <c r="DN113" s="356"/>
      <c r="DO113" s="356"/>
      <c r="DP113" s="356"/>
      <c r="DQ113" s="356"/>
      <c r="DR113" s="356"/>
      <c r="DS113" s="356"/>
      <c r="DT113" s="356"/>
      <c r="DU113" s="356"/>
      <c r="DV113" s="356"/>
      <c r="DW113" s="356"/>
      <c r="DX113" s="356"/>
      <c r="DY113" s="356"/>
      <c r="DZ113" s="1071"/>
      <c r="EA113" s="1071"/>
      <c r="EB113" s="1071"/>
      <c r="EC113" s="1071"/>
      <c r="ED113" s="1071"/>
      <c r="EE113" s="1071"/>
      <c r="EF113" s="1071"/>
      <c r="EG113" s="1071"/>
    </row>
    <row r="114" spans="4:140" ht="3.75" customHeight="1" x14ac:dyDescent="0.25">
      <c r="D114" s="356"/>
      <c r="E114" s="356"/>
      <c r="F114" s="356"/>
      <c r="G114" s="356"/>
      <c r="H114" s="356"/>
      <c r="I114" s="356"/>
      <c r="J114" s="356"/>
      <c r="K114" s="356"/>
      <c r="L114" s="356"/>
      <c r="BN114" s="356"/>
      <c r="BO114" s="356"/>
      <c r="BP114" s="356"/>
      <c r="BQ114" s="356"/>
      <c r="BR114" s="356"/>
      <c r="BS114" s="441"/>
      <c r="BT114" s="356"/>
      <c r="BU114" s="356"/>
      <c r="BV114" s="356"/>
      <c r="BW114" s="356"/>
    </row>
    <row r="115" spans="4:140" ht="3.75" customHeight="1" x14ac:dyDescent="0.25">
      <c r="D115" s="356"/>
      <c r="E115" s="356"/>
      <c r="F115" s="356"/>
      <c r="G115" s="356"/>
      <c r="H115" s="356"/>
      <c r="I115" s="356"/>
      <c r="J115" s="1148"/>
      <c r="K115" s="1149"/>
      <c r="L115" s="1149"/>
      <c r="M115" s="1149"/>
      <c r="N115" s="1149"/>
      <c r="O115" s="1149"/>
      <c r="P115" s="1149"/>
      <c r="Q115" s="1149"/>
      <c r="R115" s="1149"/>
      <c r="S115" s="1149"/>
      <c r="T115" s="1149"/>
      <c r="U115" s="1149"/>
      <c r="V115" s="1149"/>
      <c r="W115" s="1150"/>
      <c r="X115" s="356"/>
      <c r="Y115" s="356"/>
      <c r="Z115" s="356"/>
      <c r="AA115" s="356"/>
      <c r="AB115" s="356"/>
      <c r="AC115" s="356"/>
      <c r="AD115" s="356"/>
      <c r="AE115" s="356"/>
      <c r="AF115" s="356"/>
      <c r="AG115" s="1148"/>
      <c r="AH115" s="1149"/>
      <c r="AI115" s="1149"/>
      <c r="AJ115" s="1149"/>
      <c r="AK115" s="1149"/>
      <c r="AL115" s="1149"/>
      <c r="AM115" s="1149"/>
      <c r="AN115" s="1149"/>
      <c r="AO115" s="1149"/>
      <c r="AP115" s="1149"/>
      <c r="AQ115" s="1149"/>
      <c r="AR115" s="1149"/>
      <c r="AS115" s="1149"/>
      <c r="AT115" s="1150"/>
      <c r="AU115" s="356"/>
      <c r="AV115" s="356"/>
      <c r="AW115" s="356"/>
      <c r="AX115" s="356"/>
      <c r="AY115" s="356"/>
      <c r="AZ115" s="356"/>
      <c r="BA115" s="356"/>
      <c r="BB115" s="356"/>
      <c r="BC115" s="1148"/>
      <c r="BD115" s="1149"/>
      <c r="BE115" s="1149"/>
      <c r="BF115" s="1149"/>
      <c r="BG115" s="1149"/>
      <c r="BH115" s="1149"/>
      <c r="BI115" s="1149"/>
      <c r="BJ115" s="1149"/>
      <c r="BK115" s="1149"/>
      <c r="BL115" s="1149"/>
      <c r="BM115" s="1149"/>
      <c r="BN115" s="1149"/>
      <c r="BO115" s="1149"/>
      <c r="BP115" s="1150"/>
      <c r="BQ115" s="356"/>
      <c r="BR115" s="356"/>
      <c r="BS115" s="441"/>
      <c r="BT115" s="356"/>
      <c r="BU115" s="356"/>
      <c r="BV115" s="356"/>
      <c r="BW115" s="356"/>
      <c r="BX115" s="356"/>
      <c r="BY115" s="356"/>
      <c r="BZ115" s="356"/>
      <c r="CA115" s="356"/>
      <c r="CB115" s="356"/>
      <c r="CC115" s="356"/>
      <c r="CD115" s="356"/>
      <c r="CE115" s="356"/>
      <c r="CF115" s="356"/>
      <c r="EH115" s="356"/>
      <c r="EI115" s="356"/>
      <c r="EJ115" s="356"/>
    </row>
    <row r="116" spans="4:140" ht="3.75" customHeight="1" x14ac:dyDescent="0.25">
      <c r="D116" s="1076" t="s">
        <v>134</v>
      </c>
      <c r="E116" s="1076"/>
      <c r="F116" s="1076"/>
      <c r="G116" s="1076"/>
      <c r="H116" s="1076"/>
      <c r="I116" s="356"/>
      <c r="J116" s="1151"/>
      <c r="K116" s="1152"/>
      <c r="L116" s="1152"/>
      <c r="M116" s="1152"/>
      <c r="N116" s="1152"/>
      <c r="O116" s="1152"/>
      <c r="P116" s="1152"/>
      <c r="Q116" s="1152"/>
      <c r="R116" s="1152"/>
      <c r="S116" s="1152"/>
      <c r="T116" s="1152"/>
      <c r="U116" s="1152"/>
      <c r="V116" s="1152"/>
      <c r="W116" s="1153"/>
      <c r="X116" s="356"/>
      <c r="Y116" s="356"/>
      <c r="Z116" s="356"/>
      <c r="AA116" s="1076" t="s">
        <v>134</v>
      </c>
      <c r="AB116" s="1076"/>
      <c r="AC116" s="1076"/>
      <c r="AD116" s="1076"/>
      <c r="AE116" s="1076"/>
      <c r="AF116" s="356"/>
      <c r="AG116" s="1151"/>
      <c r="AH116" s="1152"/>
      <c r="AI116" s="1152"/>
      <c r="AJ116" s="1152"/>
      <c r="AK116" s="1152"/>
      <c r="AL116" s="1152"/>
      <c r="AM116" s="1152"/>
      <c r="AN116" s="1152"/>
      <c r="AO116" s="1152"/>
      <c r="AP116" s="1152"/>
      <c r="AQ116" s="1152"/>
      <c r="AR116" s="1152"/>
      <c r="AS116" s="1152"/>
      <c r="AT116" s="1153"/>
      <c r="AU116" s="356"/>
      <c r="AV116" s="356"/>
      <c r="AW116" s="1076" t="s">
        <v>134</v>
      </c>
      <c r="AX116" s="1076"/>
      <c r="AY116" s="1076"/>
      <c r="AZ116" s="1076"/>
      <c r="BA116" s="1076"/>
      <c r="BB116" s="356"/>
      <c r="BC116" s="1151"/>
      <c r="BD116" s="1152"/>
      <c r="BE116" s="1152"/>
      <c r="BF116" s="1152"/>
      <c r="BG116" s="1152"/>
      <c r="BH116" s="1152"/>
      <c r="BI116" s="1152"/>
      <c r="BJ116" s="1152"/>
      <c r="BK116" s="1152"/>
      <c r="BL116" s="1152"/>
      <c r="BM116" s="1152"/>
      <c r="BN116" s="1152"/>
      <c r="BO116" s="1152"/>
      <c r="BP116" s="1153"/>
      <c r="BQ116" s="356"/>
      <c r="BR116" s="356"/>
      <c r="BS116" s="73"/>
      <c r="BT116" s="356"/>
      <c r="BU116" s="356"/>
      <c r="BV116" s="356"/>
      <c r="BW116" s="356"/>
      <c r="BX116" s="356"/>
      <c r="BY116" s="356"/>
      <c r="BZ116" s="356"/>
      <c r="CA116" s="356"/>
      <c r="CB116" s="356"/>
      <c r="CC116" s="356"/>
      <c r="CD116" s="356"/>
      <c r="CE116" s="356"/>
      <c r="CF116" s="356"/>
      <c r="EH116" s="356"/>
      <c r="EI116" s="356"/>
      <c r="EJ116" s="356"/>
    </row>
    <row r="117" spans="4:140" ht="3.75" customHeight="1" x14ac:dyDescent="0.25">
      <c r="D117" s="1076"/>
      <c r="E117" s="1076"/>
      <c r="F117" s="1076"/>
      <c r="G117" s="1076"/>
      <c r="H117" s="1076"/>
      <c r="I117" s="356"/>
      <c r="J117" s="1151"/>
      <c r="K117" s="1152"/>
      <c r="L117" s="1152"/>
      <c r="M117" s="1152"/>
      <c r="N117" s="1152"/>
      <c r="O117" s="1152"/>
      <c r="P117" s="1152"/>
      <c r="Q117" s="1152"/>
      <c r="R117" s="1152"/>
      <c r="S117" s="1152"/>
      <c r="T117" s="1152"/>
      <c r="U117" s="1152"/>
      <c r="V117" s="1152"/>
      <c r="W117" s="1153"/>
      <c r="X117" s="356"/>
      <c r="Y117" s="356"/>
      <c r="Z117" s="356"/>
      <c r="AA117" s="1076"/>
      <c r="AB117" s="1076"/>
      <c r="AC117" s="1076"/>
      <c r="AD117" s="1076"/>
      <c r="AE117" s="1076"/>
      <c r="AF117" s="356"/>
      <c r="AG117" s="1151"/>
      <c r="AH117" s="1152"/>
      <c r="AI117" s="1152"/>
      <c r="AJ117" s="1152"/>
      <c r="AK117" s="1152"/>
      <c r="AL117" s="1152"/>
      <c r="AM117" s="1152"/>
      <c r="AN117" s="1152"/>
      <c r="AO117" s="1152"/>
      <c r="AP117" s="1152"/>
      <c r="AQ117" s="1152"/>
      <c r="AR117" s="1152"/>
      <c r="AS117" s="1152"/>
      <c r="AT117" s="1153"/>
      <c r="AU117" s="356"/>
      <c r="AV117" s="356"/>
      <c r="AW117" s="1076"/>
      <c r="AX117" s="1076"/>
      <c r="AY117" s="1076"/>
      <c r="AZ117" s="1076"/>
      <c r="BA117" s="1076"/>
      <c r="BB117" s="356"/>
      <c r="BC117" s="1151"/>
      <c r="BD117" s="1152"/>
      <c r="BE117" s="1152"/>
      <c r="BF117" s="1152"/>
      <c r="BG117" s="1152"/>
      <c r="BH117" s="1152"/>
      <c r="BI117" s="1152"/>
      <c r="BJ117" s="1152"/>
      <c r="BK117" s="1152"/>
      <c r="BL117" s="1152"/>
      <c r="BM117" s="1152"/>
      <c r="BN117" s="1152"/>
      <c r="BO117" s="1152"/>
      <c r="BP117" s="1153"/>
      <c r="BQ117" s="356"/>
      <c r="BR117" s="356"/>
      <c r="BS117" s="441"/>
      <c r="BX117" s="356"/>
      <c r="BY117" s="356"/>
      <c r="BZ117" s="356"/>
      <c r="CA117" s="356"/>
      <c r="CB117" s="356"/>
      <c r="CC117" s="356"/>
      <c r="CD117" s="1148"/>
      <c r="CE117" s="1149"/>
      <c r="CF117" s="1149"/>
      <c r="CG117" s="1149"/>
      <c r="CH117" s="1149"/>
      <c r="CI117" s="1149"/>
      <c r="CJ117" s="1149"/>
      <c r="CK117" s="1149"/>
      <c r="CL117" s="1149"/>
      <c r="CM117" s="1149"/>
      <c r="CN117" s="1149"/>
      <c r="CO117" s="1149"/>
      <c r="CP117" s="1149"/>
      <c r="CQ117" s="1150"/>
      <c r="CR117" s="356"/>
      <c r="CS117" s="356"/>
      <c r="CT117" s="356"/>
      <c r="CU117" s="356"/>
      <c r="CV117" s="356"/>
      <c r="CW117" s="356"/>
      <c r="CX117" s="356"/>
      <c r="CY117" s="356"/>
      <c r="CZ117" s="356"/>
      <c r="DA117" s="1148"/>
      <c r="DB117" s="1149"/>
      <c r="DC117" s="1149"/>
      <c r="DD117" s="1149"/>
      <c r="DE117" s="1149"/>
      <c r="DF117" s="1149"/>
      <c r="DG117" s="1149"/>
      <c r="DH117" s="1149"/>
      <c r="DI117" s="1149"/>
      <c r="DJ117" s="1149"/>
      <c r="DK117" s="1149"/>
      <c r="DL117" s="1149"/>
      <c r="DM117" s="1149"/>
      <c r="DN117" s="1150"/>
      <c r="DO117" s="356"/>
      <c r="DP117" s="356"/>
      <c r="DQ117" s="356"/>
      <c r="DR117" s="356"/>
      <c r="DS117" s="356"/>
      <c r="DT117" s="356"/>
      <c r="DU117" s="356"/>
      <c r="DV117" s="356"/>
      <c r="DW117" s="1148"/>
      <c r="DX117" s="1149"/>
      <c r="DY117" s="1149"/>
      <c r="DZ117" s="1149"/>
      <c r="EA117" s="1149"/>
      <c r="EB117" s="1149"/>
      <c r="EC117" s="1149"/>
      <c r="ED117" s="1149"/>
      <c r="EE117" s="1149"/>
      <c r="EF117" s="1149"/>
      <c r="EG117" s="1149"/>
      <c r="EH117" s="1149"/>
      <c r="EI117" s="1149"/>
      <c r="EJ117" s="1150"/>
    </row>
    <row r="118" spans="4:140" ht="3.75" customHeight="1" x14ac:dyDescent="0.25">
      <c r="D118" s="1076"/>
      <c r="E118" s="1076"/>
      <c r="F118" s="1076"/>
      <c r="G118" s="1076"/>
      <c r="H118" s="1076"/>
      <c r="I118" s="356"/>
      <c r="J118" s="1151"/>
      <c r="K118" s="1152"/>
      <c r="L118" s="1152"/>
      <c r="M118" s="1152"/>
      <c r="N118" s="1152"/>
      <c r="O118" s="1152"/>
      <c r="P118" s="1152"/>
      <c r="Q118" s="1152"/>
      <c r="R118" s="1152"/>
      <c r="S118" s="1152"/>
      <c r="T118" s="1152"/>
      <c r="U118" s="1152"/>
      <c r="V118" s="1152"/>
      <c r="W118" s="1153"/>
      <c r="X118" s="356"/>
      <c r="Y118" s="356"/>
      <c r="Z118" s="356"/>
      <c r="AA118" s="1076"/>
      <c r="AB118" s="1076"/>
      <c r="AC118" s="1076"/>
      <c r="AD118" s="1076"/>
      <c r="AE118" s="1076"/>
      <c r="AF118" s="356"/>
      <c r="AG118" s="1151"/>
      <c r="AH118" s="1152"/>
      <c r="AI118" s="1152"/>
      <c r="AJ118" s="1152"/>
      <c r="AK118" s="1152"/>
      <c r="AL118" s="1152"/>
      <c r="AM118" s="1152"/>
      <c r="AN118" s="1152"/>
      <c r="AO118" s="1152"/>
      <c r="AP118" s="1152"/>
      <c r="AQ118" s="1152"/>
      <c r="AR118" s="1152"/>
      <c r="AS118" s="1152"/>
      <c r="AT118" s="1153"/>
      <c r="AU118" s="356"/>
      <c r="AV118" s="356"/>
      <c r="AW118" s="1076"/>
      <c r="AX118" s="1076"/>
      <c r="AY118" s="1076"/>
      <c r="AZ118" s="1076"/>
      <c r="BA118" s="1076"/>
      <c r="BB118" s="356"/>
      <c r="BC118" s="1151"/>
      <c r="BD118" s="1152"/>
      <c r="BE118" s="1152"/>
      <c r="BF118" s="1152"/>
      <c r="BG118" s="1152"/>
      <c r="BH118" s="1152"/>
      <c r="BI118" s="1152"/>
      <c r="BJ118" s="1152"/>
      <c r="BK118" s="1152"/>
      <c r="BL118" s="1152"/>
      <c r="BM118" s="1152"/>
      <c r="BN118" s="1152"/>
      <c r="BO118" s="1152"/>
      <c r="BP118" s="1153"/>
      <c r="BQ118" s="356"/>
      <c r="BR118" s="356"/>
      <c r="BS118" s="441"/>
      <c r="BX118" s="1076" t="s">
        <v>134</v>
      </c>
      <c r="BY118" s="1076"/>
      <c r="BZ118" s="1076"/>
      <c r="CA118" s="1076"/>
      <c r="CB118" s="1076"/>
      <c r="CC118" s="356"/>
      <c r="CD118" s="1151"/>
      <c r="CE118" s="1152"/>
      <c r="CF118" s="1152"/>
      <c r="CG118" s="1152"/>
      <c r="CH118" s="1152"/>
      <c r="CI118" s="1152"/>
      <c r="CJ118" s="1152"/>
      <c r="CK118" s="1152"/>
      <c r="CL118" s="1152"/>
      <c r="CM118" s="1152"/>
      <c r="CN118" s="1152"/>
      <c r="CO118" s="1152"/>
      <c r="CP118" s="1152"/>
      <c r="CQ118" s="1153"/>
      <c r="CR118" s="356"/>
      <c r="CS118" s="356"/>
      <c r="CT118" s="356"/>
      <c r="CU118" s="1076" t="s">
        <v>134</v>
      </c>
      <c r="CV118" s="1076"/>
      <c r="CW118" s="1076"/>
      <c r="CX118" s="1076"/>
      <c r="CY118" s="1076"/>
      <c r="CZ118" s="356"/>
      <c r="DA118" s="1151"/>
      <c r="DB118" s="1152"/>
      <c r="DC118" s="1152"/>
      <c r="DD118" s="1152"/>
      <c r="DE118" s="1152"/>
      <c r="DF118" s="1152"/>
      <c r="DG118" s="1152"/>
      <c r="DH118" s="1152"/>
      <c r="DI118" s="1152"/>
      <c r="DJ118" s="1152"/>
      <c r="DK118" s="1152"/>
      <c r="DL118" s="1152"/>
      <c r="DM118" s="1152"/>
      <c r="DN118" s="1153"/>
      <c r="DO118" s="356"/>
      <c r="DP118" s="356"/>
      <c r="DQ118" s="1076" t="s">
        <v>134</v>
      </c>
      <c r="DR118" s="1076"/>
      <c r="DS118" s="1076"/>
      <c r="DT118" s="1076"/>
      <c r="DU118" s="1076"/>
      <c r="DV118" s="356"/>
      <c r="DW118" s="1151"/>
      <c r="DX118" s="1152"/>
      <c r="DY118" s="1152"/>
      <c r="DZ118" s="1152"/>
      <c r="EA118" s="1152"/>
      <c r="EB118" s="1152"/>
      <c r="EC118" s="1152"/>
      <c r="ED118" s="1152"/>
      <c r="EE118" s="1152"/>
      <c r="EF118" s="1152"/>
      <c r="EG118" s="1152"/>
      <c r="EH118" s="1152"/>
      <c r="EI118" s="1152"/>
      <c r="EJ118" s="1153"/>
    </row>
    <row r="119" spans="4:140" ht="3.75" customHeight="1" x14ac:dyDescent="0.25">
      <c r="D119" s="356"/>
      <c r="E119" s="356"/>
      <c r="F119" s="356"/>
      <c r="G119" s="356"/>
      <c r="H119" s="356"/>
      <c r="I119" s="356"/>
      <c r="J119" s="1154"/>
      <c r="K119" s="1155"/>
      <c r="L119" s="1155"/>
      <c r="M119" s="1155"/>
      <c r="N119" s="1155"/>
      <c r="O119" s="1155"/>
      <c r="P119" s="1155"/>
      <c r="Q119" s="1155"/>
      <c r="R119" s="1155"/>
      <c r="S119" s="1155"/>
      <c r="T119" s="1155"/>
      <c r="U119" s="1155"/>
      <c r="V119" s="1155"/>
      <c r="W119" s="1156"/>
      <c r="X119" s="356"/>
      <c r="Y119" s="356"/>
      <c r="Z119" s="356"/>
      <c r="AA119" s="356"/>
      <c r="AB119" s="356"/>
      <c r="AC119" s="356"/>
      <c r="AD119" s="356"/>
      <c r="AE119" s="356"/>
      <c r="AF119" s="356"/>
      <c r="AG119" s="1154"/>
      <c r="AH119" s="1155"/>
      <c r="AI119" s="1155"/>
      <c r="AJ119" s="1155"/>
      <c r="AK119" s="1155"/>
      <c r="AL119" s="1155"/>
      <c r="AM119" s="1155"/>
      <c r="AN119" s="1155"/>
      <c r="AO119" s="1155"/>
      <c r="AP119" s="1155"/>
      <c r="AQ119" s="1155"/>
      <c r="AR119" s="1155"/>
      <c r="AS119" s="1155"/>
      <c r="AT119" s="1156"/>
      <c r="AU119" s="356"/>
      <c r="AV119" s="356"/>
      <c r="AW119" s="356"/>
      <c r="AX119" s="356"/>
      <c r="AY119" s="356"/>
      <c r="AZ119" s="356"/>
      <c r="BA119" s="356"/>
      <c r="BB119" s="356"/>
      <c r="BC119" s="1154"/>
      <c r="BD119" s="1155"/>
      <c r="BE119" s="1155"/>
      <c r="BF119" s="1155"/>
      <c r="BG119" s="1155"/>
      <c r="BH119" s="1155"/>
      <c r="BI119" s="1155"/>
      <c r="BJ119" s="1155"/>
      <c r="BK119" s="1155"/>
      <c r="BL119" s="1155"/>
      <c r="BM119" s="1155"/>
      <c r="BN119" s="1155"/>
      <c r="BO119" s="1155"/>
      <c r="BP119" s="1156"/>
      <c r="BQ119" s="356"/>
      <c r="BR119" s="356"/>
      <c r="BS119" s="441"/>
      <c r="BX119" s="1076"/>
      <c r="BY119" s="1076"/>
      <c r="BZ119" s="1076"/>
      <c r="CA119" s="1076"/>
      <c r="CB119" s="1076"/>
      <c r="CC119" s="356"/>
      <c r="CD119" s="1151"/>
      <c r="CE119" s="1152"/>
      <c r="CF119" s="1152"/>
      <c r="CG119" s="1152"/>
      <c r="CH119" s="1152"/>
      <c r="CI119" s="1152"/>
      <c r="CJ119" s="1152"/>
      <c r="CK119" s="1152"/>
      <c r="CL119" s="1152"/>
      <c r="CM119" s="1152"/>
      <c r="CN119" s="1152"/>
      <c r="CO119" s="1152"/>
      <c r="CP119" s="1152"/>
      <c r="CQ119" s="1153"/>
      <c r="CR119" s="356"/>
      <c r="CS119" s="356"/>
      <c r="CT119" s="356"/>
      <c r="CU119" s="1076"/>
      <c r="CV119" s="1076"/>
      <c r="CW119" s="1076"/>
      <c r="CX119" s="1076"/>
      <c r="CY119" s="1076"/>
      <c r="CZ119" s="356"/>
      <c r="DA119" s="1151"/>
      <c r="DB119" s="1152"/>
      <c r="DC119" s="1152"/>
      <c r="DD119" s="1152"/>
      <c r="DE119" s="1152"/>
      <c r="DF119" s="1152"/>
      <c r="DG119" s="1152"/>
      <c r="DH119" s="1152"/>
      <c r="DI119" s="1152"/>
      <c r="DJ119" s="1152"/>
      <c r="DK119" s="1152"/>
      <c r="DL119" s="1152"/>
      <c r="DM119" s="1152"/>
      <c r="DN119" s="1153"/>
      <c r="DO119" s="356"/>
      <c r="DP119" s="356"/>
      <c r="DQ119" s="1076"/>
      <c r="DR119" s="1076"/>
      <c r="DS119" s="1076"/>
      <c r="DT119" s="1076"/>
      <c r="DU119" s="1076"/>
      <c r="DV119" s="356"/>
      <c r="DW119" s="1151"/>
      <c r="DX119" s="1152"/>
      <c r="DY119" s="1152"/>
      <c r="DZ119" s="1152"/>
      <c r="EA119" s="1152"/>
      <c r="EB119" s="1152"/>
      <c r="EC119" s="1152"/>
      <c r="ED119" s="1152"/>
      <c r="EE119" s="1152"/>
      <c r="EF119" s="1152"/>
      <c r="EG119" s="1152"/>
      <c r="EH119" s="1152"/>
      <c r="EI119" s="1152"/>
      <c r="EJ119" s="1153"/>
    </row>
    <row r="120" spans="4:140" ht="3.75" customHeight="1" x14ac:dyDescent="0.25">
      <c r="BQ120" s="356"/>
      <c r="BR120" s="356"/>
      <c r="BS120" s="441"/>
      <c r="BX120" s="1076"/>
      <c r="BY120" s="1076"/>
      <c r="BZ120" s="1076"/>
      <c r="CA120" s="1076"/>
      <c r="CB120" s="1076"/>
      <c r="CC120" s="356"/>
      <c r="CD120" s="1151"/>
      <c r="CE120" s="1152"/>
      <c r="CF120" s="1152"/>
      <c r="CG120" s="1152"/>
      <c r="CH120" s="1152"/>
      <c r="CI120" s="1152"/>
      <c r="CJ120" s="1152"/>
      <c r="CK120" s="1152"/>
      <c r="CL120" s="1152"/>
      <c r="CM120" s="1152"/>
      <c r="CN120" s="1152"/>
      <c r="CO120" s="1152"/>
      <c r="CP120" s="1152"/>
      <c r="CQ120" s="1153"/>
      <c r="CR120" s="356"/>
      <c r="CS120" s="356"/>
      <c r="CT120" s="356"/>
      <c r="CU120" s="1076"/>
      <c r="CV120" s="1076"/>
      <c r="CW120" s="1076"/>
      <c r="CX120" s="1076"/>
      <c r="CY120" s="1076"/>
      <c r="CZ120" s="356"/>
      <c r="DA120" s="1151"/>
      <c r="DB120" s="1152"/>
      <c r="DC120" s="1152"/>
      <c r="DD120" s="1152"/>
      <c r="DE120" s="1152"/>
      <c r="DF120" s="1152"/>
      <c r="DG120" s="1152"/>
      <c r="DH120" s="1152"/>
      <c r="DI120" s="1152"/>
      <c r="DJ120" s="1152"/>
      <c r="DK120" s="1152"/>
      <c r="DL120" s="1152"/>
      <c r="DM120" s="1152"/>
      <c r="DN120" s="1153"/>
      <c r="DO120" s="356"/>
      <c r="DP120" s="356"/>
      <c r="DQ120" s="1076"/>
      <c r="DR120" s="1076"/>
      <c r="DS120" s="1076"/>
      <c r="DT120" s="1076"/>
      <c r="DU120" s="1076"/>
      <c r="DV120" s="356"/>
      <c r="DW120" s="1151"/>
      <c r="DX120" s="1152"/>
      <c r="DY120" s="1152"/>
      <c r="DZ120" s="1152"/>
      <c r="EA120" s="1152"/>
      <c r="EB120" s="1152"/>
      <c r="EC120" s="1152"/>
      <c r="ED120" s="1152"/>
      <c r="EE120" s="1152"/>
      <c r="EF120" s="1152"/>
      <c r="EG120" s="1152"/>
      <c r="EH120" s="1152"/>
      <c r="EI120" s="1152"/>
      <c r="EJ120" s="1153"/>
    </row>
    <row r="121" spans="4:140" ht="3.75" customHeight="1" x14ac:dyDescent="0.25">
      <c r="BQ121" s="356"/>
      <c r="BR121" s="356"/>
      <c r="BS121" s="441"/>
      <c r="BX121" s="356"/>
      <c r="BY121" s="356"/>
      <c r="BZ121" s="356"/>
      <c r="CA121" s="356"/>
      <c r="CB121" s="356"/>
      <c r="CC121" s="356"/>
      <c r="CD121" s="1154"/>
      <c r="CE121" s="1155"/>
      <c r="CF121" s="1155"/>
      <c r="CG121" s="1155"/>
      <c r="CH121" s="1155"/>
      <c r="CI121" s="1155"/>
      <c r="CJ121" s="1155"/>
      <c r="CK121" s="1155"/>
      <c r="CL121" s="1155"/>
      <c r="CM121" s="1155"/>
      <c r="CN121" s="1155"/>
      <c r="CO121" s="1155"/>
      <c r="CP121" s="1155"/>
      <c r="CQ121" s="1156"/>
      <c r="CR121" s="356"/>
      <c r="CS121" s="356"/>
      <c r="CT121" s="356"/>
      <c r="CU121" s="356"/>
      <c r="CV121" s="356"/>
      <c r="CW121" s="356"/>
      <c r="CX121" s="356"/>
      <c r="CY121" s="356"/>
      <c r="CZ121" s="356"/>
      <c r="DA121" s="1154"/>
      <c r="DB121" s="1155"/>
      <c r="DC121" s="1155"/>
      <c r="DD121" s="1155"/>
      <c r="DE121" s="1155"/>
      <c r="DF121" s="1155"/>
      <c r="DG121" s="1155"/>
      <c r="DH121" s="1155"/>
      <c r="DI121" s="1155"/>
      <c r="DJ121" s="1155"/>
      <c r="DK121" s="1155"/>
      <c r="DL121" s="1155"/>
      <c r="DM121" s="1155"/>
      <c r="DN121" s="1156"/>
      <c r="DO121" s="356"/>
      <c r="DP121" s="356"/>
      <c r="DQ121" s="356"/>
      <c r="DR121" s="356"/>
      <c r="DS121" s="356"/>
      <c r="DT121" s="356"/>
      <c r="DU121" s="356"/>
      <c r="DV121" s="356"/>
      <c r="DW121" s="1154"/>
      <c r="DX121" s="1155"/>
      <c r="DY121" s="1155"/>
      <c r="DZ121" s="1155"/>
      <c r="EA121" s="1155"/>
      <c r="EB121" s="1155"/>
      <c r="EC121" s="1155"/>
      <c r="ED121" s="1155"/>
      <c r="EE121" s="1155"/>
      <c r="EF121" s="1155"/>
      <c r="EG121" s="1155"/>
      <c r="EH121" s="1155"/>
      <c r="EI121" s="1155"/>
      <c r="EJ121" s="1156"/>
    </row>
    <row r="122" spans="4:140" ht="3.75" customHeight="1" x14ac:dyDescent="0.25">
      <c r="BQ122" s="356"/>
      <c r="BR122" s="356"/>
      <c r="BS122" s="441"/>
    </row>
    <row r="123" spans="4:140" ht="3.75" customHeight="1" x14ac:dyDescent="0.25">
      <c r="M123" s="1071" t="s">
        <v>801</v>
      </c>
      <c r="N123" s="1071"/>
      <c r="O123" s="1071"/>
      <c r="P123" s="1071"/>
      <c r="Q123" s="1071"/>
      <c r="R123" s="1071"/>
      <c r="S123" s="1071"/>
      <c r="T123" s="1071"/>
      <c r="U123" s="356"/>
      <c r="V123" s="356"/>
      <c r="W123" s="356"/>
      <c r="X123" s="356"/>
      <c r="Y123" s="356"/>
      <c r="Z123" s="356"/>
      <c r="AA123" s="356"/>
      <c r="AB123" s="356"/>
      <c r="AC123" s="356"/>
      <c r="AD123" s="356"/>
      <c r="AE123" s="356"/>
      <c r="AF123" s="356"/>
      <c r="AG123" s="356"/>
      <c r="AH123" s="356"/>
      <c r="AI123" s="356"/>
      <c r="AJ123" s="1071" t="s">
        <v>802</v>
      </c>
      <c r="AK123" s="1071"/>
      <c r="AL123" s="1071"/>
      <c r="AM123" s="1071"/>
      <c r="AN123" s="1071"/>
      <c r="AO123" s="1071"/>
      <c r="AP123" s="1071"/>
      <c r="AQ123" s="1071"/>
      <c r="AR123" s="356"/>
      <c r="AS123" s="356"/>
      <c r="AT123" s="356"/>
      <c r="AU123" s="356"/>
      <c r="AV123" s="356"/>
      <c r="AW123" s="356"/>
      <c r="AX123" s="356"/>
      <c r="AY123" s="356"/>
      <c r="AZ123" s="356"/>
      <c r="BA123" s="356"/>
      <c r="BB123" s="356"/>
      <c r="BC123" s="356"/>
      <c r="BD123" s="356"/>
      <c r="BE123" s="356"/>
      <c r="BF123" s="1071" t="s">
        <v>803</v>
      </c>
      <c r="BG123" s="1071"/>
      <c r="BH123" s="1071"/>
      <c r="BI123" s="1071"/>
      <c r="BJ123" s="1071"/>
      <c r="BK123" s="1071"/>
      <c r="BL123" s="1071"/>
      <c r="BM123" s="1071"/>
      <c r="BQ123" s="356"/>
      <c r="BR123" s="356"/>
      <c r="BS123" s="441"/>
    </row>
    <row r="124" spans="4:140" ht="3.75" customHeight="1" x14ac:dyDescent="0.25">
      <c r="M124" s="1071"/>
      <c r="N124" s="1071"/>
      <c r="O124" s="1071"/>
      <c r="P124" s="1071"/>
      <c r="Q124" s="1071"/>
      <c r="R124" s="1071"/>
      <c r="S124" s="1071"/>
      <c r="T124" s="1071"/>
      <c r="U124" s="356"/>
      <c r="V124" s="356"/>
      <c r="W124" s="356"/>
      <c r="X124" s="356"/>
      <c r="Y124" s="356"/>
      <c r="Z124" s="356"/>
      <c r="AA124" s="356"/>
      <c r="AB124" s="356"/>
      <c r="AC124" s="356"/>
      <c r="AD124" s="356"/>
      <c r="AE124" s="356"/>
      <c r="AF124" s="356"/>
      <c r="AG124" s="356"/>
      <c r="AH124" s="356"/>
      <c r="AI124" s="356"/>
      <c r="AJ124" s="1071"/>
      <c r="AK124" s="1071"/>
      <c r="AL124" s="1071"/>
      <c r="AM124" s="1071"/>
      <c r="AN124" s="1071"/>
      <c r="AO124" s="1071"/>
      <c r="AP124" s="1071"/>
      <c r="AQ124" s="1071"/>
      <c r="AR124" s="356"/>
      <c r="AS124" s="356"/>
      <c r="AT124" s="356"/>
      <c r="AU124" s="356"/>
      <c r="AV124" s="356"/>
      <c r="AW124" s="356"/>
      <c r="AX124" s="356"/>
      <c r="AY124" s="356"/>
      <c r="AZ124" s="356"/>
      <c r="BA124" s="356"/>
      <c r="BB124" s="356"/>
      <c r="BC124" s="356"/>
      <c r="BD124" s="356"/>
      <c r="BE124" s="356"/>
      <c r="BF124" s="1071"/>
      <c r="BG124" s="1071"/>
      <c r="BH124" s="1071"/>
      <c r="BI124" s="1071"/>
      <c r="BJ124" s="1071"/>
      <c r="BK124" s="1071"/>
      <c r="BL124" s="1071"/>
      <c r="BM124" s="1071"/>
      <c r="BQ124" s="356"/>
      <c r="BR124" s="356"/>
      <c r="BS124" s="441"/>
    </row>
    <row r="125" spans="4:140" ht="3.75" customHeight="1" x14ac:dyDescent="0.25">
      <c r="BQ125" s="356"/>
      <c r="BR125" s="356"/>
      <c r="BS125" s="441"/>
      <c r="CG125" s="356"/>
      <c r="CH125" s="356"/>
      <c r="CI125" s="356"/>
      <c r="CJ125" s="356"/>
      <c r="CK125" s="356"/>
      <c r="CL125" s="356"/>
      <c r="CM125" s="356"/>
      <c r="CN125" s="356"/>
      <c r="CO125" s="356"/>
      <c r="CP125" s="356"/>
      <c r="CQ125" s="356"/>
      <c r="CR125" s="356"/>
      <c r="CS125" s="356"/>
      <c r="CT125" s="356"/>
      <c r="CU125" s="356"/>
      <c r="CV125" s="356"/>
      <c r="CW125" s="631" t="s">
        <v>810</v>
      </c>
      <c r="CX125" s="631"/>
      <c r="CY125" s="631"/>
      <c r="CZ125" s="631"/>
      <c r="DA125" s="631"/>
      <c r="DB125" s="631"/>
      <c r="DC125" s="631"/>
      <c r="DD125" s="631"/>
      <c r="DE125" s="631"/>
      <c r="DF125" s="631"/>
      <c r="DG125" s="631"/>
      <c r="DH125" s="631"/>
      <c r="DI125" s="631"/>
      <c r="DJ125" s="631"/>
      <c r="DK125" s="356"/>
      <c r="DL125" s="356"/>
      <c r="DM125" s="356"/>
      <c r="DN125" s="356"/>
      <c r="DO125" s="356"/>
      <c r="DP125" s="356"/>
      <c r="DQ125" s="356"/>
      <c r="DR125" s="356"/>
      <c r="DS125" s="356"/>
      <c r="DT125" s="356"/>
      <c r="DU125" s="356"/>
      <c r="DV125" s="356"/>
      <c r="DW125" s="356"/>
      <c r="DX125" s="356"/>
      <c r="DY125" s="356"/>
      <c r="DZ125" s="356"/>
      <c r="EA125" s="356"/>
      <c r="EB125" s="356"/>
      <c r="EC125" s="356"/>
      <c r="ED125" s="356"/>
      <c r="EE125" s="356"/>
      <c r="EF125" s="356"/>
      <c r="EG125" s="356"/>
    </row>
    <row r="126" spans="4:140" ht="3.75" customHeight="1" x14ac:dyDescent="0.25">
      <c r="BQ126" s="356"/>
      <c r="BR126" s="356"/>
      <c r="BS126" s="441"/>
      <c r="CG126" s="356"/>
      <c r="CH126" s="356"/>
      <c r="CI126" s="356"/>
      <c r="CJ126" s="356"/>
      <c r="CK126" s="356"/>
      <c r="CL126" s="356"/>
      <c r="CM126" s="356"/>
      <c r="CN126" s="356"/>
      <c r="CO126" s="356"/>
      <c r="CP126" s="356"/>
      <c r="CQ126" s="356"/>
      <c r="CR126" s="356"/>
      <c r="CS126" s="356"/>
      <c r="CT126" s="356"/>
      <c r="CU126" s="356"/>
      <c r="CV126" s="356"/>
      <c r="CW126" s="631"/>
      <c r="CX126" s="631"/>
      <c r="CY126" s="631"/>
      <c r="CZ126" s="631"/>
      <c r="DA126" s="631"/>
      <c r="DB126" s="631"/>
      <c r="DC126" s="631"/>
      <c r="DD126" s="631"/>
      <c r="DE126" s="631"/>
      <c r="DF126" s="631"/>
      <c r="DG126" s="631"/>
      <c r="DH126" s="631"/>
      <c r="DI126" s="631"/>
      <c r="DJ126" s="631"/>
      <c r="DK126" s="356"/>
      <c r="DL126" s="356"/>
      <c r="DM126" s="356"/>
      <c r="DN126" s="356"/>
      <c r="DO126" s="356"/>
      <c r="DP126" s="356"/>
      <c r="DQ126" s="356"/>
      <c r="DR126" s="356"/>
      <c r="DS126" s="356"/>
      <c r="DT126" s="356"/>
      <c r="DU126" s="356"/>
      <c r="DV126" s="356"/>
      <c r="DW126" s="356"/>
      <c r="DX126" s="356"/>
      <c r="DY126" s="356"/>
      <c r="DZ126" s="356"/>
      <c r="EA126" s="356"/>
      <c r="EB126" s="356"/>
      <c r="EC126" s="356"/>
      <c r="ED126" s="356"/>
      <c r="EE126" s="356"/>
      <c r="EF126" s="356"/>
      <c r="EG126" s="356"/>
    </row>
    <row r="127" spans="4:140" ht="3.75" customHeight="1" x14ac:dyDescent="0.25">
      <c r="BQ127" s="356"/>
      <c r="BR127" s="356"/>
      <c r="BS127" s="441"/>
      <c r="CG127" s="356"/>
      <c r="CH127" s="356"/>
      <c r="CI127" s="356"/>
      <c r="CJ127" s="356"/>
      <c r="CK127" s="356"/>
      <c r="CL127" s="356"/>
      <c r="CM127" s="356"/>
      <c r="CN127" s="356"/>
      <c r="CO127" s="356"/>
      <c r="CP127" s="356"/>
      <c r="CQ127" s="356"/>
      <c r="CR127" s="356"/>
      <c r="CS127" s="356"/>
      <c r="CT127" s="356"/>
      <c r="CU127" s="356"/>
      <c r="CV127" s="356"/>
      <c r="CW127" s="631"/>
      <c r="CX127" s="631"/>
      <c r="CY127" s="631"/>
      <c r="CZ127" s="631"/>
      <c r="DA127" s="631"/>
      <c r="DB127" s="631"/>
      <c r="DC127" s="631"/>
      <c r="DD127" s="631"/>
      <c r="DE127" s="631"/>
      <c r="DF127" s="631"/>
      <c r="DG127" s="631"/>
      <c r="DH127" s="631"/>
      <c r="DI127" s="631"/>
      <c r="DJ127" s="631"/>
      <c r="DK127" s="356"/>
      <c r="DL127" s="356"/>
      <c r="DM127" s="356"/>
      <c r="DN127" s="356"/>
      <c r="DO127" s="356"/>
      <c r="DP127" s="356"/>
      <c r="DQ127" s="356"/>
      <c r="DR127" s="356"/>
      <c r="DS127" s="356"/>
      <c r="DT127" s="356"/>
      <c r="DU127" s="356"/>
      <c r="DV127" s="356"/>
      <c r="DW127" s="356"/>
      <c r="DX127" s="356"/>
      <c r="DY127" s="356"/>
      <c r="DZ127" s="356"/>
      <c r="EA127" s="356"/>
      <c r="EB127" s="356"/>
      <c r="EC127" s="356"/>
      <c r="ED127" s="356"/>
      <c r="EE127" s="356"/>
      <c r="EF127" s="356"/>
      <c r="EG127" s="356"/>
    </row>
    <row r="128" spans="4:140" ht="3.75" customHeight="1" x14ac:dyDescent="0.25">
      <c r="D128" s="356"/>
      <c r="E128" s="356"/>
      <c r="F128" s="356"/>
      <c r="G128" s="356"/>
      <c r="H128" s="356"/>
      <c r="I128" s="356"/>
      <c r="J128" s="1148"/>
      <c r="K128" s="1149"/>
      <c r="L128" s="1149"/>
      <c r="M128" s="1149"/>
      <c r="N128" s="1149"/>
      <c r="O128" s="1149"/>
      <c r="P128" s="1149"/>
      <c r="Q128" s="1149"/>
      <c r="R128" s="1149"/>
      <c r="S128" s="1149"/>
      <c r="T128" s="1149"/>
      <c r="U128" s="1149"/>
      <c r="V128" s="1149"/>
      <c r="W128" s="1150"/>
      <c r="X128" s="356"/>
      <c r="Y128" s="356"/>
      <c r="Z128" s="356"/>
      <c r="AA128" s="356"/>
      <c r="AB128" s="356"/>
      <c r="AC128" s="356"/>
      <c r="AD128" s="356"/>
      <c r="AE128" s="356"/>
      <c r="AF128" s="356"/>
      <c r="AG128" s="1148"/>
      <c r="AH128" s="1149"/>
      <c r="AI128" s="1149"/>
      <c r="AJ128" s="1149"/>
      <c r="AK128" s="1149"/>
      <c r="AL128" s="1149"/>
      <c r="AM128" s="1149"/>
      <c r="AN128" s="1149"/>
      <c r="AO128" s="1149"/>
      <c r="AP128" s="1149"/>
      <c r="AQ128" s="1149"/>
      <c r="AR128" s="1149"/>
      <c r="AS128" s="1149"/>
      <c r="AT128" s="1150"/>
      <c r="AU128" s="356"/>
      <c r="AV128" s="356"/>
      <c r="AW128" s="356"/>
      <c r="AX128" s="356"/>
      <c r="AY128" s="356"/>
      <c r="AZ128" s="356"/>
      <c r="BA128" s="356"/>
      <c r="BB128" s="356"/>
      <c r="BC128" s="1148"/>
      <c r="BD128" s="1149"/>
      <c r="BE128" s="1149"/>
      <c r="BF128" s="1149"/>
      <c r="BG128" s="1149"/>
      <c r="BH128" s="1149"/>
      <c r="BI128" s="1149"/>
      <c r="BJ128" s="1149"/>
      <c r="BK128" s="1149"/>
      <c r="BL128" s="1149"/>
      <c r="BM128" s="1149"/>
      <c r="BN128" s="1149"/>
      <c r="BO128" s="1149"/>
      <c r="BP128" s="1150"/>
      <c r="BQ128" s="356"/>
      <c r="BR128" s="356"/>
      <c r="BS128" s="441"/>
      <c r="BT128" s="356"/>
      <c r="BU128" s="356"/>
      <c r="BV128" s="356"/>
      <c r="BW128" s="356"/>
      <c r="BX128" s="356"/>
      <c r="BY128" s="356"/>
      <c r="BZ128" s="356"/>
      <c r="CA128" s="356"/>
      <c r="CB128" s="356"/>
      <c r="CC128" s="356"/>
      <c r="CD128" s="356"/>
      <c r="CE128" s="356"/>
      <c r="CF128" s="356"/>
      <c r="CG128" s="356"/>
      <c r="CH128" s="356"/>
      <c r="CI128" s="356"/>
      <c r="CJ128" s="356"/>
      <c r="CK128" s="356"/>
      <c r="CL128" s="356"/>
      <c r="CM128" s="356"/>
      <c r="CN128" s="356"/>
      <c r="CO128" s="356"/>
      <c r="CP128" s="356"/>
      <c r="CQ128" s="356"/>
      <c r="CR128" s="356"/>
      <c r="CS128" s="356"/>
      <c r="CT128" s="356"/>
      <c r="CU128" s="356"/>
      <c r="CV128" s="356"/>
      <c r="DK128" s="356"/>
      <c r="DL128" s="356"/>
      <c r="DM128" s="356"/>
      <c r="DN128" s="356"/>
      <c r="DO128" s="356"/>
      <c r="DP128" s="356"/>
      <c r="DQ128" s="356"/>
      <c r="DR128" s="356"/>
      <c r="DS128" s="356"/>
      <c r="DT128" s="356"/>
      <c r="DU128" s="356"/>
      <c r="DV128" s="356"/>
      <c r="DW128" s="356"/>
      <c r="DX128" s="356"/>
      <c r="DY128" s="356"/>
      <c r="DZ128" s="356"/>
      <c r="EA128" s="356"/>
      <c r="EB128" s="356"/>
      <c r="EC128" s="356"/>
      <c r="ED128" s="356"/>
      <c r="EE128" s="356"/>
      <c r="EF128" s="356"/>
      <c r="EG128" s="356"/>
      <c r="EH128" s="356"/>
      <c r="EI128" s="356"/>
      <c r="EJ128" s="356"/>
    </row>
    <row r="129" spans="1:142" ht="3.75" customHeight="1" x14ac:dyDescent="0.25">
      <c r="D129" s="1076" t="s">
        <v>134</v>
      </c>
      <c r="E129" s="1076"/>
      <c r="F129" s="1076"/>
      <c r="G129" s="1076"/>
      <c r="H129" s="1076"/>
      <c r="I129" s="356"/>
      <c r="J129" s="1151"/>
      <c r="K129" s="1152"/>
      <c r="L129" s="1152"/>
      <c r="M129" s="1152"/>
      <c r="N129" s="1152"/>
      <c r="O129" s="1152"/>
      <c r="P129" s="1152"/>
      <c r="Q129" s="1152"/>
      <c r="R129" s="1152"/>
      <c r="S129" s="1152"/>
      <c r="T129" s="1152"/>
      <c r="U129" s="1152"/>
      <c r="V129" s="1152"/>
      <c r="W129" s="1153"/>
      <c r="X129" s="356"/>
      <c r="Y129" s="356"/>
      <c r="Z129" s="356"/>
      <c r="AA129" s="1076" t="s">
        <v>134</v>
      </c>
      <c r="AB129" s="1076"/>
      <c r="AC129" s="1076"/>
      <c r="AD129" s="1076"/>
      <c r="AE129" s="1076"/>
      <c r="AF129" s="356"/>
      <c r="AG129" s="1151"/>
      <c r="AH129" s="1152"/>
      <c r="AI129" s="1152"/>
      <c r="AJ129" s="1152"/>
      <c r="AK129" s="1152"/>
      <c r="AL129" s="1152"/>
      <c r="AM129" s="1152"/>
      <c r="AN129" s="1152"/>
      <c r="AO129" s="1152"/>
      <c r="AP129" s="1152"/>
      <c r="AQ129" s="1152"/>
      <c r="AR129" s="1152"/>
      <c r="AS129" s="1152"/>
      <c r="AT129" s="1153"/>
      <c r="AU129" s="356"/>
      <c r="AV129" s="356"/>
      <c r="AW129" s="1076" t="s">
        <v>134</v>
      </c>
      <c r="AX129" s="1076"/>
      <c r="AY129" s="1076"/>
      <c r="AZ129" s="1076"/>
      <c r="BA129" s="1076"/>
      <c r="BB129" s="356"/>
      <c r="BC129" s="1151"/>
      <c r="BD129" s="1152"/>
      <c r="BE129" s="1152"/>
      <c r="BF129" s="1152"/>
      <c r="BG129" s="1152"/>
      <c r="BH129" s="1152"/>
      <c r="BI129" s="1152"/>
      <c r="BJ129" s="1152"/>
      <c r="BK129" s="1152"/>
      <c r="BL129" s="1152"/>
      <c r="BM129" s="1152"/>
      <c r="BN129" s="1152"/>
      <c r="BO129" s="1152"/>
      <c r="BP129" s="1153"/>
      <c r="BS129" s="441"/>
      <c r="BT129" s="356"/>
      <c r="BU129" s="356"/>
      <c r="BV129" s="356"/>
      <c r="BW129" s="356"/>
      <c r="BX129" s="356"/>
      <c r="BY129" s="356"/>
      <c r="BZ129" s="356"/>
      <c r="CA129" s="356"/>
      <c r="CB129" s="356"/>
      <c r="CC129" s="356"/>
      <c r="CD129" s="356"/>
      <c r="CE129" s="356"/>
      <c r="CF129" s="356"/>
      <c r="EH129" s="356"/>
      <c r="EI129" s="356"/>
      <c r="EJ129" s="356"/>
    </row>
    <row r="130" spans="1:142" ht="3.75" customHeight="1" x14ac:dyDescent="0.25">
      <c r="D130" s="1076"/>
      <c r="E130" s="1076"/>
      <c r="F130" s="1076"/>
      <c r="G130" s="1076"/>
      <c r="H130" s="1076"/>
      <c r="I130" s="356"/>
      <c r="J130" s="1151"/>
      <c r="K130" s="1152"/>
      <c r="L130" s="1152"/>
      <c r="M130" s="1152"/>
      <c r="N130" s="1152"/>
      <c r="O130" s="1152"/>
      <c r="P130" s="1152"/>
      <c r="Q130" s="1152"/>
      <c r="R130" s="1152"/>
      <c r="S130" s="1152"/>
      <c r="T130" s="1152"/>
      <c r="U130" s="1152"/>
      <c r="V130" s="1152"/>
      <c r="W130" s="1153"/>
      <c r="X130" s="356"/>
      <c r="Y130" s="356"/>
      <c r="Z130" s="356"/>
      <c r="AA130" s="1076"/>
      <c r="AB130" s="1076"/>
      <c r="AC130" s="1076"/>
      <c r="AD130" s="1076"/>
      <c r="AE130" s="1076"/>
      <c r="AF130" s="356"/>
      <c r="AG130" s="1151"/>
      <c r="AH130" s="1152"/>
      <c r="AI130" s="1152"/>
      <c r="AJ130" s="1152"/>
      <c r="AK130" s="1152"/>
      <c r="AL130" s="1152"/>
      <c r="AM130" s="1152"/>
      <c r="AN130" s="1152"/>
      <c r="AO130" s="1152"/>
      <c r="AP130" s="1152"/>
      <c r="AQ130" s="1152"/>
      <c r="AR130" s="1152"/>
      <c r="AS130" s="1152"/>
      <c r="AT130" s="1153"/>
      <c r="AU130" s="356"/>
      <c r="AV130" s="356"/>
      <c r="AW130" s="1076"/>
      <c r="AX130" s="1076"/>
      <c r="AY130" s="1076"/>
      <c r="AZ130" s="1076"/>
      <c r="BA130" s="1076"/>
      <c r="BB130" s="356"/>
      <c r="BC130" s="1151"/>
      <c r="BD130" s="1152"/>
      <c r="BE130" s="1152"/>
      <c r="BF130" s="1152"/>
      <c r="BG130" s="1152"/>
      <c r="BH130" s="1152"/>
      <c r="BI130" s="1152"/>
      <c r="BJ130" s="1152"/>
      <c r="BK130" s="1152"/>
      <c r="BL130" s="1152"/>
      <c r="BM130" s="1152"/>
      <c r="BN130" s="1152"/>
      <c r="BO130" s="1152"/>
      <c r="BP130" s="1153"/>
      <c r="BS130" s="441"/>
      <c r="BT130" s="356"/>
      <c r="BU130" s="356"/>
      <c r="BV130" s="356"/>
      <c r="BW130" s="356"/>
      <c r="BX130" s="356"/>
      <c r="BY130" s="356"/>
      <c r="BZ130" s="356"/>
      <c r="CA130" s="356"/>
      <c r="CB130" s="356"/>
      <c r="CC130" s="356"/>
      <c r="CD130" s="356"/>
      <c r="CE130" s="356"/>
      <c r="CF130" s="356"/>
      <c r="CG130" s="1071" t="s">
        <v>807</v>
      </c>
      <c r="CH130" s="1071"/>
      <c r="CI130" s="1071"/>
      <c r="CJ130" s="1071"/>
      <c r="CK130" s="1071"/>
      <c r="CL130" s="1071"/>
      <c r="CM130" s="1071"/>
      <c r="CN130" s="1071"/>
      <c r="CO130" s="356"/>
      <c r="CP130" s="356"/>
      <c r="CQ130" s="356"/>
      <c r="CR130" s="356"/>
      <c r="CS130" s="356"/>
      <c r="CT130" s="356"/>
      <c r="CU130" s="356"/>
      <c r="CV130" s="356"/>
      <c r="CW130" s="356"/>
      <c r="CX130" s="356"/>
      <c r="CY130" s="356"/>
      <c r="CZ130" s="356"/>
      <c r="DA130" s="356"/>
      <c r="DB130" s="356"/>
      <c r="DC130" s="356"/>
      <c r="DD130" s="1071" t="s">
        <v>808</v>
      </c>
      <c r="DE130" s="1071"/>
      <c r="DF130" s="1071"/>
      <c r="DG130" s="1071"/>
      <c r="DH130" s="1071"/>
      <c r="DI130" s="1071"/>
      <c r="DJ130" s="1071"/>
      <c r="DK130" s="1071"/>
      <c r="DL130" s="356"/>
      <c r="DM130" s="356"/>
      <c r="DN130" s="356"/>
      <c r="DO130" s="356"/>
      <c r="DP130" s="356"/>
      <c r="DQ130" s="356"/>
      <c r="DR130" s="356"/>
      <c r="DS130" s="356"/>
      <c r="DT130" s="356"/>
      <c r="DU130" s="356"/>
      <c r="DV130" s="356"/>
      <c r="DW130" s="356"/>
      <c r="DX130" s="356"/>
      <c r="DY130" s="356"/>
      <c r="DZ130" s="1071" t="s">
        <v>809</v>
      </c>
      <c r="EA130" s="1071"/>
      <c r="EB130" s="1071"/>
      <c r="EC130" s="1071"/>
      <c r="ED130" s="1071"/>
      <c r="EE130" s="1071"/>
      <c r="EF130" s="1071"/>
      <c r="EG130" s="1071"/>
      <c r="EH130" s="356"/>
      <c r="EI130" s="356"/>
      <c r="EJ130" s="356"/>
    </row>
    <row r="131" spans="1:142" ht="3.75" customHeight="1" x14ac:dyDescent="0.25">
      <c r="D131" s="1076"/>
      <c r="E131" s="1076"/>
      <c r="F131" s="1076"/>
      <c r="G131" s="1076"/>
      <c r="H131" s="1076"/>
      <c r="I131" s="356"/>
      <c r="J131" s="1151"/>
      <c r="K131" s="1152"/>
      <c r="L131" s="1152"/>
      <c r="M131" s="1152"/>
      <c r="N131" s="1152"/>
      <c r="O131" s="1152"/>
      <c r="P131" s="1152"/>
      <c r="Q131" s="1152"/>
      <c r="R131" s="1152"/>
      <c r="S131" s="1152"/>
      <c r="T131" s="1152"/>
      <c r="U131" s="1152"/>
      <c r="V131" s="1152"/>
      <c r="W131" s="1153"/>
      <c r="X131" s="356"/>
      <c r="Y131" s="356"/>
      <c r="Z131" s="356"/>
      <c r="AA131" s="1076"/>
      <c r="AB131" s="1076"/>
      <c r="AC131" s="1076"/>
      <c r="AD131" s="1076"/>
      <c r="AE131" s="1076"/>
      <c r="AF131" s="356"/>
      <c r="AG131" s="1151"/>
      <c r="AH131" s="1152"/>
      <c r="AI131" s="1152"/>
      <c r="AJ131" s="1152"/>
      <c r="AK131" s="1152"/>
      <c r="AL131" s="1152"/>
      <c r="AM131" s="1152"/>
      <c r="AN131" s="1152"/>
      <c r="AO131" s="1152"/>
      <c r="AP131" s="1152"/>
      <c r="AQ131" s="1152"/>
      <c r="AR131" s="1152"/>
      <c r="AS131" s="1152"/>
      <c r="AT131" s="1153"/>
      <c r="AU131" s="356"/>
      <c r="AV131" s="356"/>
      <c r="AW131" s="1076"/>
      <c r="AX131" s="1076"/>
      <c r="AY131" s="1076"/>
      <c r="AZ131" s="1076"/>
      <c r="BA131" s="1076"/>
      <c r="BB131" s="356"/>
      <c r="BC131" s="1151"/>
      <c r="BD131" s="1152"/>
      <c r="BE131" s="1152"/>
      <c r="BF131" s="1152"/>
      <c r="BG131" s="1152"/>
      <c r="BH131" s="1152"/>
      <c r="BI131" s="1152"/>
      <c r="BJ131" s="1152"/>
      <c r="BK131" s="1152"/>
      <c r="BL131" s="1152"/>
      <c r="BM131" s="1152"/>
      <c r="BN131" s="1152"/>
      <c r="BO131" s="1152"/>
      <c r="BP131" s="1153"/>
      <c r="BS131" s="441"/>
      <c r="BT131" s="356"/>
      <c r="BU131" s="356"/>
      <c r="BV131" s="356"/>
      <c r="BW131" s="356"/>
      <c r="BX131" s="356"/>
      <c r="BY131" s="356"/>
      <c r="BZ131" s="356"/>
      <c r="CA131" s="356"/>
      <c r="CB131" s="356"/>
      <c r="CC131" s="356"/>
      <c r="CD131" s="356"/>
      <c r="CE131" s="356"/>
      <c r="CF131" s="356"/>
      <c r="CG131" s="1071"/>
      <c r="CH131" s="1071"/>
      <c r="CI131" s="1071"/>
      <c r="CJ131" s="1071"/>
      <c r="CK131" s="1071"/>
      <c r="CL131" s="1071"/>
      <c r="CM131" s="1071"/>
      <c r="CN131" s="1071"/>
      <c r="CO131" s="356"/>
      <c r="CP131" s="356"/>
      <c r="CQ131" s="356"/>
      <c r="CR131" s="356"/>
      <c r="CS131" s="356"/>
      <c r="CT131" s="356"/>
      <c r="CU131" s="356"/>
      <c r="CV131" s="356"/>
      <c r="CW131" s="356"/>
      <c r="CX131" s="356"/>
      <c r="CY131" s="356"/>
      <c r="CZ131" s="356"/>
      <c r="DA131" s="356"/>
      <c r="DB131" s="356"/>
      <c r="DC131" s="356"/>
      <c r="DD131" s="1071"/>
      <c r="DE131" s="1071"/>
      <c r="DF131" s="1071"/>
      <c r="DG131" s="1071"/>
      <c r="DH131" s="1071"/>
      <c r="DI131" s="1071"/>
      <c r="DJ131" s="1071"/>
      <c r="DK131" s="1071"/>
      <c r="DL131" s="356"/>
      <c r="DM131" s="356"/>
      <c r="DN131" s="356"/>
      <c r="DO131" s="356"/>
      <c r="DP131" s="356"/>
      <c r="DQ131" s="356"/>
      <c r="DR131" s="356"/>
      <c r="DS131" s="356"/>
      <c r="DT131" s="356"/>
      <c r="DU131" s="356"/>
      <c r="DV131" s="356"/>
      <c r="DW131" s="356"/>
      <c r="DX131" s="356"/>
      <c r="DY131" s="356"/>
      <c r="DZ131" s="1071"/>
      <c r="EA131" s="1071"/>
      <c r="EB131" s="1071"/>
      <c r="EC131" s="1071"/>
      <c r="ED131" s="1071"/>
      <c r="EE131" s="1071"/>
      <c r="EF131" s="1071"/>
      <c r="EG131" s="1071"/>
      <c r="EH131" s="356"/>
      <c r="EI131" s="356"/>
      <c r="EJ131" s="356"/>
    </row>
    <row r="132" spans="1:142" ht="3.75" customHeight="1" x14ac:dyDescent="0.25">
      <c r="D132" s="356"/>
      <c r="E132" s="356"/>
      <c r="F132" s="356"/>
      <c r="G132" s="356"/>
      <c r="H132" s="356"/>
      <c r="I132" s="356"/>
      <c r="J132" s="1154"/>
      <c r="K132" s="1155"/>
      <c r="L132" s="1155"/>
      <c r="M132" s="1155"/>
      <c r="N132" s="1155"/>
      <c r="O132" s="1155"/>
      <c r="P132" s="1155"/>
      <c r="Q132" s="1155"/>
      <c r="R132" s="1155"/>
      <c r="S132" s="1155"/>
      <c r="T132" s="1155"/>
      <c r="U132" s="1155"/>
      <c r="V132" s="1155"/>
      <c r="W132" s="1156"/>
      <c r="X132" s="356"/>
      <c r="Y132" s="356"/>
      <c r="Z132" s="356"/>
      <c r="AA132" s="356"/>
      <c r="AB132" s="356"/>
      <c r="AC132" s="356"/>
      <c r="AD132" s="356"/>
      <c r="AE132" s="356"/>
      <c r="AF132" s="356"/>
      <c r="AG132" s="1154"/>
      <c r="AH132" s="1155"/>
      <c r="AI132" s="1155"/>
      <c r="AJ132" s="1155"/>
      <c r="AK132" s="1155"/>
      <c r="AL132" s="1155"/>
      <c r="AM132" s="1155"/>
      <c r="AN132" s="1155"/>
      <c r="AO132" s="1155"/>
      <c r="AP132" s="1155"/>
      <c r="AQ132" s="1155"/>
      <c r="AR132" s="1155"/>
      <c r="AS132" s="1155"/>
      <c r="AT132" s="1156"/>
      <c r="AU132" s="356"/>
      <c r="AV132" s="356"/>
      <c r="AW132" s="356"/>
      <c r="AX132" s="356"/>
      <c r="AY132" s="356"/>
      <c r="AZ132" s="356"/>
      <c r="BA132" s="356"/>
      <c r="BB132" s="356"/>
      <c r="BC132" s="1154"/>
      <c r="BD132" s="1155"/>
      <c r="BE132" s="1155"/>
      <c r="BF132" s="1155"/>
      <c r="BG132" s="1155"/>
      <c r="BH132" s="1155"/>
      <c r="BI132" s="1155"/>
      <c r="BJ132" s="1155"/>
      <c r="BK132" s="1155"/>
      <c r="BL132" s="1155"/>
      <c r="BM132" s="1155"/>
      <c r="BN132" s="1155"/>
      <c r="BO132" s="1155"/>
      <c r="BP132" s="1156"/>
      <c r="BS132" s="441"/>
      <c r="BT132" s="356"/>
      <c r="BU132" s="356"/>
      <c r="BV132" s="356"/>
      <c r="BW132" s="356"/>
      <c r="BX132" s="356"/>
      <c r="BY132" s="356"/>
      <c r="BZ132" s="356"/>
      <c r="CA132" s="356"/>
      <c r="CB132" s="356"/>
      <c r="CC132" s="356"/>
      <c r="CD132" s="356"/>
      <c r="CE132" s="356"/>
      <c r="CF132" s="356"/>
      <c r="EH132" s="356"/>
      <c r="EI132" s="356"/>
      <c r="EJ132" s="356"/>
    </row>
    <row r="133" spans="1:142" ht="3.75" customHeight="1" x14ac:dyDescent="0.25">
      <c r="D133" s="356"/>
      <c r="E133" s="356"/>
      <c r="F133" s="356"/>
      <c r="G133" s="356"/>
      <c r="H133" s="356"/>
      <c r="I133" s="356"/>
      <c r="J133" s="356"/>
      <c r="K133" s="356"/>
      <c r="L133" s="356"/>
      <c r="M133" s="356"/>
      <c r="N133" s="356"/>
      <c r="O133" s="356"/>
      <c r="P133" s="356"/>
      <c r="Q133" s="356"/>
      <c r="R133" s="356"/>
      <c r="S133" s="356"/>
      <c r="T133" s="356"/>
      <c r="U133" s="356"/>
      <c r="V133" s="356"/>
      <c r="W133" s="356"/>
      <c r="X133" s="356"/>
      <c r="Y133" s="356"/>
      <c r="Z133" s="356"/>
      <c r="AA133" s="356"/>
      <c r="AB133" s="356"/>
      <c r="AC133" s="356"/>
      <c r="AD133" s="356"/>
      <c r="AE133" s="356"/>
      <c r="AF133" s="356"/>
      <c r="AG133" s="356"/>
      <c r="AH133" s="356"/>
      <c r="AI133" s="356"/>
      <c r="AJ133" s="356"/>
      <c r="AK133" s="356"/>
      <c r="AL133" s="356"/>
      <c r="AM133" s="356"/>
      <c r="AN133" s="356"/>
      <c r="AO133" s="356"/>
      <c r="AP133" s="356"/>
      <c r="AQ133" s="356"/>
      <c r="AR133" s="356"/>
      <c r="AS133" s="356"/>
      <c r="AT133" s="356"/>
      <c r="AU133" s="356"/>
      <c r="AV133" s="356"/>
      <c r="AW133" s="356"/>
      <c r="AX133" s="356"/>
      <c r="AY133" s="356"/>
      <c r="AZ133" s="356"/>
      <c r="BA133" s="356"/>
      <c r="BB133" s="356"/>
      <c r="BC133" s="356"/>
      <c r="BD133" s="356"/>
      <c r="BE133" s="356"/>
      <c r="BF133" s="356"/>
      <c r="BG133" s="356"/>
      <c r="BH133" s="356"/>
      <c r="BI133" s="356"/>
      <c r="BJ133" s="356"/>
      <c r="BK133" s="356"/>
      <c r="BL133" s="356"/>
      <c r="BM133" s="356"/>
      <c r="BN133" s="356"/>
      <c r="BO133" s="356"/>
      <c r="BP133" s="356"/>
      <c r="BS133" s="441"/>
      <c r="BT133" s="356"/>
      <c r="BU133" s="356"/>
      <c r="BV133" s="356"/>
      <c r="BW133" s="356"/>
      <c r="BX133" s="356"/>
      <c r="BY133" s="356"/>
      <c r="BZ133" s="356"/>
      <c r="CA133" s="356"/>
      <c r="CB133" s="356"/>
      <c r="CC133" s="356"/>
      <c r="CD133" s="356"/>
      <c r="CE133" s="356"/>
      <c r="CF133" s="356"/>
      <c r="EH133" s="356"/>
      <c r="EI133" s="356"/>
      <c r="EJ133" s="356"/>
    </row>
    <row r="134" spans="1:142" ht="3.75" customHeight="1" x14ac:dyDescent="0.25">
      <c r="D134" s="356"/>
      <c r="E134" s="356"/>
      <c r="F134" s="356"/>
      <c r="G134" s="356"/>
      <c r="H134" s="356"/>
      <c r="I134" s="356"/>
      <c r="J134" s="356"/>
      <c r="K134" s="356"/>
      <c r="L134" s="356"/>
      <c r="M134" s="356"/>
      <c r="N134" s="356"/>
      <c r="O134" s="356"/>
      <c r="P134" s="356"/>
      <c r="Q134" s="356"/>
      <c r="R134" s="356"/>
      <c r="S134" s="356"/>
      <c r="T134" s="356"/>
      <c r="U134" s="356"/>
      <c r="V134" s="356"/>
      <c r="W134" s="356"/>
      <c r="X134" s="356"/>
      <c r="Y134" s="356"/>
      <c r="Z134" s="356"/>
      <c r="AA134" s="356"/>
      <c r="AB134" s="356"/>
      <c r="AC134" s="356"/>
      <c r="AD134" s="356"/>
      <c r="AE134" s="356"/>
      <c r="AF134" s="356"/>
      <c r="AG134" s="356"/>
      <c r="AH134" s="356"/>
      <c r="AI134" s="356"/>
      <c r="AJ134" s="356"/>
      <c r="AK134" s="356"/>
      <c r="AL134" s="356"/>
      <c r="AM134" s="356"/>
      <c r="AN134" s="356"/>
      <c r="AO134" s="356"/>
      <c r="AP134" s="356"/>
      <c r="AQ134" s="356"/>
      <c r="AR134" s="356"/>
      <c r="AS134" s="356"/>
      <c r="AT134" s="356"/>
      <c r="AU134" s="356"/>
      <c r="AV134" s="356"/>
      <c r="AW134" s="356"/>
      <c r="AX134" s="356"/>
      <c r="AY134" s="356"/>
      <c r="AZ134" s="356"/>
      <c r="BA134" s="356"/>
      <c r="BB134" s="356"/>
      <c r="BC134" s="356"/>
      <c r="BD134" s="356"/>
      <c r="BE134" s="356"/>
      <c r="BF134" s="356"/>
      <c r="BG134" s="356"/>
      <c r="BH134" s="356"/>
      <c r="BI134" s="356"/>
      <c r="BJ134" s="356"/>
      <c r="BK134" s="356"/>
      <c r="BL134" s="356"/>
      <c r="BM134" s="356"/>
      <c r="BN134" s="356"/>
      <c r="BO134" s="356"/>
      <c r="BP134" s="356"/>
      <c r="BS134" s="441"/>
      <c r="BT134" s="356"/>
      <c r="BU134" s="356"/>
      <c r="BV134" s="356"/>
      <c r="BW134" s="356"/>
      <c r="BX134" s="356"/>
      <c r="BY134" s="356"/>
      <c r="BZ134" s="356"/>
      <c r="CA134" s="356"/>
      <c r="CB134" s="356"/>
      <c r="CC134" s="356"/>
      <c r="CD134" s="356"/>
      <c r="CE134" s="356"/>
      <c r="CF134" s="356"/>
      <c r="CG134" s="356"/>
      <c r="CH134" s="356"/>
      <c r="CI134" s="356"/>
      <c r="CJ134" s="356"/>
      <c r="CK134" s="356"/>
      <c r="CL134" s="356"/>
      <c r="CM134" s="356"/>
      <c r="CN134" s="356"/>
      <c r="CO134" s="356"/>
      <c r="CP134" s="356"/>
      <c r="CQ134" s="356"/>
      <c r="CR134" s="356"/>
      <c r="CS134" s="356"/>
      <c r="CT134" s="356"/>
      <c r="CU134" s="356"/>
      <c r="CV134" s="356"/>
      <c r="CW134" s="356"/>
      <c r="CX134" s="356"/>
      <c r="CY134" s="356"/>
      <c r="CZ134" s="356"/>
      <c r="DA134" s="356"/>
      <c r="DB134" s="356"/>
      <c r="DC134" s="356"/>
      <c r="DD134" s="356"/>
      <c r="DE134" s="356"/>
      <c r="DF134" s="356"/>
      <c r="DG134" s="356"/>
      <c r="DH134" s="356"/>
      <c r="DI134" s="356"/>
      <c r="DJ134" s="356"/>
      <c r="DK134" s="356"/>
      <c r="DL134" s="356"/>
      <c r="DM134" s="356"/>
      <c r="DN134" s="356"/>
      <c r="DO134" s="356"/>
      <c r="DP134" s="356"/>
      <c r="DQ134" s="356"/>
      <c r="DR134" s="356"/>
      <c r="DS134" s="356"/>
      <c r="DT134" s="356"/>
      <c r="DU134" s="356"/>
      <c r="DV134" s="356"/>
      <c r="DW134" s="356"/>
      <c r="DX134" s="356"/>
      <c r="DY134" s="356"/>
      <c r="DZ134" s="356"/>
      <c r="EA134" s="356"/>
      <c r="EB134" s="356"/>
      <c r="EC134" s="356"/>
      <c r="ED134" s="356"/>
      <c r="EE134" s="356"/>
      <c r="EF134" s="356"/>
      <c r="EG134" s="356"/>
      <c r="EH134" s="356"/>
      <c r="EI134" s="356"/>
      <c r="EJ134" s="356"/>
    </row>
    <row r="135" spans="1:142" ht="3.75" customHeight="1" x14ac:dyDescent="0.25">
      <c r="D135" s="356"/>
      <c r="E135" s="356"/>
      <c r="F135" s="356"/>
      <c r="G135" s="356"/>
      <c r="H135" s="356"/>
      <c r="I135" s="356"/>
      <c r="J135" s="356"/>
      <c r="K135" s="356"/>
      <c r="L135" s="356"/>
      <c r="M135" s="356"/>
      <c r="N135" s="356"/>
      <c r="O135" s="356"/>
      <c r="P135" s="356"/>
      <c r="Q135" s="356"/>
      <c r="R135" s="356"/>
      <c r="S135" s="356"/>
      <c r="T135" s="356"/>
      <c r="U135" s="356"/>
      <c r="V135" s="356"/>
      <c r="W135" s="356"/>
      <c r="X135" s="356"/>
      <c r="Y135" s="356"/>
      <c r="Z135" s="356"/>
      <c r="AA135" s="356"/>
      <c r="AB135" s="356"/>
      <c r="AC135" s="356"/>
      <c r="AD135" s="356"/>
      <c r="AE135" s="356"/>
      <c r="AF135" s="356"/>
      <c r="AG135" s="356"/>
      <c r="AH135" s="356"/>
      <c r="AI135" s="356"/>
      <c r="AJ135" s="356"/>
      <c r="AK135" s="356"/>
      <c r="AL135" s="356"/>
      <c r="AM135" s="356"/>
      <c r="AN135" s="356"/>
      <c r="AO135" s="356"/>
      <c r="AP135" s="356"/>
      <c r="AQ135" s="356"/>
      <c r="AR135" s="356"/>
      <c r="AS135" s="356"/>
      <c r="AT135" s="356"/>
      <c r="AU135" s="356"/>
      <c r="AV135" s="356"/>
      <c r="AW135" s="356"/>
      <c r="AX135" s="356"/>
      <c r="AY135" s="356"/>
      <c r="AZ135" s="356"/>
      <c r="BA135" s="356"/>
      <c r="BB135" s="356"/>
      <c r="BC135" s="356"/>
      <c r="BD135" s="356"/>
      <c r="BE135" s="356"/>
      <c r="BF135" s="356"/>
      <c r="BG135" s="356"/>
      <c r="BH135" s="356"/>
      <c r="BI135" s="356"/>
      <c r="BJ135" s="356"/>
      <c r="BK135" s="356"/>
      <c r="BL135" s="356"/>
      <c r="BM135" s="356"/>
      <c r="BN135" s="356"/>
      <c r="BO135" s="356"/>
      <c r="BP135" s="356"/>
      <c r="BS135" s="441"/>
      <c r="BT135" s="356"/>
      <c r="BU135" s="356"/>
      <c r="BV135" s="356"/>
      <c r="BW135" s="356"/>
      <c r="BX135" s="356"/>
      <c r="BY135" s="356"/>
      <c r="BZ135" s="356"/>
      <c r="CA135" s="356"/>
      <c r="CB135" s="356"/>
      <c r="CC135" s="356"/>
      <c r="CD135" s="1148"/>
      <c r="CE135" s="1149"/>
      <c r="CF135" s="1149"/>
      <c r="CG135" s="1149"/>
      <c r="CH135" s="1149"/>
      <c r="CI135" s="1149"/>
      <c r="CJ135" s="1149"/>
      <c r="CK135" s="1149"/>
      <c r="CL135" s="1149"/>
      <c r="CM135" s="1149"/>
      <c r="CN135" s="1149"/>
      <c r="CO135" s="1149"/>
      <c r="CP135" s="1149"/>
      <c r="CQ135" s="1150"/>
      <c r="CR135" s="356"/>
      <c r="CS135" s="356"/>
      <c r="CT135" s="356"/>
      <c r="CU135" s="356"/>
      <c r="CV135" s="356"/>
      <c r="CW135" s="356"/>
      <c r="CX135" s="356"/>
      <c r="CY135" s="356"/>
      <c r="CZ135" s="356"/>
      <c r="DA135" s="1148"/>
      <c r="DB135" s="1149"/>
      <c r="DC135" s="1149"/>
      <c r="DD135" s="1149"/>
      <c r="DE135" s="1149"/>
      <c r="DF135" s="1149"/>
      <c r="DG135" s="1149"/>
      <c r="DH135" s="1149"/>
      <c r="DI135" s="1149"/>
      <c r="DJ135" s="1149"/>
      <c r="DK135" s="1149"/>
      <c r="DL135" s="1149"/>
      <c r="DM135" s="1149"/>
      <c r="DN135" s="1150"/>
      <c r="DO135" s="356"/>
      <c r="DP135" s="356"/>
      <c r="DQ135" s="356"/>
      <c r="DR135" s="356"/>
      <c r="DS135" s="356"/>
      <c r="DT135" s="356"/>
      <c r="DU135" s="356"/>
      <c r="DV135" s="356"/>
      <c r="DW135" s="1148"/>
      <c r="DX135" s="1149"/>
      <c r="DY135" s="1149"/>
      <c r="DZ135" s="1149"/>
      <c r="EA135" s="1149"/>
      <c r="EB135" s="1149"/>
      <c r="EC135" s="1149"/>
      <c r="ED135" s="1149"/>
      <c r="EE135" s="1149"/>
      <c r="EF135" s="1149"/>
      <c r="EG135" s="1149"/>
      <c r="EH135" s="1149"/>
      <c r="EI135" s="1149"/>
      <c r="EJ135" s="1150"/>
    </row>
    <row r="136" spans="1:142" ht="3.75" customHeight="1" x14ac:dyDescent="0.25">
      <c r="D136" s="356"/>
      <c r="E136" s="356"/>
      <c r="F136" s="356"/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356"/>
      <c r="X136" s="356"/>
      <c r="Y136" s="356"/>
      <c r="Z136" s="356"/>
      <c r="AA136" s="356"/>
      <c r="AB136" s="356"/>
      <c r="AC136" s="356"/>
      <c r="AD136" s="356"/>
      <c r="AE136" s="356"/>
      <c r="AF136" s="356"/>
      <c r="AG136" s="356"/>
      <c r="AH136" s="356"/>
      <c r="AI136" s="356"/>
      <c r="AJ136" s="356"/>
      <c r="AK136" s="356"/>
      <c r="AL136" s="356"/>
      <c r="AM136" s="356"/>
      <c r="AN136" s="356"/>
      <c r="AO136" s="356"/>
      <c r="AP136" s="356"/>
      <c r="AQ136" s="356"/>
      <c r="AR136" s="356"/>
      <c r="AS136" s="356"/>
      <c r="AT136" s="356"/>
      <c r="AU136" s="356"/>
      <c r="AV136" s="356"/>
      <c r="AW136" s="356"/>
      <c r="AX136" s="356"/>
      <c r="AY136" s="356"/>
      <c r="AZ136" s="356"/>
      <c r="BA136" s="356"/>
      <c r="BB136" s="356"/>
      <c r="BC136" s="356"/>
      <c r="BD136" s="356"/>
      <c r="BE136" s="356"/>
      <c r="BF136" s="356"/>
      <c r="BG136" s="363"/>
      <c r="BH136" s="363"/>
      <c r="BI136" s="363"/>
      <c r="BJ136" s="363"/>
      <c r="BK136" s="363"/>
      <c r="BL136" s="363"/>
      <c r="BM136" s="363"/>
      <c r="BN136" s="363"/>
      <c r="BO136" s="363"/>
      <c r="BP136" s="363"/>
      <c r="BS136" s="441"/>
      <c r="BT136" s="356"/>
      <c r="BU136" s="356"/>
      <c r="BV136" s="356"/>
      <c r="BW136" s="356"/>
      <c r="BX136" s="1076" t="s">
        <v>134</v>
      </c>
      <c r="BY136" s="1076"/>
      <c r="BZ136" s="1076"/>
      <c r="CA136" s="1076"/>
      <c r="CB136" s="1076"/>
      <c r="CC136" s="356"/>
      <c r="CD136" s="1151"/>
      <c r="CE136" s="1152"/>
      <c r="CF136" s="1152"/>
      <c r="CG136" s="1152"/>
      <c r="CH136" s="1152"/>
      <c r="CI136" s="1152"/>
      <c r="CJ136" s="1152"/>
      <c r="CK136" s="1152"/>
      <c r="CL136" s="1152"/>
      <c r="CM136" s="1152"/>
      <c r="CN136" s="1152"/>
      <c r="CO136" s="1152"/>
      <c r="CP136" s="1152"/>
      <c r="CQ136" s="1153"/>
      <c r="CR136" s="356"/>
      <c r="CS136" s="356"/>
      <c r="CT136" s="356"/>
      <c r="CU136" s="1076" t="s">
        <v>134</v>
      </c>
      <c r="CV136" s="1076"/>
      <c r="CW136" s="1076"/>
      <c r="CX136" s="1076"/>
      <c r="CY136" s="1076"/>
      <c r="CZ136" s="356"/>
      <c r="DA136" s="1151"/>
      <c r="DB136" s="1152"/>
      <c r="DC136" s="1152"/>
      <c r="DD136" s="1152"/>
      <c r="DE136" s="1152"/>
      <c r="DF136" s="1152"/>
      <c r="DG136" s="1152"/>
      <c r="DH136" s="1152"/>
      <c r="DI136" s="1152"/>
      <c r="DJ136" s="1152"/>
      <c r="DK136" s="1152"/>
      <c r="DL136" s="1152"/>
      <c r="DM136" s="1152"/>
      <c r="DN136" s="1153"/>
      <c r="DO136" s="356"/>
      <c r="DP136" s="356"/>
      <c r="DQ136" s="1076" t="s">
        <v>134</v>
      </c>
      <c r="DR136" s="1076"/>
      <c r="DS136" s="1076"/>
      <c r="DT136" s="1076"/>
      <c r="DU136" s="1076"/>
      <c r="DV136" s="356"/>
      <c r="DW136" s="1151"/>
      <c r="DX136" s="1152"/>
      <c r="DY136" s="1152"/>
      <c r="DZ136" s="1152"/>
      <c r="EA136" s="1152"/>
      <c r="EB136" s="1152"/>
      <c r="EC136" s="1152"/>
      <c r="ED136" s="1152"/>
      <c r="EE136" s="1152"/>
      <c r="EF136" s="1152"/>
      <c r="EG136" s="1152"/>
      <c r="EH136" s="1152"/>
      <c r="EI136" s="1152"/>
      <c r="EJ136" s="1153"/>
    </row>
    <row r="137" spans="1:142" ht="3.75" customHeight="1" x14ac:dyDescent="0.25">
      <c r="D137" s="356"/>
      <c r="E137" s="356"/>
      <c r="F137" s="356"/>
      <c r="G137" s="356"/>
      <c r="H137" s="356"/>
      <c r="I137" s="356"/>
      <c r="J137" s="356"/>
      <c r="K137" s="1053"/>
      <c r="L137" s="1053"/>
      <c r="M137" s="1053"/>
      <c r="N137" s="356"/>
      <c r="O137" s="1098" t="s">
        <v>804</v>
      </c>
      <c r="P137" s="1098"/>
      <c r="Q137" s="1098"/>
      <c r="R137" s="1098"/>
      <c r="S137" s="1098"/>
      <c r="T137" s="1098"/>
      <c r="U137" s="1098"/>
      <c r="V137" s="1098"/>
      <c r="W137" s="1098"/>
      <c r="X137" s="1098"/>
      <c r="Y137" s="1098"/>
      <c r="Z137" s="1098"/>
      <c r="AA137" s="1098"/>
      <c r="AB137" s="1098"/>
      <c r="AC137" s="1098"/>
      <c r="AD137" s="1098"/>
      <c r="AE137" s="1098"/>
      <c r="AF137" s="1098"/>
      <c r="AG137" s="1098"/>
      <c r="AH137" s="1098"/>
      <c r="AI137" s="1098"/>
      <c r="AJ137" s="1098"/>
      <c r="AK137" s="1098"/>
      <c r="AL137" s="1098"/>
      <c r="AM137" s="1098"/>
      <c r="AN137" s="1098"/>
      <c r="AO137" s="356"/>
      <c r="AP137" s="356"/>
      <c r="AQ137" s="1053"/>
      <c r="AR137" s="1053"/>
      <c r="AS137" s="1053"/>
      <c r="AT137" s="356"/>
      <c r="AU137" s="1098" t="s">
        <v>805</v>
      </c>
      <c r="AV137" s="1098"/>
      <c r="AW137" s="1098"/>
      <c r="AX137" s="1098"/>
      <c r="AY137" s="1098"/>
      <c r="AZ137" s="1098"/>
      <c r="BA137" s="1098"/>
      <c r="BB137" s="1098"/>
      <c r="BC137" s="1098"/>
      <c r="BD137" s="1098"/>
      <c r="BE137" s="1098"/>
      <c r="BF137" s="1098"/>
      <c r="BG137" s="1098"/>
      <c r="BH137" s="1098"/>
      <c r="BI137" s="1098"/>
      <c r="BJ137" s="1098"/>
      <c r="BK137" s="363"/>
      <c r="BL137" s="363"/>
      <c r="BM137" s="363"/>
      <c r="BN137" s="363"/>
      <c r="BO137" s="363"/>
      <c r="BP137" s="363"/>
      <c r="BS137" s="441"/>
      <c r="BT137" s="356"/>
      <c r="BU137" s="356"/>
      <c r="BV137" s="356"/>
      <c r="BW137" s="356"/>
      <c r="BX137" s="1076"/>
      <c r="BY137" s="1076"/>
      <c r="BZ137" s="1076"/>
      <c r="CA137" s="1076"/>
      <c r="CB137" s="1076"/>
      <c r="CC137" s="356"/>
      <c r="CD137" s="1151"/>
      <c r="CE137" s="1152"/>
      <c r="CF137" s="1152"/>
      <c r="CG137" s="1152"/>
      <c r="CH137" s="1152"/>
      <c r="CI137" s="1152"/>
      <c r="CJ137" s="1152"/>
      <c r="CK137" s="1152"/>
      <c r="CL137" s="1152"/>
      <c r="CM137" s="1152"/>
      <c r="CN137" s="1152"/>
      <c r="CO137" s="1152"/>
      <c r="CP137" s="1152"/>
      <c r="CQ137" s="1153"/>
      <c r="CR137" s="356"/>
      <c r="CS137" s="356"/>
      <c r="CT137" s="356"/>
      <c r="CU137" s="1076"/>
      <c r="CV137" s="1076"/>
      <c r="CW137" s="1076"/>
      <c r="CX137" s="1076"/>
      <c r="CY137" s="1076"/>
      <c r="CZ137" s="356"/>
      <c r="DA137" s="1151"/>
      <c r="DB137" s="1152"/>
      <c r="DC137" s="1152"/>
      <c r="DD137" s="1152"/>
      <c r="DE137" s="1152"/>
      <c r="DF137" s="1152"/>
      <c r="DG137" s="1152"/>
      <c r="DH137" s="1152"/>
      <c r="DI137" s="1152"/>
      <c r="DJ137" s="1152"/>
      <c r="DK137" s="1152"/>
      <c r="DL137" s="1152"/>
      <c r="DM137" s="1152"/>
      <c r="DN137" s="1153"/>
      <c r="DO137" s="356"/>
      <c r="DP137" s="356"/>
      <c r="DQ137" s="1076"/>
      <c r="DR137" s="1076"/>
      <c r="DS137" s="1076"/>
      <c r="DT137" s="1076"/>
      <c r="DU137" s="1076"/>
      <c r="DV137" s="356"/>
      <c r="DW137" s="1151"/>
      <c r="DX137" s="1152"/>
      <c r="DY137" s="1152"/>
      <c r="DZ137" s="1152"/>
      <c r="EA137" s="1152"/>
      <c r="EB137" s="1152"/>
      <c r="EC137" s="1152"/>
      <c r="ED137" s="1152"/>
      <c r="EE137" s="1152"/>
      <c r="EF137" s="1152"/>
      <c r="EG137" s="1152"/>
      <c r="EH137" s="1152"/>
      <c r="EI137" s="1152"/>
      <c r="EJ137" s="1153"/>
    </row>
    <row r="138" spans="1:142" ht="3.75" customHeight="1" x14ac:dyDescent="0.25">
      <c r="D138" s="356"/>
      <c r="E138" s="356"/>
      <c r="F138" s="356"/>
      <c r="G138" s="356"/>
      <c r="H138" s="356"/>
      <c r="I138" s="356"/>
      <c r="J138" s="356"/>
      <c r="K138" s="1053"/>
      <c r="L138" s="1053"/>
      <c r="M138" s="1053"/>
      <c r="N138" s="356"/>
      <c r="O138" s="1098"/>
      <c r="P138" s="1098"/>
      <c r="Q138" s="1098"/>
      <c r="R138" s="1098"/>
      <c r="S138" s="1098"/>
      <c r="T138" s="1098"/>
      <c r="U138" s="1098"/>
      <c r="V138" s="1098"/>
      <c r="W138" s="1098"/>
      <c r="X138" s="1098"/>
      <c r="Y138" s="1098"/>
      <c r="Z138" s="1098"/>
      <c r="AA138" s="1098"/>
      <c r="AB138" s="1098"/>
      <c r="AC138" s="1098"/>
      <c r="AD138" s="1098"/>
      <c r="AE138" s="1098"/>
      <c r="AF138" s="1098"/>
      <c r="AG138" s="1098"/>
      <c r="AH138" s="1098"/>
      <c r="AI138" s="1098"/>
      <c r="AJ138" s="1098"/>
      <c r="AK138" s="1098"/>
      <c r="AL138" s="1098"/>
      <c r="AM138" s="1098"/>
      <c r="AN138" s="1098"/>
      <c r="AO138" s="356"/>
      <c r="AP138" s="356"/>
      <c r="AQ138" s="1053"/>
      <c r="AR138" s="1053"/>
      <c r="AS138" s="1053"/>
      <c r="AT138" s="356"/>
      <c r="AU138" s="1098"/>
      <c r="AV138" s="1098"/>
      <c r="AW138" s="1098"/>
      <c r="AX138" s="1098"/>
      <c r="AY138" s="1098"/>
      <c r="AZ138" s="1098"/>
      <c r="BA138" s="1098"/>
      <c r="BB138" s="1098"/>
      <c r="BC138" s="1098"/>
      <c r="BD138" s="1098"/>
      <c r="BE138" s="1098"/>
      <c r="BF138" s="1098"/>
      <c r="BG138" s="1098"/>
      <c r="BH138" s="1098"/>
      <c r="BI138" s="1098"/>
      <c r="BJ138" s="1098"/>
      <c r="BK138" s="363"/>
      <c r="BL138" s="363"/>
      <c r="BM138" s="363"/>
      <c r="BN138" s="363"/>
      <c r="BO138" s="363"/>
      <c r="BP138" s="363"/>
      <c r="BS138" s="441"/>
      <c r="BT138" s="356"/>
      <c r="BU138" s="356"/>
      <c r="BV138" s="356"/>
      <c r="BW138" s="356"/>
      <c r="BX138" s="1076"/>
      <c r="BY138" s="1076"/>
      <c r="BZ138" s="1076"/>
      <c r="CA138" s="1076"/>
      <c r="CB138" s="1076"/>
      <c r="CC138" s="356"/>
      <c r="CD138" s="1151"/>
      <c r="CE138" s="1152"/>
      <c r="CF138" s="1152"/>
      <c r="CG138" s="1152"/>
      <c r="CH138" s="1152"/>
      <c r="CI138" s="1152"/>
      <c r="CJ138" s="1152"/>
      <c r="CK138" s="1152"/>
      <c r="CL138" s="1152"/>
      <c r="CM138" s="1152"/>
      <c r="CN138" s="1152"/>
      <c r="CO138" s="1152"/>
      <c r="CP138" s="1152"/>
      <c r="CQ138" s="1153"/>
      <c r="CR138" s="356"/>
      <c r="CS138" s="356"/>
      <c r="CT138" s="356"/>
      <c r="CU138" s="1076"/>
      <c r="CV138" s="1076"/>
      <c r="CW138" s="1076"/>
      <c r="CX138" s="1076"/>
      <c r="CY138" s="1076"/>
      <c r="CZ138" s="356"/>
      <c r="DA138" s="1151"/>
      <c r="DB138" s="1152"/>
      <c r="DC138" s="1152"/>
      <c r="DD138" s="1152"/>
      <c r="DE138" s="1152"/>
      <c r="DF138" s="1152"/>
      <c r="DG138" s="1152"/>
      <c r="DH138" s="1152"/>
      <c r="DI138" s="1152"/>
      <c r="DJ138" s="1152"/>
      <c r="DK138" s="1152"/>
      <c r="DL138" s="1152"/>
      <c r="DM138" s="1152"/>
      <c r="DN138" s="1153"/>
      <c r="DO138" s="356"/>
      <c r="DP138" s="356"/>
      <c r="DQ138" s="1076"/>
      <c r="DR138" s="1076"/>
      <c r="DS138" s="1076"/>
      <c r="DT138" s="1076"/>
      <c r="DU138" s="1076"/>
      <c r="DV138" s="356"/>
      <c r="DW138" s="1151"/>
      <c r="DX138" s="1152"/>
      <c r="DY138" s="1152"/>
      <c r="DZ138" s="1152"/>
      <c r="EA138" s="1152"/>
      <c r="EB138" s="1152"/>
      <c r="EC138" s="1152"/>
      <c r="ED138" s="1152"/>
      <c r="EE138" s="1152"/>
      <c r="EF138" s="1152"/>
      <c r="EG138" s="1152"/>
      <c r="EH138" s="1152"/>
      <c r="EI138" s="1152"/>
      <c r="EJ138" s="1153"/>
    </row>
    <row r="139" spans="1:142" ht="3.75" customHeight="1" x14ac:dyDescent="0.25">
      <c r="D139" s="356"/>
      <c r="E139" s="356"/>
      <c r="F139" s="356"/>
      <c r="G139" s="356"/>
      <c r="H139" s="356"/>
      <c r="I139" s="356"/>
      <c r="J139" s="356"/>
      <c r="K139" s="1053"/>
      <c r="L139" s="1053"/>
      <c r="M139" s="1053"/>
      <c r="N139" s="356"/>
      <c r="O139" s="1098"/>
      <c r="P139" s="1098"/>
      <c r="Q139" s="1098"/>
      <c r="R139" s="1098"/>
      <c r="S139" s="1098"/>
      <c r="T139" s="1098"/>
      <c r="U139" s="1098"/>
      <c r="V139" s="1098"/>
      <c r="W139" s="1098"/>
      <c r="X139" s="1098"/>
      <c r="Y139" s="1098"/>
      <c r="Z139" s="1098"/>
      <c r="AA139" s="1098"/>
      <c r="AB139" s="1098"/>
      <c r="AC139" s="1098"/>
      <c r="AD139" s="1098"/>
      <c r="AE139" s="1098"/>
      <c r="AF139" s="1098"/>
      <c r="AG139" s="1098"/>
      <c r="AH139" s="1098"/>
      <c r="AI139" s="1098"/>
      <c r="AJ139" s="1098"/>
      <c r="AK139" s="1098"/>
      <c r="AL139" s="1098"/>
      <c r="AM139" s="1098"/>
      <c r="AN139" s="1098"/>
      <c r="AO139" s="356"/>
      <c r="AP139" s="356"/>
      <c r="AQ139" s="1053"/>
      <c r="AR139" s="1053"/>
      <c r="AS139" s="1053"/>
      <c r="AT139" s="356"/>
      <c r="AU139" s="1098"/>
      <c r="AV139" s="1098"/>
      <c r="AW139" s="1098"/>
      <c r="AX139" s="1098"/>
      <c r="AY139" s="1098"/>
      <c r="AZ139" s="1098"/>
      <c r="BA139" s="1098"/>
      <c r="BB139" s="1098"/>
      <c r="BC139" s="1098"/>
      <c r="BD139" s="1098"/>
      <c r="BE139" s="1098"/>
      <c r="BF139" s="1098"/>
      <c r="BG139" s="1098"/>
      <c r="BH139" s="1098"/>
      <c r="BI139" s="1098"/>
      <c r="BJ139" s="1098"/>
      <c r="BK139" s="356"/>
      <c r="BL139" s="356"/>
      <c r="BM139" s="356"/>
      <c r="BN139" s="356"/>
      <c r="BO139" s="356"/>
      <c r="BP139" s="356"/>
      <c r="BS139" s="441"/>
      <c r="BT139" s="356"/>
      <c r="BU139" s="356"/>
      <c r="BV139" s="356"/>
      <c r="BW139" s="356"/>
      <c r="BX139" s="356"/>
      <c r="BY139" s="356"/>
      <c r="BZ139" s="356"/>
      <c r="CA139" s="356"/>
      <c r="CB139" s="356"/>
      <c r="CC139" s="356"/>
      <c r="CD139" s="1154"/>
      <c r="CE139" s="1155"/>
      <c r="CF139" s="1155"/>
      <c r="CG139" s="1155"/>
      <c r="CH139" s="1155"/>
      <c r="CI139" s="1155"/>
      <c r="CJ139" s="1155"/>
      <c r="CK139" s="1155"/>
      <c r="CL139" s="1155"/>
      <c r="CM139" s="1155"/>
      <c r="CN139" s="1155"/>
      <c r="CO139" s="1155"/>
      <c r="CP139" s="1155"/>
      <c r="CQ139" s="1156"/>
      <c r="CR139" s="356"/>
      <c r="CS139" s="356"/>
      <c r="CT139" s="356"/>
      <c r="CU139" s="356"/>
      <c r="CV139" s="356"/>
      <c r="CW139" s="356"/>
      <c r="CX139" s="356"/>
      <c r="CY139" s="356"/>
      <c r="CZ139" s="356"/>
      <c r="DA139" s="1154"/>
      <c r="DB139" s="1155"/>
      <c r="DC139" s="1155"/>
      <c r="DD139" s="1155"/>
      <c r="DE139" s="1155"/>
      <c r="DF139" s="1155"/>
      <c r="DG139" s="1155"/>
      <c r="DH139" s="1155"/>
      <c r="DI139" s="1155"/>
      <c r="DJ139" s="1155"/>
      <c r="DK139" s="1155"/>
      <c r="DL139" s="1155"/>
      <c r="DM139" s="1155"/>
      <c r="DN139" s="1156"/>
      <c r="DO139" s="356"/>
      <c r="DP139" s="356"/>
      <c r="DQ139" s="356"/>
      <c r="DR139" s="356"/>
      <c r="DS139" s="356"/>
      <c r="DT139" s="356"/>
      <c r="DU139" s="356"/>
      <c r="DV139" s="356"/>
      <c r="DW139" s="1154"/>
      <c r="DX139" s="1155"/>
      <c r="DY139" s="1155"/>
      <c r="DZ139" s="1155"/>
      <c r="EA139" s="1155"/>
      <c r="EB139" s="1155"/>
      <c r="EC139" s="1155"/>
      <c r="ED139" s="1155"/>
      <c r="EE139" s="1155"/>
      <c r="EF139" s="1155"/>
      <c r="EG139" s="1155"/>
      <c r="EH139" s="1155"/>
      <c r="EI139" s="1155"/>
      <c r="EJ139" s="1156"/>
    </row>
    <row r="140" spans="1:142" ht="3.75" customHeight="1" thickBot="1" x14ac:dyDescent="0.3">
      <c r="A140" s="355"/>
      <c r="B140" s="355"/>
      <c r="C140" s="355"/>
      <c r="D140" s="355"/>
      <c r="E140" s="355"/>
      <c r="F140" s="355"/>
      <c r="G140" s="355"/>
      <c r="H140" s="355"/>
      <c r="I140" s="355"/>
      <c r="J140" s="355"/>
      <c r="K140" s="355"/>
      <c r="L140" s="355"/>
      <c r="M140" s="355"/>
      <c r="N140" s="355"/>
      <c r="O140" s="355"/>
      <c r="P140" s="355"/>
      <c r="Q140" s="355"/>
      <c r="R140" s="355"/>
      <c r="S140" s="355"/>
      <c r="T140" s="355"/>
      <c r="U140" s="355"/>
      <c r="V140" s="355"/>
      <c r="W140" s="355"/>
      <c r="X140" s="355"/>
      <c r="Y140" s="355"/>
      <c r="Z140" s="355"/>
      <c r="AA140" s="355"/>
      <c r="AB140" s="355"/>
      <c r="AC140" s="355"/>
      <c r="AD140" s="355"/>
      <c r="AE140" s="355"/>
      <c r="AF140" s="355"/>
      <c r="AG140" s="355"/>
      <c r="AH140" s="355"/>
      <c r="AI140" s="355"/>
      <c r="AJ140" s="355"/>
      <c r="AK140" s="355"/>
      <c r="AL140" s="355"/>
      <c r="AM140" s="355"/>
      <c r="AN140" s="355"/>
      <c r="AO140" s="355"/>
      <c r="AP140" s="355"/>
      <c r="AQ140" s="355"/>
      <c r="AR140" s="355"/>
      <c r="AS140" s="355"/>
      <c r="AT140" s="355"/>
      <c r="AU140" s="355"/>
      <c r="AV140" s="355"/>
      <c r="AW140" s="355"/>
      <c r="AX140" s="355"/>
      <c r="AY140" s="355"/>
      <c r="AZ140" s="355"/>
      <c r="BA140" s="355"/>
      <c r="BB140" s="355"/>
      <c r="BC140" s="355"/>
      <c r="BD140" s="355"/>
      <c r="BE140" s="355"/>
      <c r="BF140" s="355"/>
      <c r="BG140" s="355"/>
      <c r="BH140" s="355"/>
      <c r="BI140" s="355"/>
      <c r="BJ140" s="355"/>
      <c r="BK140" s="355"/>
      <c r="BL140" s="355"/>
      <c r="BM140" s="355"/>
      <c r="BN140" s="355"/>
      <c r="BO140" s="355"/>
      <c r="BP140" s="355"/>
      <c r="BQ140" s="355"/>
      <c r="BR140" s="355"/>
      <c r="BS140" s="360"/>
      <c r="BT140" s="355"/>
      <c r="BU140" s="355"/>
      <c r="BV140" s="355"/>
      <c r="BW140" s="355"/>
      <c r="BX140" s="355"/>
      <c r="BY140" s="355"/>
      <c r="BZ140" s="355"/>
      <c r="CA140" s="355"/>
      <c r="CB140" s="355"/>
      <c r="CC140" s="355"/>
      <c r="CD140" s="355"/>
      <c r="CE140" s="355"/>
      <c r="CF140" s="355"/>
      <c r="CG140" s="355"/>
      <c r="CH140" s="355"/>
      <c r="CI140" s="355"/>
      <c r="CJ140" s="355"/>
      <c r="CK140" s="355"/>
      <c r="CL140" s="355"/>
      <c r="CM140" s="355"/>
      <c r="CN140" s="355"/>
      <c r="CO140" s="355"/>
      <c r="CP140" s="355"/>
      <c r="CQ140" s="355"/>
      <c r="CR140" s="355"/>
      <c r="CS140" s="355"/>
      <c r="CT140" s="355"/>
      <c r="CU140" s="355"/>
      <c r="CV140" s="355"/>
      <c r="CW140" s="355"/>
      <c r="CX140" s="355"/>
      <c r="CY140" s="355"/>
      <c r="CZ140" s="355"/>
      <c r="DA140" s="355"/>
      <c r="DB140" s="355"/>
      <c r="DC140" s="355"/>
      <c r="DD140" s="355"/>
      <c r="DE140" s="355"/>
      <c r="DF140" s="355"/>
      <c r="DG140" s="355"/>
      <c r="DH140" s="355"/>
      <c r="DI140" s="355"/>
      <c r="DJ140" s="355"/>
      <c r="DK140" s="355"/>
      <c r="DL140" s="355"/>
      <c r="DM140" s="355"/>
      <c r="DN140" s="355"/>
      <c r="DO140" s="355"/>
      <c r="DP140" s="355"/>
      <c r="DQ140" s="355"/>
      <c r="DR140" s="355"/>
      <c r="DS140" s="355"/>
      <c r="DT140" s="355"/>
      <c r="DU140" s="355"/>
      <c r="DV140" s="355"/>
      <c r="DW140" s="355"/>
      <c r="DX140" s="355"/>
      <c r="DY140" s="355"/>
      <c r="DZ140" s="355"/>
      <c r="EA140" s="355"/>
      <c r="EB140" s="355"/>
      <c r="EC140" s="355"/>
      <c r="ED140" s="355"/>
      <c r="EE140" s="355"/>
      <c r="EF140" s="355"/>
      <c r="EG140" s="355"/>
      <c r="EH140" s="355"/>
      <c r="EI140" s="355"/>
      <c r="EJ140" s="355"/>
      <c r="EK140" s="355"/>
      <c r="EL140" s="355"/>
    </row>
    <row r="141" spans="1:142" ht="3.75" customHeight="1" x14ac:dyDescent="0.25">
      <c r="BS141" s="73"/>
    </row>
    <row r="142" spans="1:142" ht="3.75" customHeight="1" x14ac:dyDescent="0.25">
      <c r="AE142" s="1077" t="s">
        <v>611</v>
      </c>
      <c r="AF142" s="1077"/>
      <c r="AG142" s="1077"/>
      <c r="AH142" s="1077"/>
      <c r="AI142" s="1077"/>
      <c r="AJ142" s="1077"/>
      <c r="AK142" s="1077"/>
      <c r="AL142" s="1077"/>
      <c r="AM142" s="1077"/>
      <c r="AN142" s="1077"/>
      <c r="AO142" s="361"/>
      <c r="AP142" s="361"/>
      <c r="AQ142" s="361"/>
      <c r="BS142" s="73"/>
    </row>
    <row r="143" spans="1:142" ht="3.75" customHeight="1" x14ac:dyDescent="0.25">
      <c r="AE143" s="1077"/>
      <c r="AF143" s="1077"/>
      <c r="AG143" s="1077"/>
      <c r="AH143" s="1077"/>
      <c r="AI143" s="1077"/>
      <c r="AJ143" s="1077"/>
      <c r="AK143" s="1077"/>
      <c r="AL143" s="1077"/>
      <c r="AM143" s="1077"/>
      <c r="AN143" s="1077"/>
      <c r="AO143" s="361"/>
      <c r="AP143" s="361"/>
      <c r="AQ143" s="361"/>
      <c r="AR143" s="361"/>
      <c r="AS143" s="361"/>
      <c r="AT143" s="361"/>
      <c r="AU143" s="361"/>
      <c r="AV143" s="361"/>
      <c r="AW143" s="361"/>
      <c r="AX143" s="361"/>
      <c r="BS143" s="73"/>
    </row>
    <row r="144" spans="1:142" ht="3.75" customHeight="1" x14ac:dyDescent="0.25">
      <c r="AE144" s="1077"/>
      <c r="AF144" s="1077"/>
      <c r="AG144" s="1077"/>
      <c r="AH144" s="1077"/>
      <c r="AI144" s="1077"/>
      <c r="AJ144" s="1077"/>
      <c r="AK144" s="1077"/>
      <c r="AL144" s="1077"/>
      <c r="AM144" s="1077"/>
      <c r="AN144" s="1077"/>
      <c r="AO144" s="361"/>
      <c r="AP144" s="361"/>
      <c r="AQ144" s="361"/>
      <c r="AR144" s="361"/>
      <c r="AS144" s="361"/>
      <c r="AT144" s="361"/>
      <c r="AU144" s="361"/>
      <c r="AV144" s="361"/>
      <c r="AW144" s="361"/>
      <c r="AX144" s="361"/>
      <c r="BG144" s="1071" t="s">
        <v>605</v>
      </c>
      <c r="BH144" s="1071"/>
      <c r="BI144" s="1071"/>
      <c r="BJ144" s="1071"/>
      <c r="BK144" s="1071"/>
      <c r="BL144" s="1071"/>
      <c r="BM144" s="1071"/>
      <c r="BN144" s="1071"/>
      <c r="BS144" s="73"/>
      <c r="CS144" s="1077" t="s">
        <v>816</v>
      </c>
      <c r="CT144" s="1077"/>
      <c r="CU144" s="1077"/>
      <c r="CV144" s="1077"/>
      <c r="CW144" s="1077"/>
      <c r="CX144" s="1077"/>
      <c r="CY144" s="1077"/>
      <c r="CZ144" s="1077"/>
      <c r="DA144" s="1077"/>
      <c r="DB144" s="1077"/>
      <c r="DC144" s="1077"/>
      <c r="DD144" s="1077"/>
      <c r="DE144" s="1077"/>
      <c r="DF144" s="1077"/>
      <c r="DG144" s="1077"/>
      <c r="DH144" s="1077"/>
      <c r="DI144" s="1077"/>
      <c r="DJ144" s="1077"/>
      <c r="DK144" s="1077"/>
      <c r="DL144" s="1077"/>
      <c r="DM144" s="1077"/>
      <c r="DN144" s="1077"/>
    </row>
    <row r="145" spans="2:133" ht="3.75" customHeight="1" x14ac:dyDescent="0.25">
      <c r="AB145" s="1077" t="s">
        <v>812</v>
      </c>
      <c r="AC145" s="1077"/>
      <c r="AD145" s="1077"/>
      <c r="AE145" s="1077"/>
      <c r="AF145" s="1077"/>
      <c r="AG145" s="1077"/>
      <c r="AH145" s="1077"/>
      <c r="AI145" s="1077"/>
      <c r="AJ145" s="1077"/>
      <c r="AK145" s="1077"/>
      <c r="AL145" s="1077"/>
      <c r="AM145" s="1077"/>
      <c r="AN145" s="1077"/>
      <c r="AO145" s="1077"/>
      <c r="AP145" s="1077"/>
      <c r="AQ145" s="1077"/>
      <c r="AR145" s="361"/>
      <c r="AS145" s="361"/>
      <c r="AT145" s="361"/>
      <c r="AU145" s="361"/>
      <c r="AV145" s="361"/>
      <c r="AW145" s="361"/>
      <c r="BG145" s="1071"/>
      <c r="BH145" s="1071"/>
      <c r="BI145" s="1071"/>
      <c r="BJ145" s="1071"/>
      <c r="BK145" s="1071"/>
      <c r="BL145" s="1071"/>
      <c r="BM145" s="1071"/>
      <c r="BN145" s="1071"/>
      <c r="BS145" s="73"/>
      <c r="CS145" s="1077"/>
      <c r="CT145" s="1077"/>
      <c r="CU145" s="1077"/>
      <c r="CV145" s="1077"/>
      <c r="CW145" s="1077"/>
      <c r="CX145" s="1077"/>
      <c r="CY145" s="1077"/>
      <c r="CZ145" s="1077"/>
      <c r="DA145" s="1077"/>
      <c r="DB145" s="1077"/>
      <c r="DC145" s="1077"/>
      <c r="DD145" s="1077"/>
      <c r="DE145" s="1077"/>
      <c r="DF145" s="1077"/>
      <c r="DG145" s="1077"/>
      <c r="DH145" s="1077"/>
      <c r="DI145" s="1077"/>
      <c r="DJ145" s="1077"/>
      <c r="DK145" s="1077"/>
      <c r="DL145" s="1077"/>
      <c r="DM145" s="1077"/>
      <c r="DN145" s="1077"/>
    </row>
    <row r="146" spans="2:133" ht="3.75" customHeight="1" x14ac:dyDescent="0.25">
      <c r="AB146" s="1077"/>
      <c r="AC146" s="1077"/>
      <c r="AD146" s="1077"/>
      <c r="AE146" s="1077"/>
      <c r="AF146" s="1077"/>
      <c r="AG146" s="1077"/>
      <c r="AH146" s="1077"/>
      <c r="AI146" s="1077"/>
      <c r="AJ146" s="1077"/>
      <c r="AK146" s="1077"/>
      <c r="AL146" s="1077"/>
      <c r="AM146" s="1077"/>
      <c r="AN146" s="1077"/>
      <c r="AO146" s="1077"/>
      <c r="AP146" s="1077"/>
      <c r="AQ146" s="1077"/>
      <c r="AR146" s="361"/>
      <c r="AS146" s="361"/>
      <c r="AT146" s="361"/>
      <c r="AU146" s="361"/>
      <c r="AV146" s="361"/>
      <c r="AW146" s="361"/>
      <c r="BF146" s="437"/>
      <c r="BG146" s="1165" t="s">
        <v>141</v>
      </c>
      <c r="BH146" s="1165"/>
      <c r="BI146" s="1165"/>
      <c r="BJ146" s="1165"/>
      <c r="BK146" s="1165"/>
      <c r="BL146" s="1165"/>
      <c r="BM146" s="442"/>
      <c r="BN146" s="1159" t="s">
        <v>142</v>
      </c>
      <c r="BO146" s="1160"/>
      <c r="BS146" s="73"/>
      <c r="CS146" s="1077"/>
      <c r="CT146" s="1077"/>
      <c r="CU146" s="1077"/>
      <c r="CV146" s="1077"/>
      <c r="CW146" s="1077"/>
      <c r="CX146" s="1077"/>
      <c r="CY146" s="1077"/>
      <c r="CZ146" s="1077"/>
      <c r="DA146" s="1077"/>
      <c r="DB146" s="1077"/>
      <c r="DC146" s="1077"/>
      <c r="DD146" s="1077"/>
      <c r="DE146" s="1077"/>
      <c r="DF146" s="1077"/>
      <c r="DG146" s="1077"/>
      <c r="DH146" s="1077"/>
      <c r="DI146" s="1077"/>
      <c r="DJ146" s="1077"/>
      <c r="DK146" s="1077"/>
      <c r="DL146" s="1077"/>
      <c r="DM146" s="1077"/>
      <c r="DN146" s="1077"/>
    </row>
    <row r="147" spans="2:133" ht="3.75" customHeight="1" x14ac:dyDescent="0.25">
      <c r="AB147" s="1077"/>
      <c r="AC147" s="1077"/>
      <c r="AD147" s="1077"/>
      <c r="AE147" s="1077"/>
      <c r="AF147" s="1077"/>
      <c r="AG147" s="1077"/>
      <c r="AH147" s="1077"/>
      <c r="AI147" s="1077"/>
      <c r="AJ147" s="1077"/>
      <c r="AK147" s="1077"/>
      <c r="AL147" s="1077"/>
      <c r="AM147" s="1077"/>
      <c r="AN147" s="1077"/>
      <c r="AO147" s="1077"/>
      <c r="AP147" s="1077"/>
      <c r="AQ147" s="1077"/>
      <c r="AR147" s="361"/>
      <c r="AS147" s="361"/>
      <c r="AT147" s="361"/>
      <c r="AU147" s="361"/>
      <c r="AV147" s="361"/>
      <c r="AW147" s="361"/>
      <c r="BF147" s="72"/>
      <c r="BG147" s="1166"/>
      <c r="BH147" s="1166"/>
      <c r="BI147" s="1166"/>
      <c r="BJ147" s="1166"/>
      <c r="BK147" s="1166"/>
      <c r="BL147" s="1166"/>
      <c r="BM147" s="443"/>
      <c r="BN147" s="1161"/>
      <c r="BO147" s="1162"/>
      <c r="BQ147" s="1158" t="s">
        <v>599</v>
      </c>
      <c r="BR147" s="1158"/>
      <c r="BS147" s="73"/>
    </row>
    <row r="148" spans="2:133" ht="3.75" customHeight="1" x14ac:dyDescent="0.25">
      <c r="H148" s="1167" t="s">
        <v>611</v>
      </c>
      <c r="I148" s="1168"/>
      <c r="J148" s="1168"/>
      <c r="K148" s="1168"/>
      <c r="L148" s="1168"/>
      <c r="M148" s="1168"/>
      <c r="N148" s="1168"/>
      <c r="O148" s="1168"/>
      <c r="P148" s="1168"/>
      <c r="Q148" s="1168"/>
      <c r="R148" s="1168"/>
      <c r="S148" s="1169"/>
      <c r="AL148" s="361"/>
      <c r="AM148" s="361"/>
      <c r="AN148" s="361"/>
      <c r="AO148" s="361"/>
      <c r="AP148" s="361"/>
      <c r="AQ148" s="361"/>
      <c r="AR148" s="361"/>
      <c r="AS148" s="361"/>
      <c r="AT148" s="361"/>
      <c r="AU148" s="361"/>
      <c r="AV148" s="361"/>
      <c r="AW148" s="361"/>
      <c r="BF148" s="72"/>
      <c r="BN148" s="1161"/>
      <c r="BO148" s="1162"/>
      <c r="BQ148" s="1158"/>
      <c r="BR148" s="1158"/>
      <c r="BS148" s="73"/>
    </row>
    <row r="149" spans="2:133" ht="3.75" customHeight="1" x14ac:dyDescent="0.25">
      <c r="H149" s="1070"/>
      <c r="I149" s="1071"/>
      <c r="J149" s="1071"/>
      <c r="K149" s="1071"/>
      <c r="L149" s="1071"/>
      <c r="M149" s="1071"/>
      <c r="N149" s="1071"/>
      <c r="O149" s="1071"/>
      <c r="P149" s="1071"/>
      <c r="Q149" s="1071"/>
      <c r="R149" s="1071"/>
      <c r="S149" s="1072"/>
      <c r="AX149" s="1071" t="s">
        <v>604</v>
      </c>
      <c r="AY149" s="1071"/>
      <c r="AZ149" s="1071"/>
      <c r="BA149" s="1071"/>
      <c r="BB149" s="1071"/>
      <c r="BC149" s="1071"/>
      <c r="BD149" s="1071"/>
      <c r="BE149" s="1071"/>
      <c r="BF149" s="72"/>
      <c r="BN149" s="1161"/>
      <c r="BO149" s="1162"/>
      <c r="BQ149" s="1158"/>
      <c r="BR149" s="1158"/>
      <c r="BS149" s="73"/>
    </row>
    <row r="150" spans="2:133" ht="3.75" customHeight="1" x14ac:dyDescent="0.25">
      <c r="H150" s="1070" t="s">
        <v>607</v>
      </c>
      <c r="I150" s="1071"/>
      <c r="J150" s="1071"/>
      <c r="K150" s="1071"/>
      <c r="L150" s="1071"/>
      <c r="M150" s="1071"/>
      <c r="N150" s="1071"/>
      <c r="O150" s="1071"/>
      <c r="P150" s="1071"/>
      <c r="Q150" s="1071"/>
      <c r="R150" s="1071"/>
      <c r="S150" s="1072"/>
      <c r="Y150" s="361"/>
      <c r="AX150" s="1071"/>
      <c r="AY150" s="1071"/>
      <c r="AZ150" s="1071"/>
      <c r="BA150" s="1071"/>
      <c r="BB150" s="1071"/>
      <c r="BC150" s="1071"/>
      <c r="BD150" s="1071"/>
      <c r="BE150" s="1071"/>
      <c r="BF150" s="72"/>
      <c r="BN150" s="1161"/>
      <c r="BO150" s="1162"/>
      <c r="BQ150" s="1158"/>
      <c r="BR150" s="1158"/>
      <c r="BS150" s="73"/>
      <c r="CC150" s="1076" t="s">
        <v>134</v>
      </c>
      <c r="CD150" s="1076"/>
      <c r="CE150" s="1076"/>
      <c r="CF150" s="1076"/>
      <c r="CG150" s="1076"/>
      <c r="CH150" s="362"/>
      <c r="CI150" s="1076" t="s">
        <v>141</v>
      </c>
      <c r="CJ150" s="1076"/>
      <c r="CK150" s="1076"/>
      <c r="CL150" s="1076"/>
      <c r="CM150" s="1076"/>
      <c r="CN150" s="1076"/>
      <c r="CO150" s="1076"/>
      <c r="CP150" s="1076"/>
      <c r="CQ150" s="1076"/>
      <c r="CR150" s="1076"/>
      <c r="CS150" s="1076"/>
      <c r="CT150" s="1076"/>
      <c r="CU150" s="1076"/>
      <c r="CV150" s="1076"/>
      <c r="CW150" s="1076"/>
      <c r="CX150" s="362"/>
      <c r="CY150" s="1076" t="s">
        <v>142</v>
      </c>
      <c r="CZ150" s="1076"/>
      <c r="DA150" s="1076"/>
      <c r="DB150" s="1076"/>
      <c r="DC150" s="1076"/>
      <c r="DD150" s="1076"/>
      <c r="DE150" s="1076"/>
      <c r="DF150" s="1076"/>
      <c r="DG150" s="1076"/>
      <c r="DH150" s="1076"/>
      <c r="DI150" s="1076"/>
      <c r="DJ150" s="1076"/>
      <c r="DK150" s="1076"/>
      <c r="DL150" s="1076"/>
      <c r="DM150" s="1076"/>
      <c r="DO150" s="1076" t="s">
        <v>622</v>
      </c>
      <c r="DP150" s="1076"/>
      <c r="DQ150" s="1076"/>
      <c r="DR150" s="1076"/>
      <c r="DS150" s="1076"/>
      <c r="DT150" s="1076"/>
      <c r="DU150" s="1076"/>
      <c r="DV150" s="1076"/>
      <c r="DW150" s="1076"/>
      <c r="DX150" s="1076"/>
      <c r="DY150" s="1076"/>
      <c r="DZ150" s="1076"/>
      <c r="EA150" s="1076"/>
      <c r="EB150" s="1076"/>
      <c r="EC150" s="1076"/>
    </row>
    <row r="151" spans="2:133" ht="3.75" customHeight="1" x14ac:dyDescent="0.25">
      <c r="H151" s="1073"/>
      <c r="I151" s="1074"/>
      <c r="J151" s="1074"/>
      <c r="K151" s="1074"/>
      <c r="L151" s="1074"/>
      <c r="M151" s="1074"/>
      <c r="N151" s="1074"/>
      <c r="O151" s="1074"/>
      <c r="P151" s="1074"/>
      <c r="Q151" s="1074"/>
      <c r="R151" s="1074"/>
      <c r="S151" s="1075"/>
      <c r="Y151" s="361"/>
      <c r="BF151" s="72"/>
      <c r="BN151" s="1161"/>
      <c r="BO151" s="1162"/>
      <c r="BQ151" s="1158"/>
      <c r="BR151" s="1158"/>
      <c r="BS151" s="73"/>
      <c r="CC151" s="1076"/>
      <c r="CD151" s="1076"/>
      <c r="CE151" s="1076"/>
      <c r="CF151" s="1076"/>
      <c r="CG151" s="1076"/>
      <c r="CH151" s="362"/>
      <c r="CI151" s="1076"/>
      <c r="CJ151" s="1076"/>
      <c r="CK151" s="1076"/>
      <c r="CL151" s="1076"/>
      <c r="CM151" s="1076"/>
      <c r="CN151" s="1076"/>
      <c r="CO151" s="1076"/>
      <c r="CP151" s="1076"/>
      <c r="CQ151" s="1076"/>
      <c r="CR151" s="1076"/>
      <c r="CS151" s="1076"/>
      <c r="CT151" s="1076"/>
      <c r="CU151" s="1076"/>
      <c r="CV151" s="1076"/>
      <c r="CW151" s="1076"/>
      <c r="CX151" s="362"/>
      <c r="CY151" s="1076"/>
      <c r="CZ151" s="1076"/>
      <c r="DA151" s="1076"/>
      <c r="DB151" s="1076"/>
      <c r="DC151" s="1076"/>
      <c r="DD151" s="1076"/>
      <c r="DE151" s="1076"/>
      <c r="DF151" s="1076"/>
      <c r="DG151" s="1076"/>
      <c r="DH151" s="1076"/>
      <c r="DI151" s="1076"/>
      <c r="DJ151" s="1076"/>
      <c r="DK151" s="1076"/>
      <c r="DL151" s="1076"/>
      <c r="DM151" s="1076"/>
      <c r="DO151" s="1076"/>
      <c r="DP151" s="1076"/>
      <c r="DQ151" s="1076"/>
      <c r="DR151" s="1076"/>
      <c r="DS151" s="1076"/>
      <c r="DT151" s="1076"/>
      <c r="DU151" s="1076"/>
      <c r="DV151" s="1076"/>
      <c r="DW151" s="1076"/>
      <c r="DX151" s="1076"/>
      <c r="DY151" s="1076"/>
      <c r="DZ151" s="1076"/>
      <c r="EA151" s="1076"/>
      <c r="EB151" s="1076"/>
      <c r="EC151" s="1076"/>
    </row>
    <row r="152" spans="2:133" ht="3.75" customHeight="1" x14ac:dyDescent="0.25">
      <c r="B152" s="1066" t="s">
        <v>606</v>
      </c>
      <c r="C152" s="1066"/>
      <c r="D152" s="1066"/>
      <c r="R152" s="1066" t="s">
        <v>604</v>
      </c>
      <c r="S152" s="1066"/>
      <c r="T152" s="1066"/>
      <c r="V152" s="1064" t="s">
        <v>610</v>
      </c>
      <c r="W152" s="1064"/>
      <c r="X152" s="1064"/>
      <c r="AM152" s="1108" t="str">
        <f>IF(AH31=""," ",AH31)</f>
        <v xml:space="preserve"> </v>
      </c>
      <c r="AN152" s="1108"/>
      <c r="AO152" s="1108"/>
      <c r="AP152" s="1108"/>
      <c r="AQ152" s="1108"/>
      <c r="AR152" s="1108"/>
      <c r="AS152" s="1108"/>
      <c r="AT152" s="1108"/>
      <c r="AU152" s="1108"/>
      <c r="AV152" s="1108"/>
      <c r="AW152" s="1108"/>
      <c r="AX152" s="1108"/>
      <c r="AY152" s="1108"/>
      <c r="AZ152" s="1108"/>
      <c r="BA152" s="1108"/>
      <c r="BB152" s="1108"/>
      <c r="BF152" s="72"/>
      <c r="BN152" s="1161"/>
      <c r="BO152" s="1162"/>
      <c r="BQ152" s="1158"/>
      <c r="BR152" s="1158"/>
      <c r="BS152" s="73"/>
      <c r="CC152" s="1076"/>
      <c r="CD152" s="1076"/>
      <c r="CE152" s="1076"/>
      <c r="CF152" s="1076"/>
      <c r="CG152" s="1076"/>
      <c r="CH152" s="362"/>
      <c r="CI152" s="1076"/>
      <c r="CJ152" s="1076"/>
      <c r="CK152" s="1076"/>
      <c r="CL152" s="1076"/>
      <c r="CM152" s="1076"/>
      <c r="CN152" s="1076"/>
      <c r="CO152" s="1076"/>
      <c r="CP152" s="1076"/>
      <c r="CQ152" s="1076"/>
      <c r="CR152" s="1076"/>
      <c r="CS152" s="1076"/>
      <c r="CT152" s="1076"/>
      <c r="CU152" s="1076"/>
      <c r="CV152" s="1076"/>
      <c r="CW152" s="1076"/>
      <c r="CX152" s="362"/>
      <c r="CY152" s="1076"/>
      <c r="CZ152" s="1076"/>
      <c r="DA152" s="1076"/>
      <c r="DB152" s="1076"/>
      <c r="DC152" s="1076"/>
      <c r="DD152" s="1076"/>
      <c r="DE152" s="1076"/>
      <c r="DF152" s="1076"/>
      <c r="DG152" s="1076"/>
      <c r="DH152" s="1076"/>
      <c r="DI152" s="1076"/>
      <c r="DJ152" s="1076"/>
      <c r="DK152" s="1076"/>
      <c r="DL152" s="1076"/>
      <c r="DM152" s="1076"/>
      <c r="DO152" s="1076"/>
      <c r="DP152" s="1076"/>
      <c r="DQ152" s="1076"/>
      <c r="DR152" s="1076"/>
      <c r="DS152" s="1076"/>
      <c r="DT152" s="1076"/>
      <c r="DU152" s="1076"/>
      <c r="DV152" s="1076"/>
      <c r="DW152" s="1076"/>
      <c r="DX152" s="1076"/>
      <c r="DY152" s="1076"/>
      <c r="DZ152" s="1076"/>
      <c r="EA152" s="1076"/>
      <c r="EB152" s="1076"/>
      <c r="EC152" s="1076"/>
    </row>
    <row r="153" spans="2:133" ht="3.75" customHeight="1" x14ac:dyDescent="0.25">
      <c r="B153" s="1066"/>
      <c r="C153" s="1066"/>
      <c r="D153" s="1066"/>
      <c r="R153" s="1066"/>
      <c r="S153" s="1066"/>
      <c r="T153" s="1066"/>
      <c r="V153" s="1064"/>
      <c r="W153" s="1064"/>
      <c r="X153" s="1064"/>
      <c r="AM153" s="1108"/>
      <c r="AN153" s="1108"/>
      <c r="AO153" s="1108"/>
      <c r="AP153" s="1108"/>
      <c r="AQ153" s="1108"/>
      <c r="AR153" s="1108"/>
      <c r="AS153" s="1108"/>
      <c r="AT153" s="1108"/>
      <c r="AU153" s="1108"/>
      <c r="AV153" s="1108"/>
      <c r="AW153" s="1108"/>
      <c r="AX153" s="1108"/>
      <c r="AY153" s="1108"/>
      <c r="AZ153" s="1108"/>
      <c r="BA153" s="1108"/>
      <c r="BB153" s="1108"/>
      <c r="BF153" s="72"/>
      <c r="BN153" s="1161"/>
      <c r="BO153" s="1162"/>
      <c r="BQ153" s="1158"/>
      <c r="BR153" s="1158"/>
      <c r="BS153" s="73"/>
    </row>
    <row r="154" spans="2:133" ht="3.75" customHeight="1" x14ac:dyDescent="0.25">
      <c r="B154" s="1066"/>
      <c r="C154" s="1066"/>
      <c r="D154" s="1066"/>
      <c r="R154" s="1066"/>
      <c r="S154" s="1066"/>
      <c r="T154" s="1066"/>
      <c r="V154" s="1064"/>
      <c r="W154" s="1064"/>
      <c r="X154" s="1064"/>
      <c r="AM154" s="1108"/>
      <c r="AN154" s="1108"/>
      <c r="AO154" s="1108"/>
      <c r="AP154" s="1108"/>
      <c r="AQ154" s="1108"/>
      <c r="AR154" s="1108"/>
      <c r="AS154" s="1108"/>
      <c r="AT154" s="1108"/>
      <c r="AU154" s="1108"/>
      <c r="AV154" s="1108"/>
      <c r="AW154" s="1108"/>
      <c r="AX154" s="1108"/>
      <c r="AY154" s="1108"/>
      <c r="AZ154" s="1108"/>
      <c r="BA154" s="1108"/>
      <c r="BB154" s="1108"/>
      <c r="BF154" s="72"/>
      <c r="BN154" s="1161"/>
      <c r="BO154" s="1162"/>
      <c r="BQ154" s="1158"/>
      <c r="BR154" s="1158"/>
      <c r="BS154" s="73"/>
      <c r="CC154" s="1054"/>
      <c r="CD154" s="1055"/>
      <c r="CE154" s="1055"/>
      <c r="CF154" s="1055"/>
      <c r="CG154" s="1056"/>
      <c r="CI154" s="1034"/>
      <c r="CJ154" s="1035"/>
      <c r="CK154" s="1035"/>
      <c r="CL154" s="1035"/>
      <c r="CM154" s="1035"/>
      <c r="CN154" s="1035"/>
      <c r="CO154" s="1035"/>
      <c r="CP154" s="1035"/>
      <c r="CQ154" s="1035"/>
      <c r="CR154" s="1035"/>
      <c r="CS154" s="1035"/>
      <c r="CT154" s="1035"/>
      <c r="CU154" s="1035"/>
      <c r="CV154" s="1035"/>
      <c r="CW154" s="1036"/>
      <c r="CY154" s="1034"/>
      <c r="CZ154" s="1035"/>
      <c r="DA154" s="1035"/>
      <c r="DB154" s="1035"/>
      <c r="DC154" s="1035"/>
      <c r="DD154" s="1035"/>
      <c r="DE154" s="1035"/>
      <c r="DF154" s="1035"/>
      <c r="DG154" s="1035"/>
      <c r="DH154" s="1035"/>
      <c r="DI154" s="1035"/>
      <c r="DJ154" s="1035"/>
      <c r="DK154" s="1035"/>
      <c r="DL154" s="1035"/>
      <c r="DM154" s="1036"/>
      <c r="DO154" s="1148"/>
      <c r="DP154" s="1149"/>
      <c r="DQ154" s="1149"/>
      <c r="DR154" s="1149"/>
      <c r="DS154" s="1149"/>
      <c r="DT154" s="1149"/>
      <c r="DU154" s="1149"/>
      <c r="DV154" s="1149"/>
      <c r="DW154" s="1149"/>
      <c r="DX154" s="1149"/>
      <c r="DY154" s="1149"/>
      <c r="DZ154" s="1149"/>
      <c r="EA154" s="1149"/>
      <c r="EB154" s="1149"/>
      <c r="EC154" s="1150"/>
    </row>
    <row r="155" spans="2:133" ht="3.75" customHeight="1" x14ac:dyDescent="0.25">
      <c r="B155" s="1066"/>
      <c r="C155" s="1066"/>
      <c r="D155" s="1066"/>
      <c r="R155" s="1066"/>
      <c r="S155" s="1066"/>
      <c r="T155" s="1066"/>
      <c r="V155" s="1064"/>
      <c r="W155" s="1064"/>
      <c r="X155" s="1064"/>
      <c r="Z155" s="1077" t="s">
        <v>814</v>
      </c>
      <c r="AA155" s="1077"/>
      <c r="AB155" s="1077"/>
      <c r="AC155" s="1077"/>
      <c r="AD155" s="1077"/>
      <c r="AE155" s="1077"/>
      <c r="AF155" s="1077"/>
      <c r="AG155" s="1077"/>
      <c r="AH155" s="1077"/>
      <c r="AI155" s="1077"/>
      <c r="AJ155" s="1077"/>
      <c r="AK155" s="1077"/>
      <c r="AL155" s="1077"/>
      <c r="AM155" s="1108"/>
      <c r="AN155" s="1108"/>
      <c r="AO155" s="1108"/>
      <c r="AP155" s="1108"/>
      <c r="AQ155" s="1108"/>
      <c r="AR155" s="1108"/>
      <c r="AS155" s="1108"/>
      <c r="AT155" s="1108"/>
      <c r="AU155" s="1108"/>
      <c r="AV155" s="1108"/>
      <c r="AW155" s="1108"/>
      <c r="AX155" s="1108"/>
      <c r="AY155" s="1108"/>
      <c r="AZ155" s="1108"/>
      <c r="BA155" s="1108"/>
      <c r="BB155" s="1108"/>
      <c r="BF155" s="72"/>
      <c r="BN155" s="1161"/>
      <c r="BO155" s="1162"/>
      <c r="BQ155" s="1158"/>
      <c r="BR155" s="1158"/>
      <c r="BS155" s="73"/>
      <c r="CC155" s="1057"/>
      <c r="CD155" s="1058"/>
      <c r="CE155" s="1058"/>
      <c r="CF155" s="1058"/>
      <c r="CG155" s="1059"/>
      <c r="CI155" s="1037"/>
      <c r="CJ155" s="1038"/>
      <c r="CK155" s="1038"/>
      <c r="CL155" s="1038"/>
      <c r="CM155" s="1038"/>
      <c r="CN155" s="1038"/>
      <c r="CO155" s="1038"/>
      <c r="CP155" s="1038"/>
      <c r="CQ155" s="1038"/>
      <c r="CR155" s="1038"/>
      <c r="CS155" s="1038"/>
      <c r="CT155" s="1038"/>
      <c r="CU155" s="1038"/>
      <c r="CV155" s="1038"/>
      <c r="CW155" s="1039"/>
      <c r="CY155" s="1037"/>
      <c r="CZ155" s="1038"/>
      <c r="DA155" s="1038"/>
      <c r="DB155" s="1038"/>
      <c r="DC155" s="1038"/>
      <c r="DD155" s="1038"/>
      <c r="DE155" s="1038"/>
      <c r="DF155" s="1038"/>
      <c r="DG155" s="1038"/>
      <c r="DH155" s="1038"/>
      <c r="DI155" s="1038"/>
      <c r="DJ155" s="1038"/>
      <c r="DK155" s="1038"/>
      <c r="DL155" s="1038"/>
      <c r="DM155" s="1039"/>
      <c r="DO155" s="1151"/>
      <c r="DP155" s="1152"/>
      <c r="DQ155" s="1152"/>
      <c r="DR155" s="1152"/>
      <c r="DS155" s="1152"/>
      <c r="DT155" s="1152"/>
      <c r="DU155" s="1152"/>
      <c r="DV155" s="1152"/>
      <c r="DW155" s="1152"/>
      <c r="DX155" s="1152"/>
      <c r="DY155" s="1152"/>
      <c r="DZ155" s="1152"/>
      <c r="EA155" s="1152"/>
      <c r="EB155" s="1152"/>
      <c r="EC155" s="1153"/>
    </row>
    <row r="156" spans="2:133" ht="3.75" customHeight="1" x14ac:dyDescent="0.25">
      <c r="B156" s="1066"/>
      <c r="C156" s="1066"/>
      <c r="D156" s="1066"/>
      <c r="R156" s="1066"/>
      <c r="S156" s="1066"/>
      <c r="T156" s="1066"/>
      <c r="V156" s="1064"/>
      <c r="W156" s="1064"/>
      <c r="X156" s="1064"/>
      <c r="Z156" s="1077"/>
      <c r="AA156" s="1077"/>
      <c r="AB156" s="1077"/>
      <c r="AC156" s="1077"/>
      <c r="AD156" s="1077"/>
      <c r="AE156" s="1077"/>
      <c r="AF156" s="1077"/>
      <c r="AG156" s="1077"/>
      <c r="AH156" s="1077"/>
      <c r="AI156" s="1077"/>
      <c r="AJ156" s="1077"/>
      <c r="AK156" s="1077"/>
      <c r="AL156" s="1077"/>
      <c r="AM156" s="1108"/>
      <c r="AN156" s="1108"/>
      <c r="AO156" s="1108"/>
      <c r="AP156" s="1108"/>
      <c r="AQ156" s="1108"/>
      <c r="AR156" s="1108"/>
      <c r="AS156" s="1108"/>
      <c r="AT156" s="1108"/>
      <c r="AU156" s="1108"/>
      <c r="AV156" s="1108"/>
      <c r="AW156" s="1108"/>
      <c r="AX156" s="1108"/>
      <c r="AY156" s="1108"/>
      <c r="AZ156" s="1108"/>
      <c r="BA156" s="1108"/>
      <c r="BB156" s="1108"/>
      <c r="BF156" s="393"/>
      <c r="BG156" s="364"/>
      <c r="BH156" s="364"/>
      <c r="BI156" s="364"/>
      <c r="BJ156" s="364"/>
      <c r="BK156" s="364"/>
      <c r="BL156" s="364"/>
      <c r="BM156" s="364"/>
      <c r="BN156" s="1163"/>
      <c r="BO156" s="1164"/>
      <c r="BS156" s="73"/>
      <c r="CC156" s="1057"/>
      <c r="CD156" s="1058"/>
      <c r="CE156" s="1058"/>
      <c r="CF156" s="1058"/>
      <c r="CG156" s="1059"/>
      <c r="CI156" s="1037"/>
      <c r="CJ156" s="1038"/>
      <c r="CK156" s="1038"/>
      <c r="CL156" s="1038"/>
      <c r="CM156" s="1038"/>
      <c r="CN156" s="1038"/>
      <c r="CO156" s="1038"/>
      <c r="CP156" s="1038"/>
      <c r="CQ156" s="1038"/>
      <c r="CR156" s="1038"/>
      <c r="CS156" s="1038"/>
      <c r="CT156" s="1038"/>
      <c r="CU156" s="1038"/>
      <c r="CV156" s="1038"/>
      <c r="CW156" s="1039"/>
      <c r="CY156" s="1037"/>
      <c r="CZ156" s="1038"/>
      <c r="DA156" s="1038"/>
      <c r="DB156" s="1038"/>
      <c r="DC156" s="1038"/>
      <c r="DD156" s="1038"/>
      <c r="DE156" s="1038"/>
      <c r="DF156" s="1038"/>
      <c r="DG156" s="1038"/>
      <c r="DH156" s="1038"/>
      <c r="DI156" s="1038"/>
      <c r="DJ156" s="1038"/>
      <c r="DK156" s="1038"/>
      <c r="DL156" s="1038"/>
      <c r="DM156" s="1039"/>
      <c r="DO156" s="1151"/>
      <c r="DP156" s="1152"/>
      <c r="DQ156" s="1152"/>
      <c r="DR156" s="1152"/>
      <c r="DS156" s="1152"/>
      <c r="DT156" s="1152"/>
      <c r="DU156" s="1152"/>
      <c r="DV156" s="1152"/>
      <c r="DW156" s="1152"/>
      <c r="DX156" s="1152"/>
      <c r="DY156" s="1152"/>
      <c r="DZ156" s="1152"/>
      <c r="EA156" s="1152"/>
      <c r="EB156" s="1152"/>
      <c r="EC156" s="1153"/>
    </row>
    <row r="157" spans="2:133" ht="3.75" customHeight="1" x14ac:dyDescent="0.25">
      <c r="B157" s="1066"/>
      <c r="C157" s="1066"/>
      <c r="D157" s="1066"/>
      <c r="J157" s="1066" t="s">
        <v>599</v>
      </c>
      <c r="K157" s="1066"/>
      <c r="L157" s="1066"/>
      <c r="N157" s="1066" t="s">
        <v>594</v>
      </c>
      <c r="O157" s="1066"/>
      <c r="P157" s="1066"/>
      <c r="R157" s="1066"/>
      <c r="S157" s="1066"/>
      <c r="T157" s="1066"/>
      <c r="V157" s="1064"/>
      <c r="W157" s="1064"/>
      <c r="X157" s="1064"/>
      <c r="Z157" s="1077"/>
      <c r="AA157" s="1077"/>
      <c r="AB157" s="1077"/>
      <c r="AC157" s="1077"/>
      <c r="AD157" s="1077"/>
      <c r="AE157" s="1077"/>
      <c r="AF157" s="1077"/>
      <c r="AG157" s="1077"/>
      <c r="AH157" s="1077"/>
      <c r="AI157" s="1077"/>
      <c r="AJ157" s="1077"/>
      <c r="AK157" s="1077"/>
      <c r="AL157" s="1077"/>
      <c r="AM157" s="1108"/>
      <c r="AN157" s="1108"/>
      <c r="AO157" s="1108"/>
      <c r="AP157" s="1108"/>
      <c r="AQ157" s="1108"/>
      <c r="AR157" s="1108"/>
      <c r="AS157" s="1108"/>
      <c r="AT157" s="1108"/>
      <c r="AU157" s="1108"/>
      <c r="AV157" s="1108"/>
      <c r="AW157" s="1108"/>
      <c r="AX157" s="1108"/>
      <c r="AY157" s="1108"/>
      <c r="AZ157" s="1108"/>
      <c r="BA157" s="1108"/>
      <c r="BB157" s="1108"/>
      <c r="BG157" s="1071" t="s">
        <v>604</v>
      </c>
      <c r="BH157" s="1071"/>
      <c r="BI157" s="1071"/>
      <c r="BJ157" s="1071"/>
      <c r="BK157" s="1071"/>
      <c r="BL157" s="1071"/>
      <c r="BM157" s="1071"/>
      <c r="BN157" s="1071"/>
      <c r="BS157" s="73"/>
      <c r="CC157" s="1057"/>
      <c r="CD157" s="1058"/>
      <c r="CE157" s="1058"/>
      <c r="CF157" s="1058"/>
      <c r="CG157" s="1059"/>
      <c r="CI157" s="1037"/>
      <c r="CJ157" s="1038"/>
      <c r="CK157" s="1038"/>
      <c r="CL157" s="1038"/>
      <c r="CM157" s="1038"/>
      <c r="CN157" s="1038"/>
      <c r="CO157" s="1038"/>
      <c r="CP157" s="1038"/>
      <c r="CQ157" s="1038"/>
      <c r="CR157" s="1038"/>
      <c r="CS157" s="1038"/>
      <c r="CT157" s="1038"/>
      <c r="CU157" s="1038"/>
      <c r="CV157" s="1038"/>
      <c r="CW157" s="1039"/>
      <c r="CY157" s="1037"/>
      <c r="CZ157" s="1038"/>
      <c r="DA157" s="1038"/>
      <c r="DB157" s="1038"/>
      <c r="DC157" s="1038"/>
      <c r="DD157" s="1038"/>
      <c r="DE157" s="1038"/>
      <c r="DF157" s="1038"/>
      <c r="DG157" s="1038"/>
      <c r="DH157" s="1038"/>
      <c r="DI157" s="1038"/>
      <c r="DJ157" s="1038"/>
      <c r="DK157" s="1038"/>
      <c r="DL157" s="1038"/>
      <c r="DM157" s="1039"/>
      <c r="DO157" s="1151"/>
      <c r="DP157" s="1152"/>
      <c r="DQ157" s="1152"/>
      <c r="DR157" s="1152"/>
      <c r="DS157" s="1152"/>
      <c r="DT157" s="1152"/>
      <c r="DU157" s="1152"/>
      <c r="DV157" s="1152"/>
      <c r="DW157" s="1152"/>
      <c r="DX157" s="1152"/>
      <c r="DY157" s="1152"/>
      <c r="DZ157" s="1152"/>
      <c r="EA157" s="1152"/>
      <c r="EB157" s="1152"/>
      <c r="EC157" s="1153"/>
    </row>
    <row r="158" spans="2:133" ht="3.75" customHeight="1" x14ac:dyDescent="0.25">
      <c r="B158" s="1066"/>
      <c r="C158" s="1066"/>
      <c r="D158" s="1066"/>
      <c r="F158" s="1066" t="s">
        <v>605</v>
      </c>
      <c r="G158" s="1066"/>
      <c r="H158" s="1066"/>
      <c r="J158" s="1066"/>
      <c r="K158" s="1066"/>
      <c r="L158" s="1066"/>
      <c r="N158" s="1066"/>
      <c r="O158" s="1066"/>
      <c r="P158" s="1066"/>
      <c r="R158" s="1066"/>
      <c r="S158" s="1066"/>
      <c r="T158" s="1066"/>
      <c r="V158" s="1064"/>
      <c r="W158" s="1064"/>
      <c r="X158" s="1064"/>
      <c r="AM158" s="1108"/>
      <c r="AN158" s="1108"/>
      <c r="AO158" s="1108"/>
      <c r="AP158" s="1108"/>
      <c r="AQ158" s="1108"/>
      <c r="AR158" s="1108"/>
      <c r="AS158" s="1108"/>
      <c r="AT158" s="1108"/>
      <c r="AU158" s="1108"/>
      <c r="AV158" s="1108"/>
      <c r="AW158" s="1108"/>
      <c r="AX158" s="1108"/>
      <c r="AY158" s="1108"/>
      <c r="AZ158" s="1108"/>
      <c r="BA158" s="1108"/>
      <c r="BB158" s="1108"/>
      <c r="BG158" s="1071"/>
      <c r="BH158" s="1071"/>
      <c r="BI158" s="1071"/>
      <c r="BJ158" s="1071"/>
      <c r="BK158" s="1071"/>
      <c r="BL158" s="1071"/>
      <c r="BM158" s="1071"/>
      <c r="BN158" s="1071"/>
      <c r="BS158" s="73"/>
      <c r="CC158" s="1060"/>
      <c r="CD158" s="1061"/>
      <c r="CE158" s="1061"/>
      <c r="CF158" s="1061"/>
      <c r="CG158" s="1062"/>
      <c r="CI158" s="1040"/>
      <c r="CJ158" s="1041"/>
      <c r="CK158" s="1041"/>
      <c r="CL158" s="1041"/>
      <c r="CM158" s="1041"/>
      <c r="CN158" s="1041"/>
      <c r="CO158" s="1041"/>
      <c r="CP158" s="1041"/>
      <c r="CQ158" s="1041"/>
      <c r="CR158" s="1041"/>
      <c r="CS158" s="1041"/>
      <c r="CT158" s="1041"/>
      <c r="CU158" s="1041"/>
      <c r="CV158" s="1041"/>
      <c r="CW158" s="1042"/>
      <c r="CY158" s="1040"/>
      <c r="CZ158" s="1041"/>
      <c r="DA158" s="1041"/>
      <c r="DB158" s="1041"/>
      <c r="DC158" s="1041"/>
      <c r="DD158" s="1041"/>
      <c r="DE158" s="1041"/>
      <c r="DF158" s="1041"/>
      <c r="DG158" s="1041"/>
      <c r="DH158" s="1041"/>
      <c r="DI158" s="1041"/>
      <c r="DJ158" s="1041"/>
      <c r="DK158" s="1041"/>
      <c r="DL158" s="1041"/>
      <c r="DM158" s="1042"/>
      <c r="DO158" s="1154"/>
      <c r="DP158" s="1155"/>
      <c r="DQ158" s="1155"/>
      <c r="DR158" s="1155"/>
      <c r="DS158" s="1155"/>
      <c r="DT158" s="1155"/>
      <c r="DU158" s="1155"/>
      <c r="DV158" s="1155"/>
      <c r="DW158" s="1155"/>
      <c r="DX158" s="1155"/>
      <c r="DY158" s="1155"/>
      <c r="DZ158" s="1155"/>
      <c r="EA158" s="1155"/>
      <c r="EB158" s="1155"/>
      <c r="EC158" s="1156"/>
    </row>
    <row r="159" spans="2:133" ht="3.75" customHeight="1" x14ac:dyDescent="0.25">
      <c r="B159" s="1066"/>
      <c r="C159" s="1066"/>
      <c r="D159" s="1066"/>
      <c r="F159" s="1066"/>
      <c r="G159" s="1066"/>
      <c r="H159" s="1066"/>
      <c r="J159" s="1066"/>
      <c r="K159" s="1066"/>
      <c r="L159" s="1066"/>
      <c r="N159" s="1066"/>
      <c r="O159" s="1066"/>
      <c r="P159" s="1066"/>
      <c r="R159" s="1066"/>
      <c r="S159" s="1066"/>
      <c r="T159" s="1066"/>
      <c r="V159" s="1064"/>
      <c r="W159" s="1064"/>
      <c r="X159" s="1064"/>
      <c r="AM159" s="1108"/>
      <c r="AN159" s="1108"/>
      <c r="AO159" s="1108"/>
      <c r="AP159" s="1108"/>
      <c r="AQ159" s="1108"/>
      <c r="AR159" s="1108"/>
      <c r="AS159" s="1108"/>
      <c r="AT159" s="1108"/>
      <c r="AU159" s="1108"/>
      <c r="AV159" s="1108"/>
      <c r="AW159" s="1108"/>
      <c r="AX159" s="1108"/>
      <c r="AY159" s="1108"/>
      <c r="AZ159" s="1108"/>
      <c r="BA159" s="1108"/>
      <c r="BB159" s="1108"/>
      <c r="BS159" s="73"/>
      <c r="CC159" s="1054"/>
      <c r="CD159" s="1055"/>
      <c r="CE159" s="1055"/>
      <c r="CF159" s="1055"/>
      <c r="CG159" s="1056"/>
      <c r="CI159" s="1034"/>
      <c r="CJ159" s="1035"/>
      <c r="CK159" s="1035"/>
      <c r="CL159" s="1035"/>
      <c r="CM159" s="1035"/>
      <c r="CN159" s="1035"/>
      <c r="CO159" s="1035"/>
      <c r="CP159" s="1035"/>
      <c r="CQ159" s="1035"/>
      <c r="CR159" s="1035"/>
      <c r="CS159" s="1035"/>
      <c r="CT159" s="1035"/>
      <c r="CU159" s="1035"/>
      <c r="CV159" s="1035"/>
      <c r="CW159" s="1036"/>
      <c r="CY159" s="1034"/>
      <c r="CZ159" s="1035"/>
      <c r="DA159" s="1035"/>
      <c r="DB159" s="1035"/>
      <c r="DC159" s="1035"/>
      <c r="DD159" s="1035"/>
      <c r="DE159" s="1035"/>
      <c r="DF159" s="1035"/>
      <c r="DG159" s="1035"/>
      <c r="DH159" s="1035"/>
      <c r="DI159" s="1035"/>
      <c r="DJ159" s="1035"/>
      <c r="DK159" s="1035"/>
      <c r="DL159" s="1035"/>
      <c r="DM159" s="1036"/>
      <c r="DO159" s="1148"/>
      <c r="DP159" s="1149"/>
      <c r="DQ159" s="1149"/>
      <c r="DR159" s="1149"/>
      <c r="DS159" s="1149"/>
      <c r="DT159" s="1149"/>
      <c r="DU159" s="1149"/>
      <c r="DV159" s="1149"/>
      <c r="DW159" s="1149"/>
      <c r="DX159" s="1149"/>
      <c r="DY159" s="1149"/>
      <c r="DZ159" s="1149"/>
      <c r="EA159" s="1149"/>
      <c r="EB159" s="1149"/>
      <c r="EC159" s="1150"/>
    </row>
    <row r="160" spans="2:133" ht="3.75" customHeight="1" x14ac:dyDescent="0.25">
      <c r="B160" s="1066"/>
      <c r="C160" s="1066"/>
      <c r="D160" s="1066"/>
      <c r="F160" s="1066"/>
      <c r="G160" s="1066"/>
      <c r="H160" s="1066"/>
      <c r="J160" s="1066"/>
      <c r="K160" s="1066"/>
      <c r="L160" s="1066"/>
      <c r="N160" s="1066"/>
      <c r="O160" s="1066"/>
      <c r="P160" s="1066"/>
      <c r="R160" s="1066"/>
      <c r="S160" s="1066"/>
      <c r="T160" s="1066"/>
      <c r="V160" s="1064"/>
      <c r="W160" s="1064"/>
      <c r="X160" s="1064"/>
      <c r="BS160" s="73"/>
      <c r="CC160" s="1057"/>
      <c r="CD160" s="1058"/>
      <c r="CE160" s="1058"/>
      <c r="CF160" s="1058"/>
      <c r="CG160" s="1059"/>
      <c r="CI160" s="1037"/>
      <c r="CJ160" s="1038"/>
      <c r="CK160" s="1038"/>
      <c r="CL160" s="1038"/>
      <c r="CM160" s="1038"/>
      <c r="CN160" s="1038"/>
      <c r="CO160" s="1038"/>
      <c r="CP160" s="1038"/>
      <c r="CQ160" s="1038"/>
      <c r="CR160" s="1038"/>
      <c r="CS160" s="1038"/>
      <c r="CT160" s="1038"/>
      <c r="CU160" s="1038"/>
      <c r="CV160" s="1038"/>
      <c r="CW160" s="1039"/>
      <c r="CY160" s="1037"/>
      <c r="CZ160" s="1038"/>
      <c r="DA160" s="1038"/>
      <c r="DB160" s="1038"/>
      <c r="DC160" s="1038"/>
      <c r="DD160" s="1038"/>
      <c r="DE160" s="1038"/>
      <c r="DF160" s="1038"/>
      <c r="DG160" s="1038"/>
      <c r="DH160" s="1038"/>
      <c r="DI160" s="1038"/>
      <c r="DJ160" s="1038"/>
      <c r="DK160" s="1038"/>
      <c r="DL160" s="1038"/>
      <c r="DM160" s="1039"/>
      <c r="DO160" s="1151"/>
      <c r="DP160" s="1152"/>
      <c r="DQ160" s="1152"/>
      <c r="DR160" s="1152"/>
      <c r="DS160" s="1152"/>
      <c r="DT160" s="1152"/>
      <c r="DU160" s="1152"/>
      <c r="DV160" s="1152"/>
      <c r="DW160" s="1152"/>
      <c r="DX160" s="1152"/>
      <c r="DY160" s="1152"/>
      <c r="DZ160" s="1152"/>
      <c r="EA160" s="1152"/>
      <c r="EB160" s="1152"/>
      <c r="EC160" s="1153"/>
    </row>
    <row r="161" spans="2:139" ht="3.75" customHeight="1" x14ac:dyDescent="0.25">
      <c r="B161" s="1066"/>
      <c r="C161" s="1066"/>
      <c r="D161" s="1066"/>
      <c r="F161" s="1066"/>
      <c r="G161" s="1066"/>
      <c r="H161" s="1066"/>
      <c r="J161" s="1066"/>
      <c r="K161" s="1066"/>
      <c r="L161" s="1066"/>
      <c r="N161" s="1066"/>
      <c r="O161" s="1066"/>
      <c r="P161" s="1066"/>
      <c r="R161" s="1066"/>
      <c r="S161" s="1066"/>
      <c r="T161" s="1066"/>
      <c r="V161" s="1064"/>
      <c r="W161" s="1064"/>
      <c r="X161" s="1064"/>
      <c r="BS161" s="73"/>
      <c r="CC161" s="1057"/>
      <c r="CD161" s="1058"/>
      <c r="CE161" s="1058"/>
      <c r="CF161" s="1058"/>
      <c r="CG161" s="1059"/>
      <c r="CI161" s="1037"/>
      <c r="CJ161" s="1038"/>
      <c r="CK161" s="1038"/>
      <c r="CL161" s="1038"/>
      <c r="CM161" s="1038"/>
      <c r="CN161" s="1038"/>
      <c r="CO161" s="1038"/>
      <c r="CP161" s="1038"/>
      <c r="CQ161" s="1038"/>
      <c r="CR161" s="1038"/>
      <c r="CS161" s="1038"/>
      <c r="CT161" s="1038"/>
      <c r="CU161" s="1038"/>
      <c r="CV161" s="1038"/>
      <c r="CW161" s="1039"/>
      <c r="CY161" s="1037"/>
      <c r="CZ161" s="1038"/>
      <c r="DA161" s="1038"/>
      <c r="DB161" s="1038"/>
      <c r="DC161" s="1038"/>
      <c r="DD161" s="1038"/>
      <c r="DE161" s="1038"/>
      <c r="DF161" s="1038"/>
      <c r="DG161" s="1038"/>
      <c r="DH161" s="1038"/>
      <c r="DI161" s="1038"/>
      <c r="DJ161" s="1038"/>
      <c r="DK161" s="1038"/>
      <c r="DL161" s="1038"/>
      <c r="DM161" s="1039"/>
      <c r="DO161" s="1151"/>
      <c r="DP161" s="1152"/>
      <c r="DQ161" s="1152"/>
      <c r="DR161" s="1152"/>
      <c r="DS161" s="1152"/>
      <c r="DT161" s="1152"/>
      <c r="DU161" s="1152"/>
      <c r="DV161" s="1152"/>
      <c r="DW161" s="1152"/>
      <c r="DX161" s="1152"/>
      <c r="DY161" s="1152"/>
      <c r="DZ161" s="1152"/>
      <c r="EA161" s="1152"/>
      <c r="EB161" s="1152"/>
      <c r="EC161" s="1153"/>
    </row>
    <row r="162" spans="2:139" ht="3.75" customHeight="1" x14ac:dyDescent="0.25">
      <c r="B162" s="1066"/>
      <c r="C162" s="1066"/>
      <c r="D162" s="1066"/>
      <c r="F162" s="1066"/>
      <c r="G162" s="1066"/>
      <c r="H162" s="1066"/>
      <c r="J162" s="1066"/>
      <c r="K162" s="1066"/>
      <c r="L162" s="1066"/>
      <c r="N162" s="1066"/>
      <c r="O162" s="1066"/>
      <c r="P162" s="1066"/>
      <c r="R162" s="1066"/>
      <c r="S162" s="1066"/>
      <c r="T162" s="1066"/>
      <c r="V162" s="1064"/>
      <c r="W162" s="1064"/>
      <c r="X162" s="1064"/>
      <c r="Z162" s="1076" t="s">
        <v>134</v>
      </c>
      <c r="AA162" s="1076"/>
      <c r="AB162" s="1076"/>
      <c r="AC162" s="1076"/>
      <c r="AD162" s="1076"/>
      <c r="AE162" s="362"/>
      <c r="AF162" s="1076" t="s">
        <v>141</v>
      </c>
      <c r="AG162" s="1076"/>
      <c r="AH162" s="1076"/>
      <c r="AI162" s="1076"/>
      <c r="AJ162" s="1076"/>
      <c r="AK162" s="1076"/>
      <c r="AL162" s="1076"/>
      <c r="AM162" s="1076"/>
      <c r="AN162" s="1076"/>
      <c r="AO162" s="1076"/>
      <c r="AP162" s="1076"/>
      <c r="AQ162" s="1076"/>
      <c r="AR162" s="1076"/>
      <c r="AS162" s="1076"/>
      <c r="AT162" s="1076"/>
      <c r="AU162" s="362"/>
      <c r="AV162" s="1076" t="s">
        <v>142</v>
      </c>
      <c r="AW162" s="1076"/>
      <c r="AX162" s="1076"/>
      <c r="AY162" s="1076"/>
      <c r="AZ162" s="1076"/>
      <c r="BA162" s="1076"/>
      <c r="BB162" s="1076"/>
      <c r="BC162" s="1076"/>
      <c r="BD162" s="1076"/>
      <c r="BE162" s="1076"/>
      <c r="BF162" s="1076"/>
      <c r="BG162" s="1076"/>
      <c r="BH162" s="1076"/>
      <c r="BI162" s="1076"/>
      <c r="BJ162" s="1076"/>
      <c r="BK162" s="362"/>
      <c r="BL162" s="1100" t="s">
        <v>593</v>
      </c>
      <c r="BM162" s="1100"/>
      <c r="BN162" s="1100"/>
      <c r="BO162" s="1100"/>
      <c r="BP162" s="1100"/>
      <c r="BQ162" s="1100"/>
      <c r="BR162" s="1100"/>
      <c r="BS162" s="73"/>
      <c r="CC162" s="1057"/>
      <c r="CD162" s="1058"/>
      <c r="CE162" s="1058"/>
      <c r="CF162" s="1058"/>
      <c r="CG162" s="1059"/>
      <c r="CI162" s="1037"/>
      <c r="CJ162" s="1038"/>
      <c r="CK162" s="1038"/>
      <c r="CL162" s="1038"/>
      <c r="CM162" s="1038"/>
      <c r="CN162" s="1038"/>
      <c r="CO162" s="1038"/>
      <c r="CP162" s="1038"/>
      <c r="CQ162" s="1038"/>
      <c r="CR162" s="1038"/>
      <c r="CS162" s="1038"/>
      <c r="CT162" s="1038"/>
      <c r="CU162" s="1038"/>
      <c r="CV162" s="1038"/>
      <c r="CW162" s="1039"/>
      <c r="CY162" s="1037"/>
      <c r="CZ162" s="1038"/>
      <c r="DA162" s="1038"/>
      <c r="DB162" s="1038"/>
      <c r="DC162" s="1038"/>
      <c r="DD162" s="1038"/>
      <c r="DE162" s="1038"/>
      <c r="DF162" s="1038"/>
      <c r="DG162" s="1038"/>
      <c r="DH162" s="1038"/>
      <c r="DI162" s="1038"/>
      <c r="DJ162" s="1038"/>
      <c r="DK162" s="1038"/>
      <c r="DL162" s="1038"/>
      <c r="DM162" s="1039"/>
      <c r="DO162" s="1151"/>
      <c r="DP162" s="1152"/>
      <c r="DQ162" s="1152"/>
      <c r="DR162" s="1152"/>
      <c r="DS162" s="1152"/>
      <c r="DT162" s="1152"/>
      <c r="DU162" s="1152"/>
      <c r="DV162" s="1152"/>
      <c r="DW162" s="1152"/>
      <c r="DX162" s="1152"/>
      <c r="DY162" s="1152"/>
      <c r="DZ162" s="1152"/>
      <c r="EA162" s="1152"/>
      <c r="EB162" s="1152"/>
      <c r="EC162" s="1153"/>
    </row>
    <row r="163" spans="2:139" ht="3.75" customHeight="1" x14ac:dyDescent="0.25">
      <c r="B163" s="1066"/>
      <c r="C163" s="1066"/>
      <c r="D163" s="1066"/>
      <c r="F163" s="1066"/>
      <c r="G163" s="1066"/>
      <c r="H163" s="1066"/>
      <c r="J163" s="1066"/>
      <c r="K163" s="1066"/>
      <c r="L163" s="1066"/>
      <c r="N163" s="1066"/>
      <c r="O163" s="1066"/>
      <c r="P163" s="1066"/>
      <c r="R163" s="1066"/>
      <c r="S163" s="1066"/>
      <c r="T163" s="1066"/>
      <c r="V163" s="1064"/>
      <c r="W163" s="1064"/>
      <c r="X163" s="1064"/>
      <c r="Z163" s="1076"/>
      <c r="AA163" s="1076"/>
      <c r="AB163" s="1076"/>
      <c r="AC163" s="1076"/>
      <c r="AD163" s="1076"/>
      <c r="AE163" s="362"/>
      <c r="AF163" s="1076"/>
      <c r="AG163" s="1076"/>
      <c r="AH163" s="1076"/>
      <c r="AI163" s="1076"/>
      <c r="AJ163" s="1076"/>
      <c r="AK163" s="1076"/>
      <c r="AL163" s="1076"/>
      <c r="AM163" s="1076"/>
      <c r="AN163" s="1076"/>
      <c r="AO163" s="1076"/>
      <c r="AP163" s="1076"/>
      <c r="AQ163" s="1076"/>
      <c r="AR163" s="1076"/>
      <c r="AS163" s="1076"/>
      <c r="AT163" s="1076"/>
      <c r="AU163" s="362"/>
      <c r="AV163" s="1076"/>
      <c r="AW163" s="1076"/>
      <c r="AX163" s="1076"/>
      <c r="AY163" s="1076"/>
      <c r="AZ163" s="1076"/>
      <c r="BA163" s="1076"/>
      <c r="BB163" s="1076"/>
      <c r="BC163" s="1076"/>
      <c r="BD163" s="1076"/>
      <c r="BE163" s="1076"/>
      <c r="BF163" s="1076"/>
      <c r="BG163" s="1076"/>
      <c r="BH163" s="1076"/>
      <c r="BI163" s="1076"/>
      <c r="BJ163" s="1076"/>
      <c r="BK163" s="362"/>
      <c r="BL163" s="1100"/>
      <c r="BM163" s="1100"/>
      <c r="BN163" s="1100"/>
      <c r="BO163" s="1100"/>
      <c r="BP163" s="1100"/>
      <c r="BQ163" s="1100"/>
      <c r="BR163" s="1100"/>
      <c r="BS163" s="73"/>
      <c r="CC163" s="1060"/>
      <c r="CD163" s="1061"/>
      <c r="CE163" s="1061"/>
      <c r="CF163" s="1061"/>
      <c r="CG163" s="1062"/>
      <c r="CI163" s="1040"/>
      <c r="CJ163" s="1041"/>
      <c r="CK163" s="1041"/>
      <c r="CL163" s="1041"/>
      <c r="CM163" s="1041"/>
      <c r="CN163" s="1041"/>
      <c r="CO163" s="1041"/>
      <c r="CP163" s="1041"/>
      <c r="CQ163" s="1041"/>
      <c r="CR163" s="1041"/>
      <c r="CS163" s="1041"/>
      <c r="CT163" s="1041"/>
      <c r="CU163" s="1041"/>
      <c r="CV163" s="1041"/>
      <c r="CW163" s="1042"/>
      <c r="CY163" s="1040"/>
      <c r="CZ163" s="1041"/>
      <c r="DA163" s="1041"/>
      <c r="DB163" s="1041"/>
      <c r="DC163" s="1041"/>
      <c r="DD163" s="1041"/>
      <c r="DE163" s="1041"/>
      <c r="DF163" s="1041"/>
      <c r="DG163" s="1041"/>
      <c r="DH163" s="1041"/>
      <c r="DI163" s="1041"/>
      <c r="DJ163" s="1041"/>
      <c r="DK163" s="1041"/>
      <c r="DL163" s="1041"/>
      <c r="DM163" s="1042"/>
      <c r="DO163" s="1154"/>
      <c r="DP163" s="1155"/>
      <c r="DQ163" s="1155"/>
      <c r="DR163" s="1155"/>
      <c r="DS163" s="1155"/>
      <c r="DT163" s="1155"/>
      <c r="DU163" s="1155"/>
      <c r="DV163" s="1155"/>
      <c r="DW163" s="1155"/>
      <c r="DX163" s="1155"/>
      <c r="DY163" s="1155"/>
      <c r="DZ163" s="1155"/>
      <c r="EA163" s="1155"/>
      <c r="EB163" s="1155"/>
      <c r="EC163" s="1156"/>
    </row>
    <row r="164" spans="2:139" ht="3.75" customHeight="1" x14ac:dyDescent="0.25">
      <c r="B164" s="1066"/>
      <c r="C164" s="1066"/>
      <c r="D164" s="1066"/>
      <c r="F164" s="1066"/>
      <c r="G164" s="1066"/>
      <c r="H164" s="1066"/>
      <c r="J164" s="1066"/>
      <c r="K164" s="1066"/>
      <c r="L164" s="1066"/>
      <c r="N164" s="1066"/>
      <c r="O164" s="1066"/>
      <c r="P164" s="1066"/>
      <c r="R164" s="1066"/>
      <c r="S164" s="1066"/>
      <c r="T164" s="1066"/>
      <c r="V164" s="1064"/>
      <c r="W164" s="1064"/>
      <c r="X164" s="1064"/>
      <c r="Z164" s="1076"/>
      <c r="AA164" s="1076"/>
      <c r="AB164" s="1076"/>
      <c r="AC164" s="1076"/>
      <c r="AD164" s="1076"/>
      <c r="AE164" s="362"/>
      <c r="AF164" s="1076"/>
      <c r="AG164" s="1076"/>
      <c r="AH164" s="1076"/>
      <c r="AI164" s="1076"/>
      <c r="AJ164" s="1076"/>
      <c r="AK164" s="1076"/>
      <c r="AL164" s="1076"/>
      <c r="AM164" s="1076"/>
      <c r="AN164" s="1076"/>
      <c r="AO164" s="1076"/>
      <c r="AP164" s="1076"/>
      <c r="AQ164" s="1076"/>
      <c r="AR164" s="1076"/>
      <c r="AS164" s="1076"/>
      <c r="AT164" s="1076"/>
      <c r="AU164" s="362"/>
      <c r="AV164" s="1076"/>
      <c r="AW164" s="1076"/>
      <c r="AX164" s="1076"/>
      <c r="AY164" s="1076"/>
      <c r="AZ164" s="1076"/>
      <c r="BA164" s="1076"/>
      <c r="BB164" s="1076"/>
      <c r="BC164" s="1076"/>
      <c r="BD164" s="1076"/>
      <c r="BE164" s="1076"/>
      <c r="BF164" s="1076"/>
      <c r="BG164" s="1076"/>
      <c r="BH164" s="1076"/>
      <c r="BI164" s="1076"/>
      <c r="BJ164" s="1076"/>
      <c r="BK164" s="362"/>
      <c r="BL164" s="1100" t="s">
        <v>591</v>
      </c>
      <c r="BM164" s="1100"/>
      <c r="BN164" s="1100"/>
      <c r="BO164" s="1100"/>
      <c r="BP164" s="1100"/>
      <c r="BQ164" s="1100"/>
      <c r="BR164" s="1100"/>
      <c r="BS164" s="73"/>
      <c r="CC164" s="1054"/>
      <c r="CD164" s="1055"/>
      <c r="CE164" s="1055"/>
      <c r="CF164" s="1055"/>
      <c r="CG164" s="1056"/>
      <c r="CI164" s="1034"/>
      <c r="CJ164" s="1035"/>
      <c r="CK164" s="1035"/>
      <c r="CL164" s="1035"/>
      <c r="CM164" s="1035"/>
      <c r="CN164" s="1035"/>
      <c r="CO164" s="1035"/>
      <c r="CP164" s="1035"/>
      <c r="CQ164" s="1035"/>
      <c r="CR164" s="1035"/>
      <c r="CS164" s="1035"/>
      <c r="CT164" s="1035"/>
      <c r="CU164" s="1035"/>
      <c r="CV164" s="1035"/>
      <c r="CW164" s="1036"/>
      <c r="CY164" s="1034"/>
      <c r="CZ164" s="1035"/>
      <c r="DA164" s="1035"/>
      <c r="DB164" s="1035"/>
      <c r="DC164" s="1035"/>
      <c r="DD164" s="1035"/>
      <c r="DE164" s="1035"/>
      <c r="DF164" s="1035"/>
      <c r="DG164" s="1035"/>
      <c r="DH164" s="1035"/>
      <c r="DI164" s="1035"/>
      <c r="DJ164" s="1035"/>
      <c r="DK164" s="1035"/>
      <c r="DL164" s="1035"/>
      <c r="DM164" s="1036"/>
      <c r="DO164" s="1148"/>
      <c r="DP164" s="1149"/>
      <c r="DQ164" s="1149"/>
      <c r="DR164" s="1149"/>
      <c r="DS164" s="1149"/>
      <c r="DT164" s="1149"/>
      <c r="DU164" s="1149"/>
      <c r="DV164" s="1149"/>
      <c r="DW164" s="1149"/>
      <c r="DX164" s="1149"/>
      <c r="DY164" s="1149"/>
      <c r="DZ164" s="1149"/>
      <c r="EA164" s="1149"/>
      <c r="EB164" s="1149"/>
      <c r="EC164" s="1150"/>
    </row>
    <row r="165" spans="2:139" ht="3.75" customHeight="1" x14ac:dyDescent="0.25">
      <c r="B165" s="1066"/>
      <c r="C165" s="1066"/>
      <c r="D165" s="1066"/>
      <c r="F165" s="1066"/>
      <c r="G165" s="1066"/>
      <c r="H165" s="1066"/>
      <c r="J165" s="1066"/>
      <c r="K165" s="1066"/>
      <c r="L165" s="1066"/>
      <c r="N165" s="1066"/>
      <c r="O165" s="1066"/>
      <c r="P165" s="1066"/>
      <c r="R165" s="1066"/>
      <c r="S165" s="1066"/>
      <c r="T165" s="1066"/>
      <c r="V165" s="1064"/>
      <c r="W165" s="1064"/>
      <c r="X165" s="1064"/>
      <c r="BL165" s="1101"/>
      <c r="BM165" s="1101"/>
      <c r="BN165" s="1101"/>
      <c r="BO165" s="1101"/>
      <c r="BP165" s="1101"/>
      <c r="BQ165" s="1101"/>
      <c r="BR165" s="1101"/>
      <c r="BS165" s="73"/>
      <c r="CC165" s="1057"/>
      <c r="CD165" s="1058"/>
      <c r="CE165" s="1058"/>
      <c r="CF165" s="1058"/>
      <c r="CG165" s="1059"/>
      <c r="CI165" s="1037"/>
      <c r="CJ165" s="1038"/>
      <c r="CK165" s="1038"/>
      <c r="CL165" s="1038"/>
      <c r="CM165" s="1038"/>
      <c r="CN165" s="1038"/>
      <c r="CO165" s="1038"/>
      <c r="CP165" s="1038"/>
      <c r="CQ165" s="1038"/>
      <c r="CR165" s="1038"/>
      <c r="CS165" s="1038"/>
      <c r="CT165" s="1038"/>
      <c r="CU165" s="1038"/>
      <c r="CV165" s="1038"/>
      <c r="CW165" s="1039"/>
      <c r="CY165" s="1037"/>
      <c r="CZ165" s="1038"/>
      <c r="DA165" s="1038"/>
      <c r="DB165" s="1038"/>
      <c r="DC165" s="1038"/>
      <c r="DD165" s="1038"/>
      <c r="DE165" s="1038"/>
      <c r="DF165" s="1038"/>
      <c r="DG165" s="1038"/>
      <c r="DH165" s="1038"/>
      <c r="DI165" s="1038"/>
      <c r="DJ165" s="1038"/>
      <c r="DK165" s="1038"/>
      <c r="DL165" s="1038"/>
      <c r="DM165" s="1039"/>
      <c r="DO165" s="1151"/>
      <c r="DP165" s="1152"/>
      <c r="DQ165" s="1152"/>
      <c r="DR165" s="1152"/>
      <c r="DS165" s="1152"/>
      <c r="DT165" s="1152"/>
      <c r="DU165" s="1152"/>
      <c r="DV165" s="1152"/>
      <c r="DW165" s="1152"/>
      <c r="DX165" s="1152"/>
      <c r="DY165" s="1152"/>
      <c r="DZ165" s="1152"/>
      <c r="EA165" s="1152"/>
      <c r="EB165" s="1152"/>
      <c r="EC165" s="1153"/>
    </row>
    <row r="166" spans="2:139" ht="3.75" customHeight="1" x14ac:dyDescent="0.25">
      <c r="B166" s="365"/>
      <c r="C166" s="365"/>
      <c r="D166" s="365"/>
      <c r="F166" s="436"/>
      <c r="G166" s="436"/>
      <c r="H166" s="436"/>
      <c r="J166" s="436"/>
      <c r="K166" s="436"/>
      <c r="L166" s="436"/>
      <c r="N166" s="436"/>
      <c r="O166" s="436"/>
      <c r="P166" s="436"/>
      <c r="R166" s="365"/>
      <c r="S166" s="365"/>
      <c r="T166" s="365"/>
      <c r="V166" s="365"/>
      <c r="W166" s="365"/>
      <c r="X166" s="365"/>
      <c r="Z166" s="1054"/>
      <c r="AA166" s="1055"/>
      <c r="AB166" s="1055"/>
      <c r="AC166" s="1055"/>
      <c r="AD166" s="1056"/>
      <c r="AF166" s="1034"/>
      <c r="AG166" s="1035"/>
      <c r="AH166" s="1035"/>
      <c r="AI166" s="1035"/>
      <c r="AJ166" s="1035"/>
      <c r="AK166" s="1035"/>
      <c r="AL166" s="1035"/>
      <c r="AM166" s="1035"/>
      <c r="AN166" s="1035"/>
      <c r="AO166" s="1035"/>
      <c r="AP166" s="1035"/>
      <c r="AQ166" s="1035"/>
      <c r="AR166" s="1035"/>
      <c r="AS166" s="1035"/>
      <c r="AT166" s="1036"/>
      <c r="AV166" s="1034"/>
      <c r="AW166" s="1035"/>
      <c r="AX166" s="1035"/>
      <c r="AY166" s="1035"/>
      <c r="AZ166" s="1035"/>
      <c r="BA166" s="1035"/>
      <c r="BB166" s="1035"/>
      <c r="BC166" s="1035"/>
      <c r="BD166" s="1035"/>
      <c r="BE166" s="1035"/>
      <c r="BF166" s="1035"/>
      <c r="BG166" s="1035"/>
      <c r="BH166" s="1035"/>
      <c r="BI166" s="1035"/>
      <c r="BJ166" s="1036"/>
      <c r="BL166" s="1078" t="s">
        <v>813</v>
      </c>
      <c r="BM166" s="1157"/>
      <c r="BN166" s="1157"/>
      <c r="BO166" s="1157"/>
      <c r="BP166" s="1157"/>
      <c r="BQ166" s="1157"/>
      <c r="BR166" s="1080"/>
      <c r="BS166" s="73"/>
      <c r="CC166" s="1057"/>
      <c r="CD166" s="1058"/>
      <c r="CE166" s="1058"/>
      <c r="CF166" s="1058"/>
      <c r="CG166" s="1059"/>
      <c r="CI166" s="1037"/>
      <c r="CJ166" s="1038"/>
      <c r="CK166" s="1038"/>
      <c r="CL166" s="1038"/>
      <c r="CM166" s="1038"/>
      <c r="CN166" s="1038"/>
      <c r="CO166" s="1038"/>
      <c r="CP166" s="1038"/>
      <c r="CQ166" s="1038"/>
      <c r="CR166" s="1038"/>
      <c r="CS166" s="1038"/>
      <c r="CT166" s="1038"/>
      <c r="CU166" s="1038"/>
      <c r="CV166" s="1038"/>
      <c r="CW166" s="1039"/>
      <c r="CY166" s="1037"/>
      <c r="CZ166" s="1038"/>
      <c r="DA166" s="1038"/>
      <c r="DB166" s="1038"/>
      <c r="DC166" s="1038"/>
      <c r="DD166" s="1038"/>
      <c r="DE166" s="1038"/>
      <c r="DF166" s="1038"/>
      <c r="DG166" s="1038"/>
      <c r="DH166" s="1038"/>
      <c r="DI166" s="1038"/>
      <c r="DJ166" s="1038"/>
      <c r="DK166" s="1038"/>
      <c r="DL166" s="1038"/>
      <c r="DM166" s="1039"/>
      <c r="DO166" s="1151"/>
      <c r="DP166" s="1152"/>
      <c r="DQ166" s="1152"/>
      <c r="DR166" s="1152"/>
      <c r="DS166" s="1152"/>
      <c r="DT166" s="1152"/>
      <c r="DU166" s="1152"/>
      <c r="DV166" s="1152"/>
      <c r="DW166" s="1152"/>
      <c r="DX166" s="1152"/>
      <c r="DY166" s="1152"/>
      <c r="DZ166" s="1152"/>
      <c r="EA166" s="1152"/>
      <c r="EB166" s="1152"/>
      <c r="EC166" s="1153"/>
    </row>
    <row r="167" spans="2:139" ht="3.75" customHeight="1" x14ac:dyDescent="0.25">
      <c r="B167" s="1053"/>
      <c r="C167" s="1053"/>
      <c r="D167" s="1053"/>
      <c r="F167" s="1053"/>
      <c r="G167" s="1053"/>
      <c r="H167" s="1053"/>
      <c r="J167" s="1053"/>
      <c r="K167" s="1053"/>
      <c r="L167" s="1053"/>
      <c r="N167" s="1053"/>
      <c r="O167" s="1053"/>
      <c r="P167" s="1053"/>
      <c r="R167" s="1053"/>
      <c r="S167" s="1053"/>
      <c r="T167" s="1053"/>
      <c r="V167" s="1053"/>
      <c r="W167" s="1053"/>
      <c r="X167" s="1053"/>
      <c r="Z167" s="1057"/>
      <c r="AA167" s="1058"/>
      <c r="AB167" s="1058"/>
      <c r="AC167" s="1058"/>
      <c r="AD167" s="1059"/>
      <c r="AF167" s="1037"/>
      <c r="AG167" s="1038"/>
      <c r="AH167" s="1038"/>
      <c r="AI167" s="1038"/>
      <c r="AJ167" s="1038"/>
      <c r="AK167" s="1038"/>
      <c r="AL167" s="1038"/>
      <c r="AM167" s="1038"/>
      <c r="AN167" s="1038"/>
      <c r="AO167" s="1038"/>
      <c r="AP167" s="1038"/>
      <c r="AQ167" s="1038"/>
      <c r="AR167" s="1038"/>
      <c r="AS167" s="1038"/>
      <c r="AT167" s="1039"/>
      <c r="AV167" s="1037"/>
      <c r="AW167" s="1038"/>
      <c r="AX167" s="1038"/>
      <c r="AY167" s="1038"/>
      <c r="AZ167" s="1038"/>
      <c r="BA167" s="1038"/>
      <c r="BB167" s="1038"/>
      <c r="BC167" s="1038"/>
      <c r="BD167" s="1038"/>
      <c r="BE167" s="1038"/>
      <c r="BF167" s="1038"/>
      <c r="BG167" s="1038"/>
      <c r="BH167" s="1038"/>
      <c r="BI167" s="1038"/>
      <c r="BJ167" s="1039"/>
      <c r="BL167" s="1081"/>
      <c r="BM167" s="631"/>
      <c r="BN167" s="631"/>
      <c r="BO167" s="631"/>
      <c r="BP167" s="631"/>
      <c r="BQ167" s="631"/>
      <c r="BR167" s="1082"/>
      <c r="BS167" s="73"/>
      <c r="CC167" s="1057"/>
      <c r="CD167" s="1058"/>
      <c r="CE167" s="1058"/>
      <c r="CF167" s="1058"/>
      <c r="CG167" s="1059"/>
      <c r="CI167" s="1037"/>
      <c r="CJ167" s="1038"/>
      <c r="CK167" s="1038"/>
      <c r="CL167" s="1038"/>
      <c r="CM167" s="1038"/>
      <c r="CN167" s="1038"/>
      <c r="CO167" s="1038"/>
      <c r="CP167" s="1038"/>
      <c r="CQ167" s="1038"/>
      <c r="CR167" s="1038"/>
      <c r="CS167" s="1038"/>
      <c r="CT167" s="1038"/>
      <c r="CU167" s="1038"/>
      <c r="CV167" s="1038"/>
      <c r="CW167" s="1039"/>
      <c r="CY167" s="1037"/>
      <c r="CZ167" s="1038"/>
      <c r="DA167" s="1038"/>
      <c r="DB167" s="1038"/>
      <c r="DC167" s="1038"/>
      <c r="DD167" s="1038"/>
      <c r="DE167" s="1038"/>
      <c r="DF167" s="1038"/>
      <c r="DG167" s="1038"/>
      <c r="DH167" s="1038"/>
      <c r="DI167" s="1038"/>
      <c r="DJ167" s="1038"/>
      <c r="DK167" s="1038"/>
      <c r="DL167" s="1038"/>
      <c r="DM167" s="1039"/>
      <c r="DO167" s="1151"/>
      <c r="DP167" s="1152"/>
      <c r="DQ167" s="1152"/>
      <c r="DR167" s="1152"/>
      <c r="DS167" s="1152"/>
      <c r="DT167" s="1152"/>
      <c r="DU167" s="1152"/>
      <c r="DV167" s="1152"/>
      <c r="DW167" s="1152"/>
      <c r="DX167" s="1152"/>
      <c r="DY167" s="1152"/>
      <c r="DZ167" s="1152"/>
      <c r="EA167" s="1152"/>
      <c r="EB167" s="1152"/>
      <c r="EC167" s="1153"/>
    </row>
    <row r="168" spans="2:139" ht="3.75" customHeight="1" x14ac:dyDescent="0.25">
      <c r="B168" s="1053"/>
      <c r="C168" s="1053"/>
      <c r="D168" s="1053"/>
      <c r="F168" s="1053"/>
      <c r="G168" s="1053"/>
      <c r="H168" s="1053"/>
      <c r="J168" s="1053"/>
      <c r="K168" s="1053"/>
      <c r="L168" s="1053"/>
      <c r="N168" s="1053"/>
      <c r="O168" s="1053"/>
      <c r="P168" s="1053"/>
      <c r="R168" s="1053"/>
      <c r="S168" s="1053"/>
      <c r="T168" s="1053"/>
      <c r="V168" s="1053"/>
      <c r="W168" s="1053"/>
      <c r="X168" s="1053"/>
      <c r="Z168" s="1057"/>
      <c r="AA168" s="1058"/>
      <c r="AB168" s="1058"/>
      <c r="AC168" s="1058"/>
      <c r="AD168" s="1059"/>
      <c r="AF168" s="1037"/>
      <c r="AG168" s="1038"/>
      <c r="AH168" s="1038"/>
      <c r="AI168" s="1038"/>
      <c r="AJ168" s="1038"/>
      <c r="AK168" s="1038"/>
      <c r="AL168" s="1038"/>
      <c r="AM168" s="1038"/>
      <c r="AN168" s="1038"/>
      <c r="AO168" s="1038"/>
      <c r="AP168" s="1038"/>
      <c r="AQ168" s="1038"/>
      <c r="AR168" s="1038"/>
      <c r="AS168" s="1038"/>
      <c r="AT168" s="1039"/>
      <c r="AV168" s="1037"/>
      <c r="AW168" s="1038"/>
      <c r="AX168" s="1038"/>
      <c r="AY168" s="1038"/>
      <c r="AZ168" s="1038"/>
      <c r="BA168" s="1038"/>
      <c r="BB168" s="1038"/>
      <c r="BC168" s="1038"/>
      <c r="BD168" s="1038"/>
      <c r="BE168" s="1038"/>
      <c r="BF168" s="1038"/>
      <c r="BG168" s="1038"/>
      <c r="BH168" s="1038"/>
      <c r="BI168" s="1038"/>
      <c r="BJ168" s="1039"/>
      <c r="BL168" s="1081"/>
      <c r="BM168" s="631"/>
      <c r="BN168" s="631"/>
      <c r="BO168" s="631"/>
      <c r="BP168" s="631"/>
      <c r="BQ168" s="631"/>
      <c r="BR168" s="1082"/>
      <c r="BS168" s="73"/>
      <c r="CC168" s="1060"/>
      <c r="CD168" s="1061"/>
      <c r="CE168" s="1061"/>
      <c r="CF168" s="1061"/>
      <c r="CG168" s="1062"/>
      <c r="CI168" s="1040"/>
      <c r="CJ168" s="1041"/>
      <c r="CK168" s="1041"/>
      <c r="CL168" s="1041"/>
      <c r="CM168" s="1041"/>
      <c r="CN168" s="1041"/>
      <c r="CO168" s="1041"/>
      <c r="CP168" s="1041"/>
      <c r="CQ168" s="1041"/>
      <c r="CR168" s="1041"/>
      <c r="CS168" s="1041"/>
      <c r="CT168" s="1041"/>
      <c r="CU168" s="1041"/>
      <c r="CV168" s="1041"/>
      <c r="CW168" s="1042"/>
      <c r="CY168" s="1040"/>
      <c r="CZ168" s="1041"/>
      <c r="DA168" s="1041"/>
      <c r="DB168" s="1041"/>
      <c r="DC168" s="1041"/>
      <c r="DD168" s="1041"/>
      <c r="DE168" s="1041"/>
      <c r="DF168" s="1041"/>
      <c r="DG168" s="1041"/>
      <c r="DH168" s="1041"/>
      <c r="DI168" s="1041"/>
      <c r="DJ168" s="1041"/>
      <c r="DK168" s="1041"/>
      <c r="DL168" s="1041"/>
      <c r="DM168" s="1042"/>
      <c r="DO168" s="1154"/>
      <c r="DP168" s="1155"/>
      <c r="DQ168" s="1155"/>
      <c r="DR168" s="1155"/>
      <c r="DS168" s="1155"/>
      <c r="DT168" s="1155"/>
      <c r="DU168" s="1155"/>
      <c r="DV168" s="1155"/>
      <c r="DW168" s="1155"/>
      <c r="DX168" s="1155"/>
      <c r="DY168" s="1155"/>
      <c r="DZ168" s="1155"/>
      <c r="EA168" s="1155"/>
      <c r="EB168" s="1155"/>
      <c r="EC168" s="1156"/>
    </row>
    <row r="169" spans="2:139" ht="3.75" customHeight="1" x14ac:dyDescent="0.25">
      <c r="B169" s="1053"/>
      <c r="C169" s="1053"/>
      <c r="D169" s="1053"/>
      <c r="F169" s="1053"/>
      <c r="G169" s="1053"/>
      <c r="H169" s="1053"/>
      <c r="J169" s="1053"/>
      <c r="K169" s="1053"/>
      <c r="L169" s="1053"/>
      <c r="N169" s="1053"/>
      <c r="O169" s="1053"/>
      <c r="P169" s="1053"/>
      <c r="R169" s="1053"/>
      <c r="S169" s="1053"/>
      <c r="T169" s="1053"/>
      <c r="V169" s="1053"/>
      <c r="W169" s="1053"/>
      <c r="X169" s="1053"/>
      <c r="Z169" s="1057"/>
      <c r="AA169" s="1058"/>
      <c r="AB169" s="1058"/>
      <c r="AC169" s="1058"/>
      <c r="AD169" s="1059"/>
      <c r="AF169" s="1037"/>
      <c r="AG169" s="1038"/>
      <c r="AH169" s="1038"/>
      <c r="AI169" s="1038"/>
      <c r="AJ169" s="1038"/>
      <c r="AK169" s="1038"/>
      <c r="AL169" s="1038"/>
      <c r="AM169" s="1038"/>
      <c r="AN169" s="1038"/>
      <c r="AO169" s="1038"/>
      <c r="AP169" s="1038"/>
      <c r="AQ169" s="1038"/>
      <c r="AR169" s="1038"/>
      <c r="AS169" s="1038"/>
      <c r="AT169" s="1039"/>
      <c r="AV169" s="1037"/>
      <c r="AW169" s="1038"/>
      <c r="AX169" s="1038"/>
      <c r="AY169" s="1038"/>
      <c r="AZ169" s="1038"/>
      <c r="BA169" s="1038"/>
      <c r="BB169" s="1038"/>
      <c r="BC169" s="1038"/>
      <c r="BD169" s="1038"/>
      <c r="BE169" s="1038"/>
      <c r="BF169" s="1038"/>
      <c r="BG169" s="1038"/>
      <c r="BH169" s="1038"/>
      <c r="BI169" s="1038"/>
      <c r="BJ169" s="1039"/>
      <c r="BL169" s="1081"/>
      <c r="BM169" s="631"/>
      <c r="BN169" s="631"/>
      <c r="BO169" s="631"/>
      <c r="BP169" s="631"/>
      <c r="BQ169" s="631"/>
      <c r="BR169" s="1082"/>
      <c r="BS169" s="73"/>
      <c r="CC169" s="1054"/>
      <c r="CD169" s="1055"/>
      <c r="CE169" s="1055"/>
      <c r="CF169" s="1055"/>
      <c r="CG169" s="1056"/>
      <c r="CI169" s="1034"/>
      <c r="CJ169" s="1035"/>
      <c r="CK169" s="1035"/>
      <c r="CL169" s="1035"/>
      <c r="CM169" s="1035"/>
      <c r="CN169" s="1035"/>
      <c r="CO169" s="1035"/>
      <c r="CP169" s="1035"/>
      <c r="CQ169" s="1035"/>
      <c r="CR169" s="1035"/>
      <c r="CS169" s="1035"/>
      <c r="CT169" s="1035"/>
      <c r="CU169" s="1035"/>
      <c r="CV169" s="1035"/>
      <c r="CW169" s="1036"/>
      <c r="CY169" s="1034"/>
      <c r="CZ169" s="1035"/>
      <c r="DA169" s="1035"/>
      <c r="DB169" s="1035"/>
      <c r="DC169" s="1035"/>
      <c r="DD169" s="1035"/>
      <c r="DE169" s="1035"/>
      <c r="DF169" s="1035"/>
      <c r="DG169" s="1035"/>
      <c r="DH169" s="1035"/>
      <c r="DI169" s="1035"/>
      <c r="DJ169" s="1035"/>
      <c r="DK169" s="1035"/>
      <c r="DL169" s="1035"/>
      <c r="DM169" s="1036"/>
      <c r="DO169" s="1148"/>
      <c r="DP169" s="1149"/>
      <c r="DQ169" s="1149"/>
      <c r="DR169" s="1149"/>
      <c r="DS169" s="1149"/>
      <c r="DT169" s="1149"/>
      <c r="DU169" s="1149"/>
      <c r="DV169" s="1149"/>
      <c r="DW169" s="1149"/>
      <c r="DX169" s="1149"/>
      <c r="DY169" s="1149"/>
      <c r="DZ169" s="1149"/>
      <c r="EA169" s="1149"/>
      <c r="EB169" s="1149"/>
      <c r="EC169" s="1150"/>
    </row>
    <row r="170" spans="2:139" ht="3.75" customHeight="1" x14ac:dyDescent="0.25">
      <c r="F170" s="436"/>
      <c r="G170" s="436"/>
      <c r="H170" s="436"/>
      <c r="J170" s="436"/>
      <c r="K170" s="436"/>
      <c r="L170" s="436"/>
      <c r="N170" s="436"/>
      <c r="O170" s="436"/>
      <c r="P170" s="436"/>
      <c r="Z170" s="1060"/>
      <c r="AA170" s="1061"/>
      <c r="AB170" s="1061"/>
      <c r="AC170" s="1061"/>
      <c r="AD170" s="1062"/>
      <c r="AF170" s="1040"/>
      <c r="AG170" s="1041"/>
      <c r="AH170" s="1041"/>
      <c r="AI170" s="1041"/>
      <c r="AJ170" s="1041"/>
      <c r="AK170" s="1041"/>
      <c r="AL170" s="1041"/>
      <c r="AM170" s="1041"/>
      <c r="AN170" s="1041"/>
      <c r="AO170" s="1041"/>
      <c r="AP170" s="1041"/>
      <c r="AQ170" s="1041"/>
      <c r="AR170" s="1041"/>
      <c r="AS170" s="1041"/>
      <c r="AT170" s="1042"/>
      <c r="AV170" s="1040"/>
      <c r="AW170" s="1041"/>
      <c r="AX170" s="1041"/>
      <c r="AY170" s="1041"/>
      <c r="AZ170" s="1041"/>
      <c r="BA170" s="1041"/>
      <c r="BB170" s="1041"/>
      <c r="BC170" s="1041"/>
      <c r="BD170" s="1041"/>
      <c r="BE170" s="1041"/>
      <c r="BF170" s="1041"/>
      <c r="BG170" s="1041"/>
      <c r="BH170" s="1041"/>
      <c r="BI170" s="1041"/>
      <c r="BJ170" s="1042"/>
      <c r="BL170" s="1083"/>
      <c r="BM170" s="1084"/>
      <c r="BN170" s="1084"/>
      <c r="BO170" s="1084"/>
      <c r="BP170" s="1084"/>
      <c r="BQ170" s="1084"/>
      <c r="BR170" s="1085"/>
      <c r="BS170" s="73"/>
      <c r="CC170" s="1057"/>
      <c r="CD170" s="1058"/>
      <c r="CE170" s="1058"/>
      <c r="CF170" s="1058"/>
      <c r="CG170" s="1059"/>
      <c r="CI170" s="1037"/>
      <c r="CJ170" s="1038"/>
      <c r="CK170" s="1038"/>
      <c r="CL170" s="1038"/>
      <c r="CM170" s="1038"/>
      <c r="CN170" s="1038"/>
      <c r="CO170" s="1038"/>
      <c r="CP170" s="1038"/>
      <c r="CQ170" s="1038"/>
      <c r="CR170" s="1038"/>
      <c r="CS170" s="1038"/>
      <c r="CT170" s="1038"/>
      <c r="CU170" s="1038"/>
      <c r="CV170" s="1038"/>
      <c r="CW170" s="1039"/>
      <c r="CY170" s="1037"/>
      <c r="CZ170" s="1038"/>
      <c r="DA170" s="1038"/>
      <c r="DB170" s="1038"/>
      <c r="DC170" s="1038"/>
      <c r="DD170" s="1038"/>
      <c r="DE170" s="1038"/>
      <c r="DF170" s="1038"/>
      <c r="DG170" s="1038"/>
      <c r="DH170" s="1038"/>
      <c r="DI170" s="1038"/>
      <c r="DJ170" s="1038"/>
      <c r="DK170" s="1038"/>
      <c r="DL170" s="1038"/>
      <c r="DM170" s="1039"/>
      <c r="DO170" s="1151"/>
      <c r="DP170" s="1152"/>
      <c r="DQ170" s="1152"/>
      <c r="DR170" s="1152"/>
      <c r="DS170" s="1152"/>
      <c r="DT170" s="1152"/>
      <c r="DU170" s="1152"/>
      <c r="DV170" s="1152"/>
      <c r="DW170" s="1152"/>
      <c r="DX170" s="1152"/>
      <c r="DY170" s="1152"/>
      <c r="DZ170" s="1152"/>
      <c r="EA170" s="1152"/>
      <c r="EB170" s="1152"/>
      <c r="EC170" s="1153"/>
    </row>
    <row r="171" spans="2:139" ht="3.75" customHeight="1" x14ac:dyDescent="0.25">
      <c r="F171" s="436"/>
      <c r="G171" s="436"/>
      <c r="H171" s="436"/>
      <c r="Z171" s="1054"/>
      <c r="AA171" s="1055"/>
      <c r="AB171" s="1055"/>
      <c r="AC171" s="1055"/>
      <c r="AD171" s="1056"/>
      <c r="AF171" s="1034"/>
      <c r="AG171" s="1035"/>
      <c r="AH171" s="1035"/>
      <c r="AI171" s="1035"/>
      <c r="AJ171" s="1035"/>
      <c r="AK171" s="1035"/>
      <c r="AL171" s="1035"/>
      <c r="AM171" s="1035"/>
      <c r="AN171" s="1035"/>
      <c r="AO171" s="1035"/>
      <c r="AP171" s="1035"/>
      <c r="AQ171" s="1035"/>
      <c r="AR171" s="1035"/>
      <c r="AS171" s="1035"/>
      <c r="AT171" s="1036"/>
      <c r="AV171" s="1034"/>
      <c r="AW171" s="1035"/>
      <c r="AX171" s="1035"/>
      <c r="AY171" s="1035"/>
      <c r="AZ171" s="1035"/>
      <c r="BA171" s="1035"/>
      <c r="BB171" s="1035"/>
      <c r="BC171" s="1035"/>
      <c r="BD171" s="1035"/>
      <c r="BE171" s="1035"/>
      <c r="BF171" s="1035"/>
      <c r="BG171" s="1035"/>
      <c r="BH171" s="1035"/>
      <c r="BI171" s="1035"/>
      <c r="BJ171" s="1036"/>
      <c r="BL171" s="1078" t="s">
        <v>813</v>
      </c>
      <c r="BM171" s="1157"/>
      <c r="BN171" s="1157"/>
      <c r="BO171" s="1157"/>
      <c r="BP171" s="1157"/>
      <c r="BQ171" s="1157"/>
      <c r="BR171" s="1080"/>
      <c r="BS171" s="73"/>
      <c r="CC171" s="1057"/>
      <c r="CD171" s="1058"/>
      <c r="CE171" s="1058"/>
      <c r="CF171" s="1058"/>
      <c r="CG171" s="1059"/>
      <c r="CI171" s="1037"/>
      <c r="CJ171" s="1038"/>
      <c r="CK171" s="1038"/>
      <c r="CL171" s="1038"/>
      <c r="CM171" s="1038"/>
      <c r="CN171" s="1038"/>
      <c r="CO171" s="1038"/>
      <c r="CP171" s="1038"/>
      <c r="CQ171" s="1038"/>
      <c r="CR171" s="1038"/>
      <c r="CS171" s="1038"/>
      <c r="CT171" s="1038"/>
      <c r="CU171" s="1038"/>
      <c r="CV171" s="1038"/>
      <c r="CW171" s="1039"/>
      <c r="CY171" s="1037"/>
      <c r="CZ171" s="1038"/>
      <c r="DA171" s="1038"/>
      <c r="DB171" s="1038"/>
      <c r="DC171" s="1038"/>
      <c r="DD171" s="1038"/>
      <c r="DE171" s="1038"/>
      <c r="DF171" s="1038"/>
      <c r="DG171" s="1038"/>
      <c r="DH171" s="1038"/>
      <c r="DI171" s="1038"/>
      <c r="DJ171" s="1038"/>
      <c r="DK171" s="1038"/>
      <c r="DL171" s="1038"/>
      <c r="DM171" s="1039"/>
      <c r="DO171" s="1151"/>
      <c r="DP171" s="1152"/>
      <c r="DQ171" s="1152"/>
      <c r="DR171" s="1152"/>
      <c r="DS171" s="1152"/>
      <c r="DT171" s="1152"/>
      <c r="DU171" s="1152"/>
      <c r="DV171" s="1152"/>
      <c r="DW171" s="1152"/>
      <c r="DX171" s="1152"/>
      <c r="DY171" s="1152"/>
      <c r="DZ171" s="1152"/>
      <c r="EA171" s="1152"/>
      <c r="EB171" s="1152"/>
      <c r="EC171" s="1153"/>
    </row>
    <row r="172" spans="2:139" ht="3.75" customHeight="1" x14ac:dyDescent="0.25">
      <c r="B172" s="1053"/>
      <c r="C172" s="1053"/>
      <c r="D172" s="1053"/>
      <c r="F172" s="1053"/>
      <c r="G172" s="1053"/>
      <c r="H172" s="1053"/>
      <c r="J172" s="1053"/>
      <c r="K172" s="1053"/>
      <c r="L172" s="1053"/>
      <c r="N172" s="1053"/>
      <c r="O172" s="1053"/>
      <c r="P172" s="1053"/>
      <c r="R172" s="1053"/>
      <c r="S172" s="1053"/>
      <c r="T172" s="1053"/>
      <c r="V172" s="1053"/>
      <c r="W172" s="1053"/>
      <c r="X172" s="1053"/>
      <c r="Z172" s="1057"/>
      <c r="AA172" s="1058"/>
      <c r="AB172" s="1058"/>
      <c r="AC172" s="1058"/>
      <c r="AD172" s="1059"/>
      <c r="AF172" s="1037"/>
      <c r="AG172" s="1038"/>
      <c r="AH172" s="1038"/>
      <c r="AI172" s="1038"/>
      <c r="AJ172" s="1038"/>
      <c r="AK172" s="1038"/>
      <c r="AL172" s="1038"/>
      <c r="AM172" s="1038"/>
      <c r="AN172" s="1038"/>
      <c r="AO172" s="1038"/>
      <c r="AP172" s="1038"/>
      <c r="AQ172" s="1038"/>
      <c r="AR172" s="1038"/>
      <c r="AS172" s="1038"/>
      <c r="AT172" s="1039"/>
      <c r="AV172" s="1037"/>
      <c r="AW172" s="1038"/>
      <c r="AX172" s="1038"/>
      <c r="AY172" s="1038"/>
      <c r="AZ172" s="1038"/>
      <c r="BA172" s="1038"/>
      <c r="BB172" s="1038"/>
      <c r="BC172" s="1038"/>
      <c r="BD172" s="1038"/>
      <c r="BE172" s="1038"/>
      <c r="BF172" s="1038"/>
      <c r="BG172" s="1038"/>
      <c r="BH172" s="1038"/>
      <c r="BI172" s="1038"/>
      <c r="BJ172" s="1039"/>
      <c r="BL172" s="1081"/>
      <c r="BM172" s="631"/>
      <c r="BN172" s="631"/>
      <c r="BO172" s="631"/>
      <c r="BP172" s="631"/>
      <c r="BQ172" s="631"/>
      <c r="BR172" s="1082"/>
      <c r="BS172" s="73"/>
      <c r="CC172" s="1057"/>
      <c r="CD172" s="1058"/>
      <c r="CE172" s="1058"/>
      <c r="CF172" s="1058"/>
      <c r="CG172" s="1059"/>
      <c r="CI172" s="1037"/>
      <c r="CJ172" s="1038"/>
      <c r="CK172" s="1038"/>
      <c r="CL172" s="1038"/>
      <c r="CM172" s="1038"/>
      <c r="CN172" s="1038"/>
      <c r="CO172" s="1038"/>
      <c r="CP172" s="1038"/>
      <c r="CQ172" s="1038"/>
      <c r="CR172" s="1038"/>
      <c r="CS172" s="1038"/>
      <c r="CT172" s="1038"/>
      <c r="CU172" s="1038"/>
      <c r="CV172" s="1038"/>
      <c r="CW172" s="1039"/>
      <c r="CY172" s="1037"/>
      <c r="CZ172" s="1038"/>
      <c r="DA172" s="1038"/>
      <c r="DB172" s="1038"/>
      <c r="DC172" s="1038"/>
      <c r="DD172" s="1038"/>
      <c r="DE172" s="1038"/>
      <c r="DF172" s="1038"/>
      <c r="DG172" s="1038"/>
      <c r="DH172" s="1038"/>
      <c r="DI172" s="1038"/>
      <c r="DJ172" s="1038"/>
      <c r="DK172" s="1038"/>
      <c r="DL172" s="1038"/>
      <c r="DM172" s="1039"/>
      <c r="DO172" s="1151"/>
      <c r="DP172" s="1152"/>
      <c r="DQ172" s="1152"/>
      <c r="DR172" s="1152"/>
      <c r="DS172" s="1152"/>
      <c r="DT172" s="1152"/>
      <c r="DU172" s="1152"/>
      <c r="DV172" s="1152"/>
      <c r="DW172" s="1152"/>
      <c r="DX172" s="1152"/>
      <c r="DY172" s="1152"/>
      <c r="DZ172" s="1152"/>
      <c r="EA172" s="1152"/>
      <c r="EB172" s="1152"/>
      <c r="EC172" s="1153"/>
    </row>
    <row r="173" spans="2:139" ht="3.75" customHeight="1" x14ac:dyDescent="0.25">
      <c r="B173" s="1053"/>
      <c r="C173" s="1053"/>
      <c r="D173" s="1053"/>
      <c r="F173" s="1053"/>
      <c r="G173" s="1053"/>
      <c r="H173" s="1053"/>
      <c r="J173" s="1053"/>
      <c r="K173" s="1053"/>
      <c r="L173" s="1053"/>
      <c r="N173" s="1053"/>
      <c r="O173" s="1053"/>
      <c r="P173" s="1053"/>
      <c r="R173" s="1053"/>
      <c r="S173" s="1053"/>
      <c r="T173" s="1053"/>
      <c r="V173" s="1053"/>
      <c r="W173" s="1053"/>
      <c r="X173" s="1053"/>
      <c r="Z173" s="1057"/>
      <c r="AA173" s="1058"/>
      <c r="AB173" s="1058"/>
      <c r="AC173" s="1058"/>
      <c r="AD173" s="1059"/>
      <c r="AF173" s="1037"/>
      <c r="AG173" s="1038"/>
      <c r="AH173" s="1038"/>
      <c r="AI173" s="1038"/>
      <c r="AJ173" s="1038"/>
      <c r="AK173" s="1038"/>
      <c r="AL173" s="1038"/>
      <c r="AM173" s="1038"/>
      <c r="AN173" s="1038"/>
      <c r="AO173" s="1038"/>
      <c r="AP173" s="1038"/>
      <c r="AQ173" s="1038"/>
      <c r="AR173" s="1038"/>
      <c r="AS173" s="1038"/>
      <c r="AT173" s="1039"/>
      <c r="AV173" s="1037"/>
      <c r="AW173" s="1038"/>
      <c r="AX173" s="1038"/>
      <c r="AY173" s="1038"/>
      <c r="AZ173" s="1038"/>
      <c r="BA173" s="1038"/>
      <c r="BB173" s="1038"/>
      <c r="BC173" s="1038"/>
      <c r="BD173" s="1038"/>
      <c r="BE173" s="1038"/>
      <c r="BF173" s="1038"/>
      <c r="BG173" s="1038"/>
      <c r="BH173" s="1038"/>
      <c r="BI173" s="1038"/>
      <c r="BJ173" s="1039"/>
      <c r="BL173" s="1081"/>
      <c r="BM173" s="631"/>
      <c r="BN173" s="631"/>
      <c r="BO173" s="631"/>
      <c r="BP173" s="631"/>
      <c r="BQ173" s="631"/>
      <c r="BR173" s="1082"/>
      <c r="BS173" s="73"/>
      <c r="CC173" s="1060"/>
      <c r="CD173" s="1061"/>
      <c r="CE173" s="1061"/>
      <c r="CF173" s="1061"/>
      <c r="CG173" s="1062"/>
      <c r="CI173" s="1040"/>
      <c r="CJ173" s="1041"/>
      <c r="CK173" s="1041"/>
      <c r="CL173" s="1041"/>
      <c r="CM173" s="1041"/>
      <c r="CN173" s="1041"/>
      <c r="CO173" s="1041"/>
      <c r="CP173" s="1041"/>
      <c r="CQ173" s="1041"/>
      <c r="CR173" s="1041"/>
      <c r="CS173" s="1041"/>
      <c r="CT173" s="1041"/>
      <c r="CU173" s="1041"/>
      <c r="CV173" s="1041"/>
      <c r="CW173" s="1042"/>
      <c r="CY173" s="1040"/>
      <c r="CZ173" s="1041"/>
      <c r="DA173" s="1041"/>
      <c r="DB173" s="1041"/>
      <c r="DC173" s="1041"/>
      <c r="DD173" s="1041"/>
      <c r="DE173" s="1041"/>
      <c r="DF173" s="1041"/>
      <c r="DG173" s="1041"/>
      <c r="DH173" s="1041"/>
      <c r="DI173" s="1041"/>
      <c r="DJ173" s="1041"/>
      <c r="DK173" s="1041"/>
      <c r="DL173" s="1041"/>
      <c r="DM173" s="1042"/>
      <c r="DO173" s="1154"/>
      <c r="DP173" s="1155"/>
      <c r="DQ173" s="1155"/>
      <c r="DR173" s="1155"/>
      <c r="DS173" s="1155"/>
      <c r="DT173" s="1155"/>
      <c r="DU173" s="1155"/>
      <c r="DV173" s="1155"/>
      <c r="DW173" s="1155"/>
      <c r="DX173" s="1155"/>
      <c r="DY173" s="1155"/>
      <c r="DZ173" s="1155"/>
      <c r="EA173" s="1155"/>
      <c r="EB173" s="1155"/>
      <c r="EC173" s="1156"/>
    </row>
    <row r="174" spans="2:139" ht="3.75" customHeight="1" x14ac:dyDescent="0.25">
      <c r="B174" s="1053"/>
      <c r="C174" s="1053"/>
      <c r="D174" s="1053"/>
      <c r="F174" s="1053"/>
      <c r="G174" s="1053"/>
      <c r="H174" s="1053"/>
      <c r="J174" s="1053"/>
      <c r="K174" s="1053"/>
      <c r="L174" s="1053"/>
      <c r="N174" s="1053"/>
      <c r="O174" s="1053"/>
      <c r="P174" s="1053"/>
      <c r="R174" s="1053"/>
      <c r="S174" s="1053"/>
      <c r="T174" s="1053"/>
      <c r="V174" s="1053"/>
      <c r="W174" s="1053"/>
      <c r="X174" s="1053"/>
      <c r="Z174" s="1057"/>
      <c r="AA174" s="1058"/>
      <c r="AB174" s="1058"/>
      <c r="AC174" s="1058"/>
      <c r="AD174" s="1059"/>
      <c r="AF174" s="1037"/>
      <c r="AG174" s="1038"/>
      <c r="AH174" s="1038"/>
      <c r="AI174" s="1038"/>
      <c r="AJ174" s="1038"/>
      <c r="AK174" s="1038"/>
      <c r="AL174" s="1038"/>
      <c r="AM174" s="1038"/>
      <c r="AN174" s="1038"/>
      <c r="AO174" s="1038"/>
      <c r="AP174" s="1038"/>
      <c r="AQ174" s="1038"/>
      <c r="AR174" s="1038"/>
      <c r="AS174" s="1038"/>
      <c r="AT174" s="1039"/>
      <c r="AV174" s="1037"/>
      <c r="AW174" s="1038"/>
      <c r="AX174" s="1038"/>
      <c r="AY174" s="1038"/>
      <c r="AZ174" s="1038"/>
      <c r="BA174" s="1038"/>
      <c r="BB174" s="1038"/>
      <c r="BC174" s="1038"/>
      <c r="BD174" s="1038"/>
      <c r="BE174" s="1038"/>
      <c r="BF174" s="1038"/>
      <c r="BG174" s="1038"/>
      <c r="BH174" s="1038"/>
      <c r="BI174" s="1038"/>
      <c r="BJ174" s="1039"/>
      <c r="BL174" s="1081"/>
      <c r="BM174" s="631"/>
      <c r="BN174" s="631"/>
      <c r="BO174" s="631"/>
      <c r="BP174" s="631"/>
      <c r="BQ174" s="631"/>
      <c r="BR174" s="1082"/>
      <c r="BS174" s="73"/>
    </row>
    <row r="175" spans="2:139" ht="3.75" customHeight="1" x14ac:dyDescent="0.25">
      <c r="Z175" s="1060"/>
      <c r="AA175" s="1061"/>
      <c r="AB175" s="1061"/>
      <c r="AC175" s="1061"/>
      <c r="AD175" s="1062"/>
      <c r="AF175" s="1040"/>
      <c r="AG175" s="1041"/>
      <c r="AH175" s="1041"/>
      <c r="AI175" s="1041"/>
      <c r="AJ175" s="1041"/>
      <c r="AK175" s="1041"/>
      <c r="AL175" s="1041"/>
      <c r="AM175" s="1041"/>
      <c r="AN175" s="1041"/>
      <c r="AO175" s="1041"/>
      <c r="AP175" s="1041"/>
      <c r="AQ175" s="1041"/>
      <c r="AR175" s="1041"/>
      <c r="AS175" s="1041"/>
      <c r="AT175" s="1042"/>
      <c r="AV175" s="1040"/>
      <c r="AW175" s="1041"/>
      <c r="AX175" s="1041"/>
      <c r="AY175" s="1041"/>
      <c r="AZ175" s="1041"/>
      <c r="BA175" s="1041"/>
      <c r="BB175" s="1041"/>
      <c r="BC175" s="1041"/>
      <c r="BD175" s="1041"/>
      <c r="BE175" s="1041"/>
      <c r="BF175" s="1041"/>
      <c r="BG175" s="1041"/>
      <c r="BH175" s="1041"/>
      <c r="BI175" s="1041"/>
      <c r="BJ175" s="1042"/>
      <c r="BL175" s="1083"/>
      <c r="BM175" s="1084"/>
      <c r="BN175" s="1084"/>
      <c r="BO175" s="1084"/>
      <c r="BP175" s="1084"/>
      <c r="BQ175" s="1084"/>
      <c r="BR175" s="1085"/>
      <c r="BS175" s="73"/>
      <c r="BW175" s="356"/>
      <c r="BX175" s="356"/>
      <c r="BY175" s="356"/>
      <c r="BZ175" s="356"/>
      <c r="CA175" s="356"/>
      <c r="CB175" s="356"/>
      <c r="CC175" s="356"/>
      <c r="CD175" s="1053"/>
      <c r="CE175" s="1053"/>
      <c r="CF175" s="1053"/>
      <c r="CG175" s="356"/>
      <c r="CH175" s="1098" t="s">
        <v>804</v>
      </c>
      <c r="CI175" s="1098"/>
      <c r="CJ175" s="1098"/>
      <c r="CK175" s="1098"/>
      <c r="CL175" s="1098"/>
      <c r="CM175" s="1098"/>
      <c r="CN175" s="1098"/>
      <c r="CO175" s="1098"/>
      <c r="CP175" s="1098"/>
      <c r="CQ175" s="1098"/>
      <c r="CR175" s="1098"/>
      <c r="CS175" s="1098"/>
      <c r="CT175" s="1098"/>
      <c r="CU175" s="1098"/>
      <c r="CV175" s="1098"/>
      <c r="CW175" s="1098"/>
      <c r="CX175" s="1098"/>
      <c r="CY175" s="1098"/>
      <c r="CZ175" s="1098"/>
      <c r="DA175" s="1098"/>
      <c r="DB175" s="1098"/>
      <c r="DC175" s="1098"/>
      <c r="DD175" s="1098"/>
      <c r="DE175" s="1098"/>
      <c r="DF175" s="1098"/>
      <c r="DG175" s="1098"/>
      <c r="DH175" s="356"/>
      <c r="DI175" s="356"/>
      <c r="DJ175" s="1053"/>
      <c r="DK175" s="1053"/>
      <c r="DL175" s="1053"/>
      <c r="DM175" s="356"/>
      <c r="DN175" s="1098" t="s">
        <v>805</v>
      </c>
      <c r="DO175" s="1098"/>
      <c r="DP175" s="1098"/>
      <c r="DQ175" s="1098"/>
      <c r="DR175" s="1098"/>
      <c r="DS175" s="1098"/>
      <c r="DT175" s="1098"/>
      <c r="DU175" s="1098"/>
      <c r="DV175" s="1098"/>
      <c r="DW175" s="1098"/>
      <c r="DX175" s="1098"/>
      <c r="DY175" s="1098"/>
      <c r="DZ175" s="1098"/>
      <c r="EA175" s="1098"/>
      <c r="EB175" s="1098"/>
      <c r="EC175" s="1098"/>
      <c r="ED175" s="363"/>
      <c r="EE175" s="363"/>
      <c r="EF175" s="363"/>
      <c r="EG175" s="363"/>
      <c r="EH175" s="363"/>
      <c r="EI175" s="363"/>
    </row>
    <row r="176" spans="2:139" ht="3.75" customHeight="1" x14ac:dyDescent="0.25">
      <c r="Z176" s="1054"/>
      <c r="AA176" s="1055"/>
      <c r="AB176" s="1055"/>
      <c r="AC176" s="1055"/>
      <c r="AD176" s="1056"/>
      <c r="AF176" s="1034"/>
      <c r="AG176" s="1035"/>
      <c r="AH176" s="1035"/>
      <c r="AI176" s="1035"/>
      <c r="AJ176" s="1035"/>
      <c r="AK176" s="1035"/>
      <c r="AL176" s="1035"/>
      <c r="AM176" s="1035"/>
      <c r="AN176" s="1035"/>
      <c r="AO176" s="1035"/>
      <c r="AP176" s="1035"/>
      <c r="AQ176" s="1035"/>
      <c r="AR176" s="1035"/>
      <c r="AS176" s="1035"/>
      <c r="AT176" s="1036"/>
      <c r="AV176" s="1034"/>
      <c r="AW176" s="1035"/>
      <c r="AX176" s="1035"/>
      <c r="AY176" s="1035"/>
      <c r="AZ176" s="1035"/>
      <c r="BA176" s="1035"/>
      <c r="BB176" s="1035"/>
      <c r="BC176" s="1035"/>
      <c r="BD176" s="1035"/>
      <c r="BE176" s="1035"/>
      <c r="BF176" s="1035"/>
      <c r="BG176" s="1035"/>
      <c r="BH176" s="1035"/>
      <c r="BI176" s="1035"/>
      <c r="BJ176" s="1036"/>
      <c r="BL176" s="1078" t="s">
        <v>813</v>
      </c>
      <c r="BM176" s="1157"/>
      <c r="BN176" s="1157"/>
      <c r="BO176" s="1157"/>
      <c r="BP176" s="1157"/>
      <c r="BQ176" s="1157"/>
      <c r="BR176" s="1080"/>
      <c r="BS176" s="73"/>
      <c r="BW176" s="356"/>
      <c r="BX176" s="356"/>
      <c r="BY176" s="356"/>
      <c r="BZ176" s="356"/>
      <c r="CA176" s="356"/>
      <c r="CB176" s="356"/>
      <c r="CC176" s="356"/>
      <c r="CD176" s="1053"/>
      <c r="CE176" s="1053"/>
      <c r="CF176" s="1053"/>
      <c r="CG176" s="356"/>
      <c r="CH176" s="1098"/>
      <c r="CI176" s="1098"/>
      <c r="CJ176" s="1098"/>
      <c r="CK176" s="1098"/>
      <c r="CL176" s="1098"/>
      <c r="CM176" s="1098"/>
      <c r="CN176" s="1098"/>
      <c r="CO176" s="1098"/>
      <c r="CP176" s="1098"/>
      <c r="CQ176" s="1098"/>
      <c r="CR176" s="1098"/>
      <c r="CS176" s="1098"/>
      <c r="CT176" s="1098"/>
      <c r="CU176" s="1098"/>
      <c r="CV176" s="1098"/>
      <c r="CW176" s="1098"/>
      <c r="CX176" s="1098"/>
      <c r="CY176" s="1098"/>
      <c r="CZ176" s="1098"/>
      <c r="DA176" s="1098"/>
      <c r="DB176" s="1098"/>
      <c r="DC176" s="1098"/>
      <c r="DD176" s="1098"/>
      <c r="DE176" s="1098"/>
      <c r="DF176" s="1098"/>
      <c r="DG176" s="1098"/>
      <c r="DH176" s="356"/>
      <c r="DI176" s="356"/>
      <c r="DJ176" s="1053"/>
      <c r="DK176" s="1053"/>
      <c r="DL176" s="1053"/>
      <c r="DM176" s="356"/>
      <c r="DN176" s="1098"/>
      <c r="DO176" s="1098"/>
      <c r="DP176" s="1098"/>
      <c r="DQ176" s="1098"/>
      <c r="DR176" s="1098"/>
      <c r="DS176" s="1098"/>
      <c r="DT176" s="1098"/>
      <c r="DU176" s="1098"/>
      <c r="DV176" s="1098"/>
      <c r="DW176" s="1098"/>
      <c r="DX176" s="1098"/>
      <c r="DY176" s="1098"/>
      <c r="DZ176" s="1098"/>
      <c r="EA176" s="1098"/>
      <c r="EB176" s="1098"/>
      <c r="EC176" s="1098"/>
      <c r="ED176" s="363"/>
      <c r="EE176" s="363"/>
      <c r="EF176" s="363"/>
      <c r="EG176" s="363"/>
      <c r="EH176" s="363"/>
      <c r="EI176" s="363"/>
    </row>
    <row r="177" spans="2:142" ht="3.75" customHeight="1" x14ac:dyDescent="0.25">
      <c r="B177" s="1053"/>
      <c r="C177" s="1053"/>
      <c r="D177" s="1053"/>
      <c r="F177" s="1053"/>
      <c r="G177" s="1053"/>
      <c r="H177" s="1053"/>
      <c r="J177" s="1053"/>
      <c r="K177" s="1053"/>
      <c r="L177" s="1053"/>
      <c r="N177" s="1053"/>
      <c r="O177" s="1053"/>
      <c r="P177" s="1053"/>
      <c r="R177" s="1053"/>
      <c r="S177" s="1053"/>
      <c r="T177" s="1053"/>
      <c r="V177" s="1053"/>
      <c r="W177" s="1053"/>
      <c r="X177" s="1053"/>
      <c r="Z177" s="1057"/>
      <c r="AA177" s="1058"/>
      <c r="AB177" s="1058"/>
      <c r="AC177" s="1058"/>
      <c r="AD177" s="1059"/>
      <c r="AF177" s="1037"/>
      <c r="AG177" s="1038"/>
      <c r="AH177" s="1038"/>
      <c r="AI177" s="1038"/>
      <c r="AJ177" s="1038"/>
      <c r="AK177" s="1038"/>
      <c r="AL177" s="1038"/>
      <c r="AM177" s="1038"/>
      <c r="AN177" s="1038"/>
      <c r="AO177" s="1038"/>
      <c r="AP177" s="1038"/>
      <c r="AQ177" s="1038"/>
      <c r="AR177" s="1038"/>
      <c r="AS177" s="1038"/>
      <c r="AT177" s="1039"/>
      <c r="AV177" s="1037"/>
      <c r="AW177" s="1038"/>
      <c r="AX177" s="1038"/>
      <c r="AY177" s="1038"/>
      <c r="AZ177" s="1038"/>
      <c r="BA177" s="1038"/>
      <c r="BB177" s="1038"/>
      <c r="BC177" s="1038"/>
      <c r="BD177" s="1038"/>
      <c r="BE177" s="1038"/>
      <c r="BF177" s="1038"/>
      <c r="BG177" s="1038"/>
      <c r="BH177" s="1038"/>
      <c r="BI177" s="1038"/>
      <c r="BJ177" s="1039"/>
      <c r="BL177" s="1081"/>
      <c r="BM177" s="631"/>
      <c r="BN177" s="631"/>
      <c r="BO177" s="631"/>
      <c r="BP177" s="631"/>
      <c r="BQ177" s="631"/>
      <c r="BR177" s="1082"/>
      <c r="BS177" s="73"/>
      <c r="BW177" s="356"/>
      <c r="BX177" s="356"/>
      <c r="BY177" s="356"/>
      <c r="BZ177" s="356"/>
      <c r="CA177" s="356"/>
      <c r="CB177" s="356"/>
      <c r="CC177" s="356"/>
      <c r="CD177" s="1053"/>
      <c r="CE177" s="1053"/>
      <c r="CF177" s="1053"/>
      <c r="CG177" s="356"/>
      <c r="CH177" s="1098"/>
      <c r="CI177" s="1098"/>
      <c r="CJ177" s="1098"/>
      <c r="CK177" s="1098"/>
      <c r="CL177" s="1098"/>
      <c r="CM177" s="1098"/>
      <c r="CN177" s="1098"/>
      <c r="CO177" s="1098"/>
      <c r="CP177" s="1098"/>
      <c r="CQ177" s="1098"/>
      <c r="CR177" s="1098"/>
      <c r="CS177" s="1098"/>
      <c r="CT177" s="1098"/>
      <c r="CU177" s="1098"/>
      <c r="CV177" s="1098"/>
      <c r="CW177" s="1098"/>
      <c r="CX177" s="1098"/>
      <c r="CY177" s="1098"/>
      <c r="CZ177" s="1098"/>
      <c r="DA177" s="1098"/>
      <c r="DB177" s="1098"/>
      <c r="DC177" s="1098"/>
      <c r="DD177" s="1098"/>
      <c r="DE177" s="1098"/>
      <c r="DF177" s="1098"/>
      <c r="DG177" s="1098"/>
      <c r="DH177" s="356"/>
      <c r="DI177" s="356"/>
      <c r="DJ177" s="1053"/>
      <c r="DK177" s="1053"/>
      <c r="DL177" s="1053"/>
      <c r="DM177" s="356"/>
      <c r="DN177" s="1098"/>
      <c r="DO177" s="1098"/>
      <c r="DP177" s="1098"/>
      <c r="DQ177" s="1098"/>
      <c r="DR177" s="1098"/>
      <c r="DS177" s="1098"/>
      <c r="DT177" s="1098"/>
      <c r="DU177" s="1098"/>
      <c r="DV177" s="1098"/>
      <c r="DW177" s="1098"/>
      <c r="DX177" s="1098"/>
      <c r="DY177" s="1098"/>
      <c r="DZ177" s="1098"/>
      <c r="EA177" s="1098"/>
      <c r="EB177" s="1098"/>
      <c r="EC177" s="1098"/>
      <c r="ED177" s="356"/>
      <c r="EE177" s="356"/>
      <c r="EF177" s="356"/>
      <c r="EG177" s="356"/>
      <c r="EH177" s="356"/>
      <c r="EI177" s="356"/>
    </row>
    <row r="178" spans="2:142" ht="3.75" customHeight="1" thickBot="1" x14ac:dyDescent="0.3">
      <c r="B178" s="1053"/>
      <c r="C178" s="1053"/>
      <c r="D178" s="1053"/>
      <c r="F178" s="1053"/>
      <c r="G178" s="1053"/>
      <c r="H178" s="1053"/>
      <c r="J178" s="1053"/>
      <c r="K178" s="1053"/>
      <c r="L178" s="1053"/>
      <c r="N178" s="1053"/>
      <c r="O178" s="1053"/>
      <c r="P178" s="1053"/>
      <c r="R178" s="1053"/>
      <c r="S178" s="1053"/>
      <c r="T178" s="1053"/>
      <c r="V178" s="1053"/>
      <c r="W178" s="1053"/>
      <c r="X178" s="1053"/>
      <c r="Z178" s="1057"/>
      <c r="AA178" s="1058"/>
      <c r="AB178" s="1058"/>
      <c r="AC178" s="1058"/>
      <c r="AD178" s="1059"/>
      <c r="AF178" s="1037"/>
      <c r="AG178" s="1038"/>
      <c r="AH178" s="1038"/>
      <c r="AI178" s="1038"/>
      <c r="AJ178" s="1038"/>
      <c r="AK178" s="1038"/>
      <c r="AL178" s="1038"/>
      <c r="AM178" s="1038"/>
      <c r="AN178" s="1038"/>
      <c r="AO178" s="1038"/>
      <c r="AP178" s="1038"/>
      <c r="AQ178" s="1038"/>
      <c r="AR178" s="1038"/>
      <c r="AS178" s="1038"/>
      <c r="AT178" s="1039"/>
      <c r="AV178" s="1037"/>
      <c r="AW178" s="1038"/>
      <c r="AX178" s="1038"/>
      <c r="AY178" s="1038"/>
      <c r="AZ178" s="1038"/>
      <c r="BA178" s="1038"/>
      <c r="BB178" s="1038"/>
      <c r="BC178" s="1038"/>
      <c r="BD178" s="1038"/>
      <c r="BE178" s="1038"/>
      <c r="BF178" s="1038"/>
      <c r="BG178" s="1038"/>
      <c r="BH178" s="1038"/>
      <c r="BI178" s="1038"/>
      <c r="BJ178" s="1039"/>
      <c r="BL178" s="1081"/>
      <c r="BM178" s="631"/>
      <c r="BN178" s="631"/>
      <c r="BO178" s="631"/>
      <c r="BP178" s="631"/>
      <c r="BQ178" s="631"/>
      <c r="BR178" s="1082"/>
      <c r="BS178" s="73"/>
      <c r="BT178" s="355"/>
      <c r="BU178" s="355"/>
      <c r="BV178" s="355"/>
      <c r="BW178" s="355"/>
      <c r="BX178" s="355"/>
      <c r="BY178" s="355"/>
      <c r="BZ178" s="355"/>
      <c r="CA178" s="355"/>
      <c r="CB178" s="355"/>
      <c r="CC178" s="355"/>
      <c r="CD178" s="355"/>
      <c r="CE178" s="355"/>
      <c r="CF178" s="355"/>
      <c r="CG178" s="355"/>
      <c r="CH178" s="355"/>
      <c r="CI178" s="355"/>
      <c r="CJ178" s="355"/>
      <c r="CK178" s="355"/>
      <c r="CL178" s="355"/>
      <c r="CM178" s="355"/>
      <c r="CN178" s="355"/>
      <c r="CO178" s="355"/>
      <c r="CP178" s="355"/>
      <c r="CQ178" s="355"/>
      <c r="CR178" s="355"/>
      <c r="CS178" s="355"/>
      <c r="CT178" s="355"/>
      <c r="CU178" s="355"/>
      <c r="CV178" s="355"/>
      <c r="CW178" s="355"/>
      <c r="CX178" s="355"/>
      <c r="CY178" s="355"/>
      <c r="CZ178" s="355"/>
      <c r="DA178" s="355"/>
      <c r="DB178" s="355"/>
      <c r="DC178" s="355"/>
      <c r="DD178" s="355"/>
      <c r="DE178" s="355"/>
      <c r="DF178" s="355"/>
      <c r="DG178" s="355"/>
      <c r="DH178" s="355"/>
      <c r="DI178" s="355"/>
      <c r="DJ178" s="355"/>
      <c r="DK178" s="355"/>
      <c r="DL178" s="355"/>
      <c r="DM178" s="355"/>
      <c r="DN178" s="355"/>
      <c r="DO178" s="355"/>
      <c r="DP178" s="355"/>
      <c r="DQ178" s="355"/>
      <c r="DR178" s="355"/>
      <c r="DS178" s="355"/>
      <c r="DT178" s="355"/>
      <c r="DU178" s="355"/>
      <c r="DV178" s="355"/>
      <c r="DW178" s="355"/>
      <c r="DX178" s="355"/>
      <c r="DY178" s="355"/>
      <c r="DZ178" s="355"/>
      <c r="EA178" s="355"/>
      <c r="EB178" s="355"/>
      <c r="EC178" s="355"/>
      <c r="ED178" s="355"/>
      <c r="EE178" s="355"/>
      <c r="EF178" s="355"/>
      <c r="EG178" s="355"/>
      <c r="EH178" s="355"/>
      <c r="EI178" s="355"/>
      <c r="EJ178" s="355"/>
      <c r="EK178" s="355"/>
      <c r="EL178" s="355"/>
    </row>
    <row r="179" spans="2:142" ht="3.75" customHeight="1" x14ac:dyDescent="0.25">
      <c r="B179" s="1053"/>
      <c r="C179" s="1053"/>
      <c r="D179" s="1053"/>
      <c r="F179" s="1053"/>
      <c r="G179" s="1053"/>
      <c r="H179" s="1053"/>
      <c r="J179" s="1053"/>
      <c r="K179" s="1053"/>
      <c r="L179" s="1053"/>
      <c r="N179" s="1053"/>
      <c r="O179" s="1053"/>
      <c r="P179" s="1053"/>
      <c r="R179" s="1053"/>
      <c r="S179" s="1053"/>
      <c r="T179" s="1053"/>
      <c r="V179" s="1053"/>
      <c r="W179" s="1053"/>
      <c r="X179" s="1053"/>
      <c r="Z179" s="1057"/>
      <c r="AA179" s="1058"/>
      <c r="AB179" s="1058"/>
      <c r="AC179" s="1058"/>
      <c r="AD179" s="1059"/>
      <c r="AF179" s="1037"/>
      <c r="AG179" s="1038"/>
      <c r="AH179" s="1038"/>
      <c r="AI179" s="1038"/>
      <c r="AJ179" s="1038"/>
      <c r="AK179" s="1038"/>
      <c r="AL179" s="1038"/>
      <c r="AM179" s="1038"/>
      <c r="AN179" s="1038"/>
      <c r="AO179" s="1038"/>
      <c r="AP179" s="1038"/>
      <c r="AQ179" s="1038"/>
      <c r="AR179" s="1038"/>
      <c r="AS179" s="1038"/>
      <c r="AT179" s="1039"/>
      <c r="AV179" s="1037"/>
      <c r="AW179" s="1038"/>
      <c r="AX179" s="1038"/>
      <c r="AY179" s="1038"/>
      <c r="AZ179" s="1038"/>
      <c r="BA179" s="1038"/>
      <c r="BB179" s="1038"/>
      <c r="BC179" s="1038"/>
      <c r="BD179" s="1038"/>
      <c r="BE179" s="1038"/>
      <c r="BF179" s="1038"/>
      <c r="BG179" s="1038"/>
      <c r="BH179" s="1038"/>
      <c r="BI179" s="1038"/>
      <c r="BJ179" s="1039"/>
      <c r="BL179" s="1081"/>
      <c r="BM179" s="631"/>
      <c r="BN179" s="631"/>
      <c r="BO179" s="631"/>
      <c r="BP179" s="631"/>
      <c r="BQ179" s="631"/>
      <c r="BR179" s="1082"/>
      <c r="BS179" s="73"/>
      <c r="DI179" s="368"/>
    </row>
    <row r="180" spans="2:142" ht="3.75" customHeight="1" x14ac:dyDescent="0.25">
      <c r="Z180" s="1060"/>
      <c r="AA180" s="1061"/>
      <c r="AB180" s="1061"/>
      <c r="AC180" s="1061"/>
      <c r="AD180" s="1062"/>
      <c r="AF180" s="1040"/>
      <c r="AG180" s="1041"/>
      <c r="AH180" s="1041"/>
      <c r="AI180" s="1041"/>
      <c r="AJ180" s="1041"/>
      <c r="AK180" s="1041"/>
      <c r="AL180" s="1041"/>
      <c r="AM180" s="1041"/>
      <c r="AN180" s="1041"/>
      <c r="AO180" s="1041"/>
      <c r="AP180" s="1041"/>
      <c r="AQ180" s="1041"/>
      <c r="AR180" s="1041"/>
      <c r="AS180" s="1041"/>
      <c r="AT180" s="1042"/>
      <c r="AV180" s="1040"/>
      <c r="AW180" s="1041"/>
      <c r="AX180" s="1041"/>
      <c r="AY180" s="1041"/>
      <c r="AZ180" s="1041"/>
      <c r="BA180" s="1041"/>
      <c r="BB180" s="1041"/>
      <c r="BC180" s="1041"/>
      <c r="BD180" s="1041"/>
      <c r="BE180" s="1041"/>
      <c r="BF180" s="1041"/>
      <c r="BG180" s="1041"/>
      <c r="BH180" s="1041"/>
      <c r="BI180" s="1041"/>
      <c r="BJ180" s="1042"/>
      <c r="BL180" s="1083"/>
      <c r="BM180" s="1084"/>
      <c r="BN180" s="1084"/>
      <c r="BO180" s="1084"/>
      <c r="BP180" s="1084"/>
      <c r="BQ180" s="1084"/>
      <c r="BR180" s="1085"/>
      <c r="BS180" s="73"/>
      <c r="DI180" s="73"/>
    </row>
    <row r="181" spans="2:142" ht="3.75" customHeight="1" x14ac:dyDescent="0.25">
      <c r="Z181" s="1054"/>
      <c r="AA181" s="1055"/>
      <c r="AB181" s="1055"/>
      <c r="AC181" s="1055"/>
      <c r="AD181" s="1056"/>
      <c r="AF181" s="1034"/>
      <c r="AG181" s="1035"/>
      <c r="AH181" s="1035"/>
      <c r="AI181" s="1035"/>
      <c r="AJ181" s="1035"/>
      <c r="AK181" s="1035"/>
      <c r="AL181" s="1035"/>
      <c r="AM181" s="1035"/>
      <c r="AN181" s="1035"/>
      <c r="AO181" s="1035"/>
      <c r="AP181" s="1035"/>
      <c r="AQ181" s="1035"/>
      <c r="AR181" s="1035"/>
      <c r="AS181" s="1035"/>
      <c r="AT181" s="1036"/>
      <c r="AV181" s="1034"/>
      <c r="AW181" s="1035"/>
      <c r="AX181" s="1035"/>
      <c r="AY181" s="1035"/>
      <c r="AZ181" s="1035"/>
      <c r="BA181" s="1035"/>
      <c r="BB181" s="1035"/>
      <c r="BC181" s="1035"/>
      <c r="BD181" s="1035"/>
      <c r="BE181" s="1035"/>
      <c r="BF181" s="1035"/>
      <c r="BG181" s="1035"/>
      <c r="BH181" s="1035"/>
      <c r="BI181" s="1035"/>
      <c r="BJ181" s="1036"/>
      <c r="BL181" s="1078" t="s">
        <v>813</v>
      </c>
      <c r="BM181" s="1157"/>
      <c r="BN181" s="1157"/>
      <c r="BO181" s="1157"/>
      <c r="BP181" s="1157"/>
      <c r="BQ181" s="1157"/>
      <c r="BR181" s="1080"/>
      <c r="BS181" s="73"/>
      <c r="CG181" s="1077" t="s">
        <v>817</v>
      </c>
      <c r="CH181" s="1077"/>
      <c r="CI181" s="1077"/>
      <c r="CJ181" s="1077"/>
      <c r="CK181" s="1077"/>
      <c r="CL181" s="1077"/>
      <c r="CM181" s="1077"/>
      <c r="CN181" s="1077"/>
      <c r="CO181" s="1077"/>
      <c r="CP181" s="1077"/>
      <c r="CQ181" s="1077"/>
      <c r="CR181" s="1077"/>
      <c r="CS181" s="1077"/>
      <c r="CT181" s="1077"/>
      <c r="CU181" s="1077"/>
      <c r="CV181" s="1077"/>
      <c r="DJ181" s="72"/>
    </row>
    <row r="182" spans="2:142" ht="3.75" customHeight="1" x14ac:dyDescent="0.25">
      <c r="B182" s="1053"/>
      <c r="C182" s="1053"/>
      <c r="D182" s="1053"/>
      <c r="F182" s="1053"/>
      <c r="G182" s="1053"/>
      <c r="H182" s="1053"/>
      <c r="J182" s="1053"/>
      <c r="K182" s="1053"/>
      <c r="L182" s="1053"/>
      <c r="N182" s="1053"/>
      <c r="O182" s="1053"/>
      <c r="P182" s="1053"/>
      <c r="R182" s="1053"/>
      <c r="S182" s="1053"/>
      <c r="T182" s="1053"/>
      <c r="V182" s="1053"/>
      <c r="W182" s="1053"/>
      <c r="X182" s="1053"/>
      <c r="Z182" s="1057"/>
      <c r="AA182" s="1058"/>
      <c r="AB182" s="1058"/>
      <c r="AC182" s="1058"/>
      <c r="AD182" s="1059"/>
      <c r="AF182" s="1037"/>
      <c r="AG182" s="1038"/>
      <c r="AH182" s="1038"/>
      <c r="AI182" s="1038"/>
      <c r="AJ182" s="1038"/>
      <c r="AK182" s="1038"/>
      <c r="AL182" s="1038"/>
      <c r="AM182" s="1038"/>
      <c r="AN182" s="1038"/>
      <c r="AO182" s="1038"/>
      <c r="AP182" s="1038"/>
      <c r="AQ182" s="1038"/>
      <c r="AR182" s="1038"/>
      <c r="AS182" s="1038"/>
      <c r="AT182" s="1039"/>
      <c r="AV182" s="1037"/>
      <c r="AW182" s="1038"/>
      <c r="AX182" s="1038"/>
      <c r="AY182" s="1038"/>
      <c r="AZ182" s="1038"/>
      <c r="BA182" s="1038"/>
      <c r="BB182" s="1038"/>
      <c r="BC182" s="1038"/>
      <c r="BD182" s="1038"/>
      <c r="BE182" s="1038"/>
      <c r="BF182" s="1038"/>
      <c r="BG182" s="1038"/>
      <c r="BH182" s="1038"/>
      <c r="BI182" s="1038"/>
      <c r="BJ182" s="1039"/>
      <c r="BL182" s="1081"/>
      <c r="BM182" s="631"/>
      <c r="BN182" s="631"/>
      <c r="BO182" s="631"/>
      <c r="BP182" s="631"/>
      <c r="BQ182" s="631"/>
      <c r="BR182" s="1082"/>
      <c r="BS182" s="73"/>
      <c r="CG182" s="1077"/>
      <c r="CH182" s="1077"/>
      <c r="CI182" s="1077"/>
      <c r="CJ182" s="1077"/>
      <c r="CK182" s="1077"/>
      <c r="CL182" s="1077"/>
      <c r="CM182" s="1077"/>
      <c r="CN182" s="1077"/>
      <c r="CO182" s="1077"/>
      <c r="CP182" s="1077"/>
      <c r="CQ182" s="1077"/>
      <c r="CR182" s="1077"/>
      <c r="CS182" s="1077"/>
      <c r="CT182" s="1077"/>
      <c r="CU182" s="1077"/>
      <c r="CV182" s="1077"/>
      <c r="DJ182" s="72"/>
      <c r="DK182" s="1077" t="s">
        <v>820</v>
      </c>
      <c r="DL182" s="1077"/>
      <c r="DM182" s="1077"/>
      <c r="DN182" s="1077"/>
      <c r="DO182" s="1077"/>
      <c r="DP182" s="1077"/>
      <c r="DQ182" s="1077"/>
      <c r="DR182" s="1077"/>
      <c r="DS182" s="1077"/>
      <c r="DT182" s="1077"/>
      <c r="DU182" s="1077"/>
      <c r="DV182" s="1077"/>
      <c r="DW182" s="1077"/>
      <c r="DX182" s="361"/>
      <c r="DY182" s="1148"/>
      <c r="DZ182" s="1149"/>
      <c r="EA182" s="1149"/>
      <c r="EB182" s="1149"/>
      <c r="EC182" s="1149"/>
      <c r="ED182" s="1149"/>
      <c r="EE182" s="1149"/>
      <c r="EF182" s="1149"/>
      <c r="EG182" s="1149"/>
      <c r="EH182" s="1149"/>
      <c r="EI182" s="1149"/>
      <c r="EJ182" s="1149"/>
      <c r="EK182" s="1149"/>
      <c r="EL182" s="1150"/>
    </row>
    <row r="183" spans="2:142" ht="3.75" customHeight="1" x14ac:dyDescent="0.25">
      <c r="B183" s="1053"/>
      <c r="C183" s="1053"/>
      <c r="D183" s="1053"/>
      <c r="F183" s="1053"/>
      <c r="G183" s="1053"/>
      <c r="H183" s="1053"/>
      <c r="J183" s="1053"/>
      <c r="K183" s="1053"/>
      <c r="L183" s="1053"/>
      <c r="N183" s="1053"/>
      <c r="O183" s="1053"/>
      <c r="P183" s="1053"/>
      <c r="R183" s="1053"/>
      <c r="S183" s="1053"/>
      <c r="T183" s="1053"/>
      <c r="V183" s="1053"/>
      <c r="W183" s="1053"/>
      <c r="X183" s="1053"/>
      <c r="Z183" s="1057"/>
      <c r="AA183" s="1058"/>
      <c r="AB183" s="1058"/>
      <c r="AC183" s="1058"/>
      <c r="AD183" s="1059"/>
      <c r="AF183" s="1037"/>
      <c r="AG183" s="1038"/>
      <c r="AH183" s="1038"/>
      <c r="AI183" s="1038"/>
      <c r="AJ183" s="1038"/>
      <c r="AK183" s="1038"/>
      <c r="AL183" s="1038"/>
      <c r="AM183" s="1038"/>
      <c r="AN183" s="1038"/>
      <c r="AO183" s="1038"/>
      <c r="AP183" s="1038"/>
      <c r="AQ183" s="1038"/>
      <c r="AR183" s="1038"/>
      <c r="AS183" s="1038"/>
      <c r="AT183" s="1039"/>
      <c r="AV183" s="1037"/>
      <c r="AW183" s="1038"/>
      <c r="AX183" s="1038"/>
      <c r="AY183" s="1038"/>
      <c r="AZ183" s="1038"/>
      <c r="BA183" s="1038"/>
      <c r="BB183" s="1038"/>
      <c r="BC183" s="1038"/>
      <c r="BD183" s="1038"/>
      <c r="BE183" s="1038"/>
      <c r="BF183" s="1038"/>
      <c r="BG183" s="1038"/>
      <c r="BH183" s="1038"/>
      <c r="BI183" s="1038"/>
      <c r="BJ183" s="1039"/>
      <c r="BL183" s="1081"/>
      <c r="BM183" s="631"/>
      <c r="BN183" s="631"/>
      <c r="BO183" s="631"/>
      <c r="BP183" s="631"/>
      <c r="BQ183" s="631"/>
      <c r="BR183" s="1082"/>
      <c r="BS183" s="73"/>
      <c r="CG183" s="1077"/>
      <c r="CH183" s="1077"/>
      <c r="CI183" s="1077"/>
      <c r="CJ183" s="1077"/>
      <c r="CK183" s="1077"/>
      <c r="CL183" s="1077"/>
      <c r="CM183" s="1077"/>
      <c r="CN183" s="1077"/>
      <c r="CO183" s="1077"/>
      <c r="CP183" s="1077"/>
      <c r="CQ183" s="1077"/>
      <c r="CR183" s="1077"/>
      <c r="CS183" s="1077"/>
      <c r="CT183" s="1077"/>
      <c r="CU183" s="1077"/>
      <c r="CV183" s="1077"/>
      <c r="DJ183" s="72"/>
      <c r="DK183" s="1077"/>
      <c r="DL183" s="1077"/>
      <c r="DM183" s="1077"/>
      <c r="DN183" s="1077"/>
      <c r="DO183" s="1077"/>
      <c r="DP183" s="1077"/>
      <c r="DQ183" s="1077"/>
      <c r="DR183" s="1077"/>
      <c r="DS183" s="1077"/>
      <c r="DT183" s="1077"/>
      <c r="DU183" s="1077"/>
      <c r="DV183" s="1077"/>
      <c r="DW183" s="1077"/>
      <c r="DX183" s="361"/>
      <c r="DY183" s="1151"/>
      <c r="DZ183" s="1152"/>
      <c r="EA183" s="1152"/>
      <c r="EB183" s="1152"/>
      <c r="EC183" s="1152"/>
      <c r="ED183" s="1152"/>
      <c r="EE183" s="1152"/>
      <c r="EF183" s="1152"/>
      <c r="EG183" s="1152"/>
      <c r="EH183" s="1152"/>
      <c r="EI183" s="1152"/>
      <c r="EJ183" s="1152"/>
      <c r="EK183" s="1152"/>
      <c r="EL183" s="1153"/>
    </row>
    <row r="184" spans="2:142" ht="3.75" customHeight="1" x14ac:dyDescent="0.25">
      <c r="B184" s="1053"/>
      <c r="C184" s="1053"/>
      <c r="D184" s="1053"/>
      <c r="F184" s="1053"/>
      <c r="G184" s="1053"/>
      <c r="H184" s="1053"/>
      <c r="J184" s="1053"/>
      <c r="K184" s="1053"/>
      <c r="L184" s="1053"/>
      <c r="N184" s="1053"/>
      <c r="O184" s="1053"/>
      <c r="P184" s="1053"/>
      <c r="R184" s="1053"/>
      <c r="S184" s="1053"/>
      <c r="T184" s="1053"/>
      <c r="V184" s="1053"/>
      <c r="W184" s="1053"/>
      <c r="X184" s="1053"/>
      <c r="Z184" s="1057"/>
      <c r="AA184" s="1058"/>
      <c r="AB184" s="1058"/>
      <c r="AC184" s="1058"/>
      <c r="AD184" s="1059"/>
      <c r="AF184" s="1037"/>
      <c r="AG184" s="1038"/>
      <c r="AH184" s="1038"/>
      <c r="AI184" s="1038"/>
      <c r="AJ184" s="1038"/>
      <c r="AK184" s="1038"/>
      <c r="AL184" s="1038"/>
      <c r="AM184" s="1038"/>
      <c r="AN184" s="1038"/>
      <c r="AO184" s="1038"/>
      <c r="AP184" s="1038"/>
      <c r="AQ184" s="1038"/>
      <c r="AR184" s="1038"/>
      <c r="AS184" s="1038"/>
      <c r="AT184" s="1039"/>
      <c r="AV184" s="1037"/>
      <c r="AW184" s="1038"/>
      <c r="AX184" s="1038"/>
      <c r="AY184" s="1038"/>
      <c r="AZ184" s="1038"/>
      <c r="BA184" s="1038"/>
      <c r="BB184" s="1038"/>
      <c r="BC184" s="1038"/>
      <c r="BD184" s="1038"/>
      <c r="BE184" s="1038"/>
      <c r="BF184" s="1038"/>
      <c r="BG184" s="1038"/>
      <c r="BH184" s="1038"/>
      <c r="BI184" s="1038"/>
      <c r="BJ184" s="1039"/>
      <c r="BL184" s="1081"/>
      <c r="BM184" s="631"/>
      <c r="BN184" s="631"/>
      <c r="BO184" s="631"/>
      <c r="BP184" s="631"/>
      <c r="BQ184" s="631"/>
      <c r="BR184" s="1082"/>
      <c r="BS184" s="73"/>
      <c r="DJ184" s="72"/>
      <c r="DK184" s="1077"/>
      <c r="DL184" s="1077"/>
      <c r="DM184" s="1077"/>
      <c r="DN184" s="1077"/>
      <c r="DO184" s="1077"/>
      <c r="DP184" s="1077"/>
      <c r="DQ184" s="1077"/>
      <c r="DR184" s="1077"/>
      <c r="DS184" s="1077"/>
      <c r="DT184" s="1077"/>
      <c r="DU184" s="1077"/>
      <c r="DV184" s="1077"/>
      <c r="DW184" s="1077"/>
      <c r="DX184" s="361"/>
      <c r="DY184" s="1151"/>
      <c r="DZ184" s="1152"/>
      <c r="EA184" s="1152"/>
      <c r="EB184" s="1152"/>
      <c r="EC184" s="1152"/>
      <c r="ED184" s="1152"/>
      <c r="EE184" s="1152"/>
      <c r="EF184" s="1152"/>
      <c r="EG184" s="1152"/>
      <c r="EH184" s="1152"/>
      <c r="EI184" s="1152"/>
      <c r="EJ184" s="1152"/>
      <c r="EK184" s="1152"/>
      <c r="EL184" s="1153"/>
    </row>
    <row r="185" spans="2:142" ht="3.75" customHeight="1" x14ac:dyDescent="0.25">
      <c r="Z185" s="1060"/>
      <c r="AA185" s="1061"/>
      <c r="AB185" s="1061"/>
      <c r="AC185" s="1061"/>
      <c r="AD185" s="1062"/>
      <c r="AF185" s="1040"/>
      <c r="AG185" s="1041"/>
      <c r="AH185" s="1041"/>
      <c r="AI185" s="1041"/>
      <c r="AJ185" s="1041"/>
      <c r="AK185" s="1041"/>
      <c r="AL185" s="1041"/>
      <c r="AM185" s="1041"/>
      <c r="AN185" s="1041"/>
      <c r="AO185" s="1041"/>
      <c r="AP185" s="1041"/>
      <c r="AQ185" s="1041"/>
      <c r="AR185" s="1041"/>
      <c r="AS185" s="1041"/>
      <c r="AT185" s="1042"/>
      <c r="AV185" s="1040"/>
      <c r="AW185" s="1041"/>
      <c r="AX185" s="1041"/>
      <c r="AY185" s="1041"/>
      <c r="AZ185" s="1041"/>
      <c r="BA185" s="1041"/>
      <c r="BB185" s="1041"/>
      <c r="BC185" s="1041"/>
      <c r="BD185" s="1041"/>
      <c r="BE185" s="1041"/>
      <c r="BF185" s="1041"/>
      <c r="BG185" s="1041"/>
      <c r="BH185" s="1041"/>
      <c r="BI185" s="1041"/>
      <c r="BJ185" s="1042"/>
      <c r="BL185" s="1083"/>
      <c r="BM185" s="1084"/>
      <c r="BN185" s="1084"/>
      <c r="BO185" s="1084"/>
      <c r="BP185" s="1084"/>
      <c r="BQ185" s="1084"/>
      <c r="BR185" s="1085"/>
      <c r="BS185" s="73"/>
      <c r="DJ185" s="72"/>
      <c r="DK185" s="1071" t="s">
        <v>821</v>
      </c>
      <c r="DL185" s="1071"/>
      <c r="DM185" s="1071"/>
      <c r="DN185" s="1071"/>
      <c r="DO185" s="1071"/>
      <c r="DP185" s="1071"/>
      <c r="DQ185" s="1071"/>
      <c r="DR185" s="1071"/>
      <c r="DS185" s="1071"/>
      <c r="DT185" s="1071"/>
      <c r="DU185" s="1071"/>
      <c r="DV185" s="1071"/>
      <c r="DW185" s="1071"/>
      <c r="DX185" s="1072"/>
      <c r="DY185" s="1151"/>
      <c r="DZ185" s="1152"/>
      <c r="EA185" s="1152"/>
      <c r="EB185" s="1152"/>
      <c r="EC185" s="1152"/>
      <c r="ED185" s="1152"/>
      <c r="EE185" s="1152"/>
      <c r="EF185" s="1152"/>
      <c r="EG185" s="1152"/>
      <c r="EH185" s="1152"/>
      <c r="EI185" s="1152"/>
      <c r="EJ185" s="1152"/>
      <c r="EK185" s="1152"/>
      <c r="EL185" s="1153"/>
    </row>
    <row r="186" spans="2:142" ht="3.75" customHeight="1" x14ac:dyDescent="0.25">
      <c r="Z186" s="1054"/>
      <c r="AA186" s="1055"/>
      <c r="AB186" s="1055"/>
      <c r="AC186" s="1055"/>
      <c r="AD186" s="1056"/>
      <c r="AF186" s="1034"/>
      <c r="AG186" s="1035"/>
      <c r="AH186" s="1035"/>
      <c r="AI186" s="1035"/>
      <c r="AJ186" s="1035"/>
      <c r="AK186" s="1035"/>
      <c r="AL186" s="1035"/>
      <c r="AM186" s="1035"/>
      <c r="AN186" s="1035"/>
      <c r="AO186" s="1035"/>
      <c r="AP186" s="1035"/>
      <c r="AQ186" s="1035"/>
      <c r="AR186" s="1035"/>
      <c r="AS186" s="1035"/>
      <c r="AT186" s="1036"/>
      <c r="AV186" s="1034"/>
      <c r="AW186" s="1035"/>
      <c r="AX186" s="1035"/>
      <c r="AY186" s="1035"/>
      <c r="AZ186" s="1035"/>
      <c r="BA186" s="1035"/>
      <c r="BB186" s="1035"/>
      <c r="BC186" s="1035"/>
      <c r="BD186" s="1035"/>
      <c r="BE186" s="1035"/>
      <c r="BF186" s="1035"/>
      <c r="BG186" s="1035"/>
      <c r="BH186" s="1035"/>
      <c r="BI186" s="1035"/>
      <c r="BJ186" s="1036"/>
      <c r="BL186" s="1078" t="s">
        <v>813</v>
      </c>
      <c r="BM186" s="1157"/>
      <c r="BN186" s="1157"/>
      <c r="BO186" s="1157"/>
      <c r="BP186" s="1157"/>
      <c r="BQ186" s="1157"/>
      <c r="BR186" s="1080"/>
      <c r="BS186" s="73"/>
      <c r="DJ186" s="72"/>
      <c r="DK186" s="1071"/>
      <c r="DL186" s="1071"/>
      <c r="DM186" s="1071"/>
      <c r="DN186" s="1071"/>
      <c r="DO186" s="1071"/>
      <c r="DP186" s="1071"/>
      <c r="DQ186" s="1071"/>
      <c r="DR186" s="1071"/>
      <c r="DS186" s="1071"/>
      <c r="DT186" s="1071"/>
      <c r="DU186" s="1071"/>
      <c r="DV186" s="1071"/>
      <c r="DW186" s="1071"/>
      <c r="DX186" s="1072"/>
      <c r="DY186" s="1154"/>
      <c r="DZ186" s="1155"/>
      <c r="EA186" s="1155"/>
      <c r="EB186" s="1155"/>
      <c r="EC186" s="1155"/>
      <c r="ED186" s="1155"/>
      <c r="EE186" s="1155"/>
      <c r="EF186" s="1155"/>
      <c r="EG186" s="1155"/>
      <c r="EH186" s="1155"/>
      <c r="EI186" s="1155"/>
      <c r="EJ186" s="1155"/>
      <c r="EK186" s="1155"/>
      <c r="EL186" s="1156"/>
    </row>
    <row r="187" spans="2:142" ht="3.75" customHeight="1" x14ac:dyDescent="0.25">
      <c r="B187" s="1053"/>
      <c r="C187" s="1053"/>
      <c r="D187" s="1053"/>
      <c r="F187" s="1053"/>
      <c r="G187" s="1053"/>
      <c r="H187" s="1053"/>
      <c r="J187" s="1053"/>
      <c r="K187" s="1053"/>
      <c r="L187" s="1053"/>
      <c r="N187" s="1053"/>
      <c r="O187" s="1053"/>
      <c r="P187" s="1053"/>
      <c r="R187" s="1053"/>
      <c r="S187" s="1053"/>
      <c r="T187" s="1053"/>
      <c r="V187" s="1053"/>
      <c r="W187" s="1053"/>
      <c r="X187" s="1053"/>
      <c r="Z187" s="1057"/>
      <c r="AA187" s="1058"/>
      <c r="AB187" s="1058"/>
      <c r="AC187" s="1058"/>
      <c r="AD187" s="1059"/>
      <c r="AF187" s="1037"/>
      <c r="AG187" s="1038"/>
      <c r="AH187" s="1038"/>
      <c r="AI187" s="1038"/>
      <c r="AJ187" s="1038"/>
      <c r="AK187" s="1038"/>
      <c r="AL187" s="1038"/>
      <c r="AM187" s="1038"/>
      <c r="AN187" s="1038"/>
      <c r="AO187" s="1038"/>
      <c r="AP187" s="1038"/>
      <c r="AQ187" s="1038"/>
      <c r="AR187" s="1038"/>
      <c r="AS187" s="1038"/>
      <c r="AT187" s="1039"/>
      <c r="AV187" s="1037"/>
      <c r="AW187" s="1038"/>
      <c r="AX187" s="1038"/>
      <c r="AY187" s="1038"/>
      <c r="AZ187" s="1038"/>
      <c r="BA187" s="1038"/>
      <c r="BB187" s="1038"/>
      <c r="BC187" s="1038"/>
      <c r="BD187" s="1038"/>
      <c r="BE187" s="1038"/>
      <c r="BF187" s="1038"/>
      <c r="BG187" s="1038"/>
      <c r="BH187" s="1038"/>
      <c r="BI187" s="1038"/>
      <c r="BJ187" s="1039"/>
      <c r="BL187" s="1081"/>
      <c r="BM187" s="631"/>
      <c r="BN187" s="631"/>
      <c r="BO187" s="631"/>
      <c r="BP187" s="631"/>
      <c r="BQ187" s="631"/>
      <c r="BR187" s="1082"/>
      <c r="BS187" s="73"/>
      <c r="DI187" s="73"/>
    </row>
    <row r="188" spans="2:142" ht="3.75" customHeight="1" x14ac:dyDescent="0.25">
      <c r="B188" s="1053"/>
      <c r="C188" s="1053"/>
      <c r="D188" s="1053"/>
      <c r="F188" s="1053"/>
      <c r="G188" s="1053"/>
      <c r="H188" s="1053"/>
      <c r="J188" s="1053"/>
      <c r="K188" s="1053"/>
      <c r="L188" s="1053"/>
      <c r="N188" s="1053"/>
      <c r="O188" s="1053"/>
      <c r="P188" s="1053"/>
      <c r="R188" s="1053"/>
      <c r="S188" s="1053"/>
      <c r="T188" s="1053"/>
      <c r="V188" s="1053"/>
      <c r="W188" s="1053"/>
      <c r="X188" s="1053"/>
      <c r="Z188" s="1057"/>
      <c r="AA188" s="1058"/>
      <c r="AB188" s="1058"/>
      <c r="AC188" s="1058"/>
      <c r="AD188" s="1059"/>
      <c r="AF188" s="1037"/>
      <c r="AG188" s="1038"/>
      <c r="AH188" s="1038"/>
      <c r="AI188" s="1038"/>
      <c r="AJ188" s="1038"/>
      <c r="AK188" s="1038"/>
      <c r="AL188" s="1038"/>
      <c r="AM188" s="1038"/>
      <c r="AN188" s="1038"/>
      <c r="AO188" s="1038"/>
      <c r="AP188" s="1038"/>
      <c r="AQ188" s="1038"/>
      <c r="AR188" s="1038"/>
      <c r="AS188" s="1038"/>
      <c r="AT188" s="1039"/>
      <c r="AV188" s="1037"/>
      <c r="AW188" s="1038"/>
      <c r="AX188" s="1038"/>
      <c r="AY188" s="1038"/>
      <c r="AZ188" s="1038"/>
      <c r="BA188" s="1038"/>
      <c r="BB188" s="1038"/>
      <c r="BC188" s="1038"/>
      <c r="BD188" s="1038"/>
      <c r="BE188" s="1038"/>
      <c r="BF188" s="1038"/>
      <c r="BG188" s="1038"/>
      <c r="BH188" s="1038"/>
      <c r="BI188" s="1038"/>
      <c r="BJ188" s="1039"/>
      <c r="BL188" s="1081"/>
      <c r="BM188" s="631"/>
      <c r="BN188" s="631"/>
      <c r="BO188" s="631"/>
      <c r="BP188" s="631"/>
      <c r="BQ188" s="631"/>
      <c r="BR188" s="1082"/>
      <c r="BS188" s="73"/>
      <c r="CS188" s="1148"/>
      <c r="CT188" s="1149"/>
      <c r="CU188" s="1149"/>
      <c r="CV188" s="1149"/>
      <c r="CW188" s="1149"/>
      <c r="CX188" s="1149"/>
      <c r="CY188" s="1149"/>
      <c r="CZ188" s="1149"/>
      <c r="DA188" s="1149"/>
      <c r="DB188" s="1149"/>
      <c r="DC188" s="1149"/>
      <c r="DD188" s="1149"/>
      <c r="DE188" s="1149"/>
      <c r="DF188" s="1150"/>
      <c r="DI188" s="73"/>
    </row>
    <row r="189" spans="2:142" ht="3.75" customHeight="1" x14ac:dyDescent="0.25">
      <c r="B189" s="1053"/>
      <c r="C189" s="1053"/>
      <c r="D189" s="1053"/>
      <c r="F189" s="1053"/>
      <c r="G189" s="1053"/>
      <c r="H189" s="1053"/>
      <c r="J189" s="1053"/>
      <c r="K189" s="1053"/>
      <c r="L189" s="1053"/>
      <c r="N189" s="1053"/>
      <c r="O189" s="1053"/>
      <c r="P189" s="1053"/>
      <c r="R189" s="1053"/>
      <c r="S189" s="1053"/>
      <c r="T189" s="1053"/>
      <c r="V189" s="1053"/>
      <c r="W189" s="1053"/>
      <c r="X189" s="1053"/>
      <c r="Z189" s="1057"/>
      <c r="AA189" s="1058"/>
      <c r="AB189" s="1058"/>
      <c r="AC189" s="1058"/>
      <c r="AD189" s="1059"/>
      <c r="AF189" s="1037"/>
      <c r="AG189" s="1038"/>
      <c r="AH189" s="1038"/>
      <c r="AI189" s="1038"/>
      <c r="AJ189" s="1038"/>
      <c r="AK189" s="1038"/>
      <c r="AL189" s="1038"/>
      <c r="AM189" s="1038"/>
      <c r="AN189" s="1038"/>
      <c r="AO189" s="1038"/>
      <c r="AP189" s="1038"/>
      <c r="AQ189" s="1038"/>
      <c r="AR189" s="1038"/>
      <c r="AS189" s="1038"/>
      <c r="AT189" s="1039"/>
      <c r="AV189" s="1037"/>
      <c r="AW189" s="1038"/>
      <c r="AX189" s="1038"/>
      <c r="AY189" s="1038"/>
      <c r="AZ189" s="1038"/>
      <c r="BA189" s="1038"/>
      <c r="BB189" s="1038"/>
      <c r="BC189" s="1038"/>
      <c r="BD189" s="1038"/>
      <c r="BE189" s="1038"/>
      <c r="BF189" s="1038"/>
      <c r="BG189" s="1038"/>
      <c r="BH189" s="1038"/>
      <c r="BI189" s="1038"/>
      <c r="BJ189" s="1039"/>
      <c r="BL189" s="1081"/>
      <c r="BM189" s="631"/>
      <c r="BN189" s="631"/>
      <c r="BO189" s="631"/>
      <c r="BP189" s="631"/>
      <c r="BQ189" s="631"/>
      <c r="BR189" s="1082"/>
      <c r="BS189" s="73"/>
      <c r="BU189" s="1103" t="s">
        <v>818</v>
      </c>
      <c r="BV189" s="1103"/>
      <c r="BW189" s="1103"/>
      <c r="BX189" s="1103"/>
      <c r="BY189" s="1103"/>
      <c r="BZ189" s="1103"/>
      <c r="CA189" s="1103"/>
      <c r="CB189" s="1103"/>
      <c r="CC189" s="1103"/>
      <c r="CD189" s="1103"/>
      <c r="CE189" s="1103"/>
      <c r="CF189" s="1103"/>
      <c r="CG189" s="1103"/>
      <c r="CH189" s="1103"/>
      <c r="CI189" s="1103"/>
      <c r="CS189" s="1151"/>
      <c r="CT189" s="1152"/>
      <c r="CU189" s="1152"/>
      <c r="CV189" s="1152"/>
      <c r="CW189" s="1152"/>
      <c r="CX189" s="1152"/>
      <c r="CY189" s="1152"/>
      <c r="CZ189" s="1152"/>
      <c r="DA189" s="1152"/>
      <c r="DB189" s="1152"/>
      <c r="DC189" s="1152"/>
      <c r="DD189" s="1152"/>
      <c r="DE189" s="1152"/>
      <c r="DF189" s="1153"/>
      <c r="DI189" s="73"/>
    </row>
    <row r="190" spans="2:142" ht="3.75" customHeight="1" x14ac:dyDescent="0.25">
      <c r="Z190" s="1060"/>
      <c r="AA190" s="1061"/>
      <c r="AB190" s="1061"/>
      <c r="AC190" s="1061"/>
      <c r="AD190" s="1062"/>
      <c r="AF190" s="1040"/>
      <c r="AG190" s="1041"/>
      <c r="AH190" s="1041"/>
      <c r="AI190" s="1041"/>
      <c r="AJ190" s="1041"/>
      <c r="AK190" s="1041"/>
      <c r="AL190" s="1041"/>
      <c r="AM190" s="1041"/>
      <c r="AN190" s="1041"/>
      <c r="AO190" s="1041"/>
      <c r="AP190" s="1041"/>
      <c r="AQ190" s="1041"/>
      <c r="AR190" s="1041"/>
      <c r="AS190" s="1041"/>
      <c r="AT190" s="1042"/>
      <c r="AV190" s="1040"/>
      <c r="AW190" s="1041"/>
      <c r="AX190" s="1041"/>
      <c r="AY190" s="1041"/>
      <c r="AZ190" s="1041"/>
      <c r="BA190" s="1041"/>
      <c r="BB190" s="1041"/>
      <c r="BC190" s="1041"/>
      <c r="BD190" s="1041"/>
      <c r="BE190" s="1041"/>
      <c r="BF190" s="1041"/>
      <c r="BG190" s="1041"/>
      <c r="BH190" s="1041"/>
      <c r="BI190" s="1041"/>
      <c r="BJ190" s="1042"/>
      <c r="BL190" s="1083"/>
      <c r="BM190" s="1084"/>
      <c r="BN190" s="1084"/>
      <c r="BO190" s="1084"/>
      <c r="BP190" s="1084"/>
      <c r="BQ190" s="1084"/>
      <c r="BR190" s="1085"/>
      <c r="BS190" s="73"/>
      <c r="BU190" s="1103"/>
      <c r="BV190" s="1103"/>
      <c r="BW190" s="1103"/>
      <c r="BX190" s="1103"/>
      <c r="BY190" s="1103"/>
      <c r="BZ190" s="1103"/>
      <c r="CA190" s="1103"/>
      <c r="CB190" s="1103"/>
      <c r="CC190" s="1103"/>
      <c r="CD190" s="1103"/>
      <c r="CE190" s="1103"/>
      <c r="CF190" s="1103"/>
      <c r="CG190" s="1103"/>
      <c r="CH190" s="1103"/>
      <c r="CI190" s="1103"/>
      <c r="CS190" s="1151"/>
      <c r="CT190" s="1152"/>
      <c r="CU190" s="1152"/>
      <c r="CV190" s="1152"/>
      <c r="CW190" s="1152"/>
      <c r="CX190" s="1152"/>
      <c r="CY190" s="1152"/>
      <c r="CZ190" s="1152"/>
      <c r="DA190" s="1152"/>
      <c r="DB190" s="1152"/>
      <c r="DC190" s="1152"/>
      <c r="DD190" s="1152"/>
      <c r="DE190" s="1152"/>
      <c r="DF190" s="1153"/>
      <c r="DI190" s="73"/>
    </row>
    <row r="191" spans="2:142" ht="3.75" customHeight="1" x14ac:dyDescent="0.25">
      <c r="Z191" s="1054"/>
      <c r="AA191" s="1055"/>
      <c r="AB191" s="1055"/>
      <c r="AC191" s="1055"/>
      <c r="AD191" s="1056"/>
      <c r="AF191" s="1034"/>
      <c r="AG191" s="1035"/>
      <c r="AH191" s="1035"/>
      <c r="AI191" s="1035"/>
      <c r="AJ191" s="1035"/>
      <c r="AK191" s="1035"/>
      <c r="AL191" s="1035"/>
      <c r="AM191" s="1035"/>
      <c r="AN191" s="1035"/>
      <c r="AO191" s="1035"/>
      <c r="AP191" s="1035"/>
      <c r="AQ191" s="1035"/>
      <c r="AR191" s="1035"/>
      <c r="AS191" s="1035"/>
      <c r="AT191" s="1036"/>
      <c r="AV191" s="1034"/>
      <c r="AW191" s="1035"/>
      <c r="AX191" s="1035"/>
      <c r="AY191" s="1035"/>
      <c r="AZ191" s="1035"/>
      <c r="BA191" s="1035"/>
      <c r="BB191" s="1035"/>
      <c r="BC191" s="1035"/>
      <c r="BD191" s="1035"/>
      <c r="BE191" s="1035"/>
      <c r="BF191" s="1035"/>
      <c r="BG191" s="1035"/>
      <c r="BH191" s="1035"/>
      <c r="BI191" s="1035"/>
      <c r="BJ191" s="1036"/>
      <c r="BL191" s="1078" t="s">
        <v>813</v>
      </c>
      <c r="BM191" s="1157"/>
      <c r="BN191" s="1157"/>
      <c r="BO191" s="1157"/>
      <c r="BP191" s="1157"/>
      <c r="BQ191" s="1157"/>
      <c r="BR191" s="1080"/>
      <c r="BS191" s="73"/>
      <c r="BU191" s="1103"/>
      <c r="BV191" s="1103"/>
      <c r="BW191" s="1103"/>
      <c r="BX191" s="1103"/>
      <c r="BY191" s="1103"/>
      <c r="BZ191" s="1103"/>
      <c r="CA191" s="1103"/>
      <c r="CB191" s="1103"/>
      <c r="CC191" s="1103"/>
      <c r="CD191" s="1103"/>
      <c r="CE191" s="1103"/>
      <c r="CF191" s="1103"/>
      <c r="CG191" s="1103"/>
      <c r="CH191" s="1103"/>
      <c r="CI191" s="1103"/>
      <c r="CS191" s="1151"/>
      <c r="CT191" s="1152"/>
      <c r="CU191" s="1152"/>
      <c r="CV191" s="1152"/>
      <c r="CW191" s="1152"/>
      <c r="CX191" s="1152"/>
      <c r="CY191" s="1152"/>
      <c r="CZ191" s="1152"/>
      <c r="DA191" s="1152"/>
      <c r="DB191" s="1152"/>
      <c r="DC191" s="1152"/>
      <c r="DD191" s="1152"/>
      <c r="DE191" s="1152"/>
      <c r="DF191" s="1153"/>
      <c r="DI191" s="73"/>
    </row>
    <row r="192" spans="2:142" ht="3.75" customHeight="1" x14ac:dyDescent="0.25">
      <c r="B192" s="1053"/>
      <c r="C192" s="1053"/>
      <c r="D192" s="1053"/>
      <c r="F192" s="1053"/>
      <c r="G192" s="1053"/>
      <c r="H192" s="1053"/>
      <c r="J192" s="1053"/>
      <c r="K192" s="1053"/>
      <c r="L192" s="1053"/>
      <c r="N192" s="1053"/>
      <c r="O192" s="1053"/>
      <c r="P192" s="1053"/>
      <c r="R192" s="1053"/>
      <c r="S192" s="1053"/>
      <c r="T192" s="1053"/>
      <c r="V192" s="1053"/>
      <c r="W192" s="1053"/>
      <c r="X192" s="1053"/>
      <c r="Z192" s="1057"/>
      <c r="AA192" s="1058"/>
      <c r="AB192" s="1058"/>
      <c r="AC192" s="1058"/>
      <c r="AD192" s="1059"/>
      <c r="AF192" s="1037"/>
      <c r="AG192" s="1038"/>
      <c r="AH192" s="1038"/>
      <c r="AI192" s="1038"/>
      <c r="AJ192" s="1038"/>
      <c r="AK192" s="1038"/>
      <c r="AL192" s="1038"/>
      <c r="AM192" s="1038"/>
      <c r="AN192" s="1038"/>
      <c r="AO192" s="1038"/>
      <c r="AP192" s="1038"/>
      <c r="AQ192" s="1038"/>
      <c r="AR192" s="1038"/>
      <c r="AS192" s="1038"/>
      <c r="AT192" s="1039"/>
      <c r="AV192" s="1037"/>
      <c r="AW192" s="1038"/>
      <c r="AX192" s="1038"/>
      <c r="AY192" s="1038"/>
      <c r="AZ192" s="1038"/>
      <c r="BA192" s="1038"/>
      <c r="BB192" s="1038"/>
      <c r="BC192" s="1038"/>
      <c r="BD192" s="1038"/>
      <c r="BE192" s="1038"/>
      <c r="BF192" s="1038"/>
      <c r="BG192" s="1038"/>
      <c r="BH192" s="1038"/>
      <c r="BI192" s="1038"/>
      <c r="BJ192" s="1039"/>
      <c r="BL192" s="1081"/>
      <c r="BM192" s="631"/>
      <c r="BN192" s="631"/>
      <c r="BO192" s="631"/>
      <c r="BP192" s="631"/>
      <c r="BQ192" s="631"/>
      <c r="BR192" s="1082"/>
      <c r="BS192" s="73"/>
      <c r="CS192" s="1154"/>
      <c r="CT192" s="1155"/>
      <c r="CU192" s="1155"/>
      <c r="CV192" s="1155"/>
      <c r="CW192" s="1155"/>
      <c r="CX192" s="1155"/>
      <c r="CY192" s="1155"/>
      <c r="CZ192" s="1155"/>
      <c r="DA192" s="1155"/>
      <c r="DB192" s="1155"/>
      <c r="DC192" s="1155"/>
      <c r="DD192" s="1155"/>
      <c r="DE192" s="1155"/>
      <c r="DF192" s="1156"/>
      <c r="DI192" s="73"/>
    </row>
    <row r="193" spans="1:142" ht="3.75" customHeight="1" x14ac:dyDescent="0.25">
      <c r="B193" s="1053"/>
      <c r="C193" s="1053"/>
      <c r="D193" s="1053"/>
      <c r="F193" s="1053"/>
      <c r="G193" s="1053"/>
      <c r="H193" s="1053"/>
      <c r="J193" s="1053"/>
      <c r="K193" s="1053"/>
      <c r="L193" s="1053"/>
      <c r="N193" s="1053"/>
      <c r="O193" s="1053"/>
      <c r="P193" s="1053"/>
      <c r="R193" s="1053"/>
      <c r="S193" s="1053"/>
      <c r="T193" s="1053"/>
      <c r="V193" s="1053"/>
      <c r="W193" s="1053"/>
      <c r="X193" s="1053"/>
      <c r="Z193" s="1057"/>
      <c r="AA193" s="1058"/>
      <c r="AB193" s="1058"/>
      <c r="AC193" s="1058"/>
      <c r="AD193" s="1059"/>
      <c r="AF193" s="1037"/>
      <c r="AG193" s="1038"/>
      <c r="AH193" s="1038"/>
      <c r="AI193" s="1038"/>
      <c r="AJ193" s="1038"/>
      <c r="AK193" s="1038"/>
      <c r="AL193" s="1038"/>
      <c r="AM193" s="1038"/>
      <c r="AN193" s="1038"/>
      <c r="AO193" s="1038"/>
      <c r="AP193" s="1038"/>
      <c r="AQ193" s="1038"/>
      <c r="AR193" s="1038"/>
      <c r="AS193" s="1038"/>
      <c r="AT193" s="1039"/>
      <c r="AV193" s="1037"/>
      <c r="AW193" s="1038"/>
      <c r="AX193" s="1038"/>
      <c r="AY193" s="1038"/>
      <c r="AZ193" s="1038"/>
      <c r="BA193" s="1038"/>
      <c r="BB193" s="1038"/>
      <c r="BC193" s="1038"/>
      <c r="BD193" s="1038"/>
      <c r="BE193" s="1038"/>
      <c r="BF193" s="1038"/>
      <c r="BG193" s="1038"/>
      <c r="BH193" s="1038"/>
      <c r="BI193" s="1038"/>
      <c r="BJ193" s="1039"/>
      <c r="BL193" s="1081"/>
      <c r="BM193" s="631"/>
      <c r="BN193" s="631"/>
      <c r="BO193" s="631"/>
      <c r="BP193" s="631"/>
      <c r="BQ193" s="631"/>
      <c r="BR193" s="1082"/>
      <c r="BS193" s="73"/>
      <c r="DI193" s="73"/>
      <c r="DY193" s="1148"/>
      <c r="DZ193" s="1149"/>
      <c r="EA193" s="1149"/>
      <c r="EB193" s="1149"/>
      <c r="EC193" s="1149"/>
      <c r="ED193" s="1149"/>
      <c r="EE193" s="1149"/>
      <c r="EF193" s="1149"/>
      <c r="EG193" s="1149"/>
      <c r="EH193" s="1149"/>
      <c r="EI193" s="1149"/>
      <c r="EJ193" s="1149"/>
      <c r="EK193" s="1149"/>
      <c r="EL193" s="1150"/>
    </row>
    <row r="194" spans="1:142" ht="3.75" customHeight="1" x14ac:dyDescent="0.25">
      <c r="B194" s="1053"/>
      <c r="C194" s="1053"/>
      <c r="D194" s="1053"/>
      <c r="F194" s="1053"/>
      <c r="G194" s="1053"/>
      <c r="H194" s="1053"/>
      <c r="J194" s="1053"/>
      <c r="K194" s="1053"/>
      <c r="L194" s="1053"/>
      <c r="N194" s="1053"/>
      <c r="O194" s="1053"/>
      <c r="P194" s="1053"/>
      <c r="R194" s="1053"/>
      <c r="S194" s="1053"/>
      <c r="T194" s="1053"/>
      <c r="V194" s="1053"/>
      <c r="W194" s="1053"/>
      <c r="X194" s="1053"/>
      <c r="Z194" s="1057"/>
      <c r="AA194" s="1058"/>
      <c r="AB194" s="1058"/>
      <c r="AC194" s="1058"/>
      <c r="AD194" s="1059"/>
      <c r="AF194" s="1037"/>
      <c r="AG194" s="1038"/>
      <c r="AH194" s="1038"/>
      <c r="AI194" s="1038"/>
      <c r="AJ194" s="1038"/>
      <c r="AK194" s="1038"/>
      <c r="AL194" s="1038"/>
      <c r="AM194" s="1038"/>
      <c r="AN194" s="1038"/>
      <c r="AO194" s="1038"/>
      <c r="AP194" s="1038"/>
      <c r="AQ194" s="1038"/>
      <c r="AR194" s="1038"/>
      <c r="AS194" s="1038"/>
      <c r="AT194" s="1039"/>
      <c r="AV194" s="1037"/>
      <c r="AW194" s="1038"/>
      <c r="AX194" s="1038"/>
      <c r="AY194" s="1038"/>
      <c r="AZ194" s="1038"/>
      <c r="BA194" s="1038"/>
      <c r="BB194" s="1038"/>
      <c r="BC194" s="1038"/>
      <c r="BD194" s="1038"/>
      <c r="BE194" s="1038"/>
      <c r="BF194" s="1038"/>
      <c r="BG194" s="1038"/>
      <c r="BH194" s="1038"/>
      <c r="BI194" s="1038"/>
      <c r="BJ194" s="1039"/>
      <c r="BL194" s="1081"/>
      <c r="BM194" s="631"/>
      <c r="BN194" s="631"/>
      <c r="BO194" s="631"/>
      <c r="BP194" s="631"/>
      <c r="BQ194" s="631"/>
      <c r="BR194" s="1082"/>
      <c r="BS194" s="73"/>
      <c r="DI194" s="73"/>
      <c r="DK194" s="1077" t="s">
        <v>822</v>
      </c>
      <c r="DL194" s="1077"/>
      <c r="DM194" s="1077"/>
      <c r="DN194" s="1077"/>
      <c r="DO194" s="1077"/>
      <c r="DP194" s="1077"/>
      <c r="DQ194" s="1077"/>
      <c r="DR194" s="1077"/>
      <c r="DS194" s="1077"/>
      <c r="DT194" s="1077"/>
      <c r="DU194" s="1077"/>
      <c r="DV194" s="1077"/>
      <c r="DW194" s="1077"/>
      <c r="DY194" s="1151"/>
      <c r="DZ194" s="1152"/>
      <c r="EA194" s="1152"/>
      <c r="EB194" s="1152"/>
      <c r="EC194" s="1152"/>
      <c r="ED194" s="1152"/>
      <c r="EE194" s="1152"/>
      <c r="EF194" s="1152"/>
      <c r="EG194" s="1152"/>
      <c r="EH194" s="1152"/>
      <c r="EI194" s="1152"/>
      <c r="EJ194" s="1152"/>
      <c r="EK194" s="1152"/>
      <c r="EL194" s="1153"/>
    </row>
    <row r="195" spans="1:142" ht="3.75" customHeight="1" x14ac:dyDescent="0.25">
      <c r="Z195" s="1060"/>
      <c r="AA195" s="1061"/>
      <c r="AB195" s="1061"/>
      <c r="AC195" s="1061"/>
      <c r="AD195" s="1062"/>
      <c r="AF195" s="1040"/>
      <c r="AG195" s="1041"/>
      <c r="AH195" s="1041"/>
      <c r="AI195" s="1041"/>
      <c r="AJ195" s="1041"/>
      <c r="AK195" s="1041"/>
      <c r="AL195" s="1041"/>
      <c r="AM195" s="1041"/>
      <c r="AN195" s="1041"/>
      <c r="AO195" s="1041"/>
      <c r="AP195" s="1041"/>
      <c r="AQ195" s="1041"/>
      <c r="AR195" s="1041"/>
      <c r="AS195" s="1041"/>
      <c r="AT195" s="1042"/>
      <c r="AV195" s="1040"/>
      <c r="AW195" s="1041"/>
      <c r="AX195" s="1041"/>
      <c r="AY195" s="1041"/>
      <c r="AZ195" s="1041"/>
      <c r="BA195" s="1041"/>
      <c r="BB195" s="1041"/>
      <c r="BC195" s="1041"/>
      <c r="BD195" s="1041"/>
      <c r="BE195" s="1041"/>
      <c r="BF195" s="1041"/>
      <c r="BG195" s="1041"/>
      <c r="BH195" s="1041"/>
      <c r="BI195" s="1041"/>
      <c r="BJ195" s="1042"/>
      <c r="BL195" s="1083"/>
      <c r="BM195" s="1084"/>
      <c r="BN195" s="1084"/>
      <c r="BO195" s="1084"/>
      <c r="BP195" s="1084"/>
      <c r="BQ195" s="1084"/>
      <c r="BR195" s="1085"/>
      <c r="BS195" s="73"/>
      <c r="DI195" s="73"/>
      <c r="DK195" s="1077"/>
      <c r="DL195" s="1077"/>
      <c r="DM195" s="1077"/>
      <c r="DN195" s="1077"/>
      <c r="DO195" s="1077"/>
      <c r="DP195" s="1077"/>
      <c r="DQ195" s="1077"/>
      <c r="DR195" s="1077"/>
      <c r="DS195" s="1077"/>
      <c r="DT195" s="1077"/>
      <c r="DU195" s="1077"/>
      <c r="DV195" s="1077"/>
      <c r="DW195" s="1077"/>
      <c r="DY195" s="1151"/>
      <c r="DZ195" s="1152"/>
      <c r="EA195" s="1152"/>
      <c r="EB195" s="1152"/>
      <c r="EC195" s="1152"/>
      <c r="ED195" s="1152"/>
      <c r="EE195" s="1152"/>
      <c r="EF195" s="1152"/>
      <c r="EG195" s="1152"/>
      <c r="EH195" s="1152"/>
      <c r="EI195" s="1152"/>
      <c r="EJ195" s="1152"/>
      <c r="EK195" s="1152"/>
      <c r="EL195" s="1153"/>
    </row>
    <row r="196" spans="1:142" ht="3.75" customHeight="1" x14ac:dyDescent="0.25">
      <c r="Z196" s="1054"/>
      <c r="AA196" s="1055"/>
      <c r="AB196" s="1055"/>
      <c r="AC196" s="1055"/>
      <c r="AD196" s="1056"/>
      <c r="AF196" s="1034"/>
      <c r="AG196" s="1035"/>
      <c r="AH196" s="1035"/>
      <c r="AI196" s="1035"/>
      <c r="AJ196" s="1035"/>
      <c r="AK196" s="1035"/>
      <c r="AL196" s="1035"/>
      <c r="AM196" s="1035"/>
      <c r="AN196" s="1035"/>
      <c r="AO196" s="1035"/>
      <c r="AP196" s="1035"/>
      <c r="AQ196" s="1035"/>
      <c r="AR196" s="1035"/>
      <c r="AS196" s="1035"/>
      <c r="AT196" s="1036"/>
      <c r="AV196" s="1034"/>
      <c r="AW196" s="1035"/>
      <c r="AX196" s="1035"/>
      <c r="AY196" s="1035"/>
      <c r="AZ196" s="1035"/>
      <c r="BA196" s="1035"/>
      <c r="BB196" s="1035"/>
      <c r="BC196" s="1035"/>
      <c r="BD196" s="1035"/>
      <c r="BE196" s="1035"/>
      <c r="BF196" s="1035"/>
      <c r="BG196" s="1035"/>
      <c r="BH196" s="1035"/>
      <c r="BI196" s="1035"/>
      <c r="BJ196" s="1036"/>
      <c r="BL196" s="1078" t="s">
        <v>813</v>
      </c>
      <c r="BM196" s="1157"/>
      <c r="BN196" s="1157"/>
      <c r="BO196" s="1157"/>
      <c r="BP196" s="1157"/>
      <c r="BQ196" s="1157"/>
      <c r="BR196" s="1080"/>
      <c r="BS196" s="73"/>
      <c r="CS196" s="1148"/>
      <c r="CT196" s="1149"/>
      <c r="CU196" s="1149"/>
      <c r="CV196" s="1149"/>
      <c r="CW196" s="1149"/>
      <c r="CX196" s="1149"/>
      <c r="CY196" s="1149"/>
      <c r="CZ196" s="1149"/>
      <c r="DA196" s="1149"/>
      <c r="DB196" s="1149"/>
      <c r="DC196" s="1149"/>
      <c r="DD196" s="1149"/>
      <c r="DE196" s="1149"/>
      <c r="DF196" s="1150"/>
      <c r="DI196" s="73"/>
      <c r="DK196" s="1077"/>
      <c r="DL196" s="1077"/>
      <c r="DM196" s="1077"/>
      <c r="DN196" s="1077"/>
      <c r="DO196" s="1077"/>
      <c r="DP196" s="1077"/>
      <c r="DQ196" s="1077"/>
      <c r="DR196" s="1077"/>
      <c r="DS196" s="1077"/>
      <c r="DT196" s="1077"/>
      <c r="DU196" s="1077"/>
      <c r="DV196" s="1077"/>
      <c r="DW196" s="1077"/>
      <c r="DY196" s="1151"/>
      <c r="DZ196" s="1152"/>
      <c r="EA196" s="1152"/>
      <c r="EB196" s="1152"/>
      <c r="EC196" s="1152"/>
      <c r="ED196" s="1152"/>
      <c r="EE196" s="1152"/>
      <c r="EF196" s="1152"/>
      <c r="EG196" s="1152"/>
      <c r="EH196" s="1152"/>
      <c r="EI196" s="1152"/>
      <c r="EJ196" s="1152"/>
      <c r="EK196" s="1152"/>
      <c r="EL196" s="1153"/>
    </row>
    <row r="197" spans="1:142" ht="3.75" customHeight="1" x14ac:dyDescent="0.25">
      <c r="B197" s="1053"/>
      <c r="C197" s="1053"/>
      <c r="D197" s="1053"/>
      <c r="F197" s="1053"/>
      <c r="G197" s="1053"/>
      <c r="H197" s="1053"/>
      <c r="J197" s="1053"/>
      <c r="K197" s="1053"/>
      <c r="L197" s="1053"/>
      <c r="N197" s="1053"/>
      <c r="O197" s="1053"/>
      <c r="P197" s="1053"/>
      <c r="R197" s="1053"/>
      <c r="S197" s="1053"/>
      <c r="T197" s="1053"/>
      <c r="V197" s="1053"/>
      <c r="W197" s="1053"/>
      <c r="X197" s="1053"/>
      <c r="Z197" s="1057"/>
      <c r="AA197" s="1058"/>
      <c r="AB197" s="1058"/>
      <c r="AC197" s="1058"/>
      <c r="AD197" s="1059"/>
      <c r="AF197" s="1037"/>
      <c r="AG197" s="1038"/>
      <c r="AH197" s="1038"/>
      <c r="AI197" s="1038"/>
      <c r="AJ197" s="1038"/>
      <c r="AK197" s="1038"/>
      <c r="AL197" s="1038"/>
      <c r="AM197" s="1038"/>
      <c r="AN197" s="1038"/>
      <c r="AO197" s="1038"/>
      <c r="AP197" s="1038"/>
      <c r="AQ197" s="1038"/>
      <c r="AR197" s="1038"/>
      <c r="AS197" s="1038"/>
      <c r="AT197" s="1039"/>
      <c r="AV197" s="1037"/>
      <c r="AW197" s="1038"/>
      <c r="AX197" s="1038"/>
      <c r="AY197" s="1038"/>
      <c r="AZ197" s="1038"/>
      <c r="BA197" s="1038"/>
      <c r="BB197" s="1038"/>
      <c r="BC197" s="1038"/>
      <c r="BD197" s="1038"/>
      <c r="BE197" s="1038"/>
      <c r="BF197" s="1038"/>
      <c r="BG197" s="1038"/>
      <c r="BH197" s="1038"/>
      <c r="BI197" s="1038"/>
      <c r="BJ197" s="1039"/>
      <c r="BL197" s="1081"/>
      <c r="BM197" s="631"/>
      <c r="BN197" s="631"/>
      <c r="BO197" s="631"/>
      <c r="BP197" s="631"/>
      <c r="BQ197" s="631"/>
      <c r="BR197" s="1082"/>
      <c r="BS197" s="73"/>
      <c r="BU197" s="1103" t="s">
        <v>819</v>
      </c>
      <c r="BV197" s="1103"/>
      <c r="BW197" s="1103"/>
      <c r="BX197" s="1103"/>
      <c r="BY197" s="1103"/>
      <c r="BZ197" s="1103"/>
      <c r="CA197" s="1103"/>
      <c r="CB197" s="1103"/>
      <c r="CC197" s="1103"/>
      <c r="CD197" s="1103"/>
      <c r="CE197" s="1103"/>
      <c r="CF197" s="1103"/>
      <c r="CG197" s="1103"/>
      <c r="CH197" s="1103"/>
      <c r="CI197" s="1103"/>
      <c r="CJ197" s="1103"/>
      <c r="CK197" s="1103"/>
      <c r="CL197" s="1103"/>
      <c r="CM197" s="1103"/>
      <c r="CN197" s="1103"/>
      <c r="CO197" s="1103"/>
      <c r="CP197" s="1103"/>
      <c r="CS197" s="1151"/>
      <c r="CT197" s="1152"/>
      <c r="CU197" s="1152"/>
      <c r="CV197" s="1152"/>
      <c r="CW197" s="1152"/>
      <c r="CX197" s="1152"/>
      <c r="CY197" s="1152"/>
      <c r="CZ197" s="1152"/>
      <c r="DA197" s="1152"/>
      <c r="DB197" s="1152"/>
      <c r="DC197" s="1152"/>
      <c r="DD197" s="1152"/>
      <c r="DE197" s="1152"/>
      <c r="DF197" s="1153"/>
      <c r="DI197" s="73"/>
      <c r="DY197" s="1154"/>
      <c r="DZ197" s="1155"/>
      <c r="EA197" s="1155"/>
      <c r="EB197" s="1155"/>
      <c r="EC197" s="1155"/>
      <c r="ED197" s="1155"/>
      <c r="EE197" s="1155"/>
      <c r="EF197" s="1155"/>
      <c r="EG197" s="1155"/>
      <c r="EH197" s="1155"/>
      <c r="EI197" s="1155"/>
      <c r="EJ197" s="1155"/>
      <c r="EK197" s="1155"/>
      <c r="EL197" s="1156"/>
    </row>
    <row r="198" spans="1:142" ht="3.75" customHeight="1" x14ac:dyDescent="0.25">
      <c r="B198" s="1053"/>
      <c r="C198" s="1053"/>
      <c r="D198" s="1053"/>
      <c r="F198" s="1053"/>
      <c r="G198" s="1053"/>
      <c r="H198" s="1053"/>
      <c r="J198" s="1053"/>
      <c r="K198" s="1053"/>
      <c r="L198" s="1053"/>
      <c r="N198" s="1053"/>
      <c r="O198" s="1053"/>
      <c r="P198" s="1053"/>
      <c r="R198" s="1053"/>
      <c r="S198" s="1053"/>
      <c r="T198" s="1053"/>
      <c r="V198" s="1053"/>
      <c r="W198" s="1053"/>
      <c r="X198" s="1053"/>
      <c r="Z198" s="1057"/>
      <c r="AA198" s="1058"/>
      <c r="AB198" s="1058"/>
      <c r="AC198" s="1058"/>
      <c r="AD198" s="1059"/>
      <c r="AF198" s="1037"/>
      <c r="AG198" s="1038"/>
      <c r="AH198" s="1038"/>
      <c r="AI198" s="1038"/>
      <c r="AJ198" s="1038"/>
      <c r="AK198" s="1038"/>
      <c r="AL198" s="1038"/>
      <c r="AM198" s="1038"/>
      <c r="AN198" s="1038"/>
      <c r="AO198" s="1038"/>
      <c r="AP198" s="1038"/>
      <c r="AQ198" s="1038"/>
      <c r="AR198" s="1038"/>
      <c r="AS198" s="1038"/>
      <c r="AT198" s="1039"/>
      <c r="AV198" s="1037"/>
      <c r="AW198" s="1038"/>
      <c r="AX198" s="1038"/>
      <c r="AY198" s="1038"/>
      <c r="AZ198" s="1038"/>
      <c r="BA198" s="1038"/>
      <c r="BB198" s="1038"/>
      <c r="BC198" s="1038"/>
      <c r="BD198" s="1038"/>
      <c r="BE198" s="1038"/>
      <c r="BF198" s="1038"/>
      <c r="BG198" s="1038"/>
      <c r="BH198" s="1038"/>
      <c r="BI198" s="1038"/>
      <c r="BJ198" s="1039"/>
      <c r="BL198" s="1081"/>
      <c r="BM198" s="631"/>
      <c r="BN198" s="631"/>
      <c r="BO198" s="631"/>
      <c r="BP198" s="631"/>
      <c r="BQ198" s="631"/>
      <c r="BR198" s="1082"/>
      <c r="BS198" s="73"/>
      <c r="BU198" s="1103"/>
      <c r="BV198" s="1103"/>
      <c r="BW198" s="1103"/>
      <c r="BX198" s="1103"/>
      <c r="BY198" s="1103"/>
      <c r="BZ198" s="1103"/>
      <c r="CA198" s="1103"/>
      <c r="CB198" s="1103"/>
      <c r="CC198" s="1103"/>
      <c r="CD198" s="1103"/>
      <c r="CE198" s="1103"/>
      <c r="CF198" s="1103"/>
      <c r="CG198" s="1103"/>
      <c r="CH198" s="1103"/>
      <c r="CI198" s="1103"/>
      <c r="CJ198" s="1103"/>
      <c r="CK198" s="1103"/>
      <c r="CL198" s="1103"/>
      <c r="CM198" s="1103"/>
      <c r="CN198" s="1103"/>
      <c r="CO198" s="1103"/>
      <c r="CP198" s="1103"/>
      <c r="CS198" s="1151"/>
      <c r="CT198" s="1152"/>
      <c r="CU198" s="1152"/>
      <c r="CV198" s="1152"/>
      <c r="CW198" s="1152"/>
      <c r="CX198" s="1152"/>
      <c r="CY198" s="1152"/>
      <c r="CZ198" s="1152"/>
      <c r="DA198" s="1152"/>
      <c r="DB198" s="1152"/>
      <c r="DC198" s="1152"/>
      <c r="DD198" s="1152"/>
      <c r="DE198" s="1152"/>
      <c r="DF198" s="1153"/>
      <c r="DI198" s="73"/>
    </row>
    <row r="199" spans="1:142" ht="3.75" customHeight="1" x14ac:dyDescent="0.25">
      <c r="B199" s="1053"/>
      <c r="C199" s="1053"/>
      <c r="D199" s="1053"/>
      <c r="F199" s="1053"/>
      <c r="G199" s="1053"/>
      <c r="H199" s="1053"/>
      <c r="J199" s="1053"/>
      <c r="K199" s="1053"/>
      <c r="L199" s="1053"/>
      <c r="N199" s="1053"/>
      <c r="O199" s="1053"/>
      <c r="P199" s="1053"/>
      <c r="R199" s="1053"/>
      <c r="S199" s="1053"/>
      <c r="T199" s="1053"/>
      <c r="V199" s="1053"/>
      <c r="W199" s="1053"/>
      <c r="X199" s="1053"/>
      <c r="Z199" s="1057"/>
      <c r="AA199" s="1058"/>
      <c r="AB199" s="1058"/>
      <c r="AC199" s="1058"/>
      <c r="AD199" s="1059"/>
      <c r="AF199" s="1037"/>
      <c r="AG199" s="1038"/>
      <c r="AH199" s="1038"/>
      <c r="AI199" s="1038"/>
      <c r="AJ199" s="1038"/>
      <c r="AK199" s="1038"/>
      <c r="AL199" s="1038"/>
      <c r="AM199" s="1038"/>
      <c r="AN199" s="1038"/>
      <c r="AO199" s="1038"/>
      <c r="AP199" s="1038"/>
      <c r="AQ199" s="1038"/>
      <c r="AR199" s="1038"/>
      <c r="AS199" s="1038"/>
      <c r="AT199" s="1039"/>
      <c r="AV199" s="1037"/>
      <c r="AW199" s="1038"/>
      <c r="AX199" s="1038"/>
      <c r="AY199" s="1038"/>
      <c r="AZ199" s="1038"/>
      <c r="BA199" s="1038"/>
      <c r="BB199" s="1038"/>
      <c r="BC199" s="1038"/>
      <c r="BD199" s="1038"/>
      <c r="BE199" s="1038"/>
      <c r="BF199" s="1038"/>
      <c r="BG199" s="1038"/>
      <c r="BH199" s="1038"/>
      <c r="BI199" s="1038"/>
      <c r="BJ199" s="1039"/>
      <c r="BL199" s="1081"/>
      <c r="BM199" s="631"/>
      <c r="BN199" s="631"/>
      <c r="BO199" s="631"/>
      <c r="BP199" s="631"/>
      <c r="BQ199" s="631"/>
      <c r="BR199" s="1082"/>
      <c r="BS199" s="73"/>
      <c r="BU199" s="1103"/>
      <c r="BV199" s="1103"/>
      <c r="BW199" s="1103"/>
      <c r="BX199" s="1103"/>
      <c r="BY199" s="1103"/>
      <c r="BZ199" s="1103"/>
      <c r="CA199" s="1103"/>
      <c r="CB199" s="1103"/>
      <c r="CC199" s="1103"/>
      <c r="CD199" s="1103"/>
      <c r="CE199" s="1103"/>
      <c r="CF199" s="1103"/>
      <c r="CG199" s="1103"/>
      <c r="CH199" s="1103"/>
      <c r="CI199" s="1103"/>
      <c r="CJ199" s="1103"/>
      <c r="CK199" s="1103"/>
      <c r="CL199" s="1103"/>
      <c r="CM199" s="1103"/>
      <c r="CN199" s="1103"/>
      <c r="CO199" s="1103"/>
      <c r="CP199" s="1103"/>
      <c r="CS199" s="1151"/>
      <c r="CT199" s="1152"/>
      <c r="CU199" s="1152"/>
      <c r="CV199" s="1152"/>
      <c r="CW199" s="1152"/>
      <c r="CX199" s="1152"/>
      <c r="CY199" s="1152"/>
      <c r="CZ199" s="1152"/>
      <c r="DA199" s="1152"/>
      <c r="DB199" s="1152"/>
      <c r="DC199" s="1152"/>
      <c r="DD199" s="1152"/>
      <c r="DE199" s="1152"/>
      <c r="DF199" s="1153"/>
      <c r="DI199" s="73"/>
    </row>
    <row r="200" spans="1:142" ht="3.75" customHeight="1" x14ac:dyDescent="0.25">
      <c r="Z200" s="1060"/>
      <c r="AA200" s="1061"/>
      <c r="AB200" s="1061"/>
      <c r="AC200" s="1061"/>
      <c r="AD200" s="1062"/>
      <c r="AF200" s="1040"/>
      <c r="AG200" s="1041"/>
      <c r="AH200" s="1041"/>
      <c r="AI200" s="1041"/>
      <c r="AJ200" s="1041"/>
      <c r="AK200" s="1041"/>
      <c r="AL200" s="1041"/>
      <c r="AM200" s="1041"/>
      <c r="AN200" s="1041"/>
      <c r="AO200" s="1041"/>
      <c r="AP200" s="1041"/>
      <c r="AQ200" s="1041"/>
      <c r="AR200" s="1041"/>
      <c r="AS200" s="1041"/>
      <c r="AT200" s="1042"/>
      <c r="AV200" s="1040"/>
      <c r="AW200" s="1041"/>
      <c r="AX200" s="1041"/>
      <c r="AY200" s="1041"/>
      <c r="AZ200" s="1041"/>
      <c r="BA200" s="1041"/>
      <c r="BB200" s="1041"/>
      <c r="BC200" s="1041"/>
      <c r="BD200" s="1041"/>
      <c r="BE200" s="1041"/>
      <c r="BF200" s="1041"/>
      <c r="BG200" s="1041"/>
      <c r="BH200" s="1041"/>
      <c r="BI200" s="1041"/>
      <c r="BJ200" s="1042"/>
      <c r="BL200" s="1083"/>
      <c r="BM200" s="1084"/>
      <c r="BN200" s="1084"/>
      <c r="BO200" s="1084"/>
      <c r="BP200" s="1084"/>
      <c r="BQ200" s="1084"/>
      <c r="BR200" s="1085"/>
      <c r="BS200" s="73"/>
      <c r="CS200" s="1154"/>
      <c r="CT200" s="1155"/>
      <c r="CU200" s="1155"/>
      <c r="CV200" s="1155"/>
      <c r="CW200" s="1155"/>
      <c r="CX200" s="1155"/>
      <c r="CY200" s="1155"/>
      <c r="CZ200" s="1155"/>
      <c r="DA200" s="1155"/>
      <c r="DB200" s="1155"/>
      <c r="DC200" s="1155"/>
      <c r="DD200" s="1155"/>
      <c r="DE200" s="1155"/>
      <c r="DF200" s="1156"/>
      <c r="DI200" s="73"/>
    </row>
    <row r="201" spans="1:142" ht="3.75" customHeight="1" x14ac:dyDescent="0.25">
      <c r="BS201" s="73"/>
      <c r="DI201" s="73"/>
    </row>
    <row r="202" spans="1:142" ht="3.75" customHeight="1" x14ac:dyDescent="0.25">
      <c r="BS202" s="73"/>
      <c r="DI202" s="73"/>
    </row>
    <row r="203" spans="1:142" ht="3.75" customHeight="1" x14ac:dyDescent="0.25">
      <c r="BS203" s="73"/>
      <c r="DI203" s="73"/>
    </row>
    <row r="204" spans="1:142" ht="3.75" customHeight="1" thickBot="1" x14ac:dyDescent="0.3">
      <c r="A204" s="355"/>
      <c r="B204" s="355"/>
      <c r="C204" s="355"/>
      <c r="D204" s="355"/>
      <c r="E204" s="355"/>
      <c r="F204" s="355"/>
      <c r="G204" s="355"/>
      <c r="H204" s="355"/>
      <c r="I204" s="355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55"/>
      <c r="AA204" s="355"/>
      <c r="AB204" s="355"/>
      <c r="AC204" s="355"/>
      <c r="AD204" s="355"/>
      <c r="AE204" s="355"/>
      <c r="AF204" s="355"/>
      <c r="AG204" s="355"/>
      <c r="AH204" s="355"/>
      <c r="AI204" s="355"/>
      <c r="AJ204" s="355"/>
      <c r="AK204" s="355"/>
      <c r="AL204" s="355"/>
      <c r="AM204" s="355"/>
      <c r="AN204" s="355"/>
      <c r="AO204" s="355"/>
      <c r="AP204" s="355"/>
      <c r="AQ204" s="355"/>
      <c r="AR204" s="355"/>
      <c r="AS204" s="355"/>
      <c r="AT204" s="355"/>
      <c r="AU204" s="355"/>
      <c r="AV204" s="355"/>
      <c r="AW204" s="355"/>
      <c r="AX204" s="355"/>
      <c r="AY204" s="355"/>
      <c r="AZ204" s="355"/>
      <c r="BA204" s="355"/>
      <c r="BB204" s="355"/>
      <c r="BC204" s="355"/>
      <c r="BD204" s="355"/>
      <c r="BE204" s="355"/>
      <c r="BF204" s="355"/>
      <c r="BG204" s="355"/>
      <c r="BH204" s="355"/>
      <c r="BI204" s="355"/>
      <c r="BJ204" s="355"/>
      <c r="BK204" s="355"/>
      <c r="BL204" s="355"/>
      <c r="BM204" s="355"/>
      <c r="BN204" s="355"/>
      <c r="BO204" s="355"/>
      <c r="BP204" s="355"/>
      <c r="BQ204" s="355"/>
      <c r="BR204" s="355"/>
      <c r="BS204" s="360"/>
      <c r="BT204" s="355"/>
      <c r="BU204" s="355"/>
      <c r="BV204" s="355"/>
      <c r="BW204" s="355"/>
      <c r="BX204" s="355"/>
      <c r="BY204" s="355"/>
      <c r="BZ204" s="355"/>
      <c r="CA204" s="355"/>
      <c r="CB204" s="355"/>
      <c r="CC204" s="355"/>
      <c r="CD204" s="355"/>
      <c r="CE204" s="355"/>
      <c r="CF204" s="355"/>
      <c r="CG204" s="355"/>
      <c r="CH204" s="355"/>
      <c r="CI204" s="355"/>
      <c r="CJ204" s="355"/>
      <c r="CK204" s="355"/>
      <c r="CL204" s="355"/>
      <c r="CM204" s="355"/>
      <c r="CN204" s="355"/>
      <c r="CO204" s="355"/>
      <c r="CP204" s="355"/>
      <c r="CQ204" s="355"/>
      <c r="CR204" s="355"/>
      <c r="CS204" s="355"/>
      <c r="CT204" s="355"/>
      <c r="CU204" s="355"/>
      <c r="CV204" s="355"/>
      <c r="CW204" s="355"/>
      <c r="CX204" s="355"/>
      <c r="CY204" s="355"/>
      <c r="CZ204" s="355"/>
      <c r="DA204" s="355"/>
      <c r="DB204" s="355"/>
      <c r="DC204" s="355"/>
      <c r="DD204" s="355"/>
      <c r="DE204" s="355"/>
      <c r="DF204" s="355"/>
      <c r="DG204" s="355"/>
      <c r="DH204" s="355"/>
      <c r="DI204" s="360"/>
      <c r="DJ204" s="355"/>
      <c r="DK204" s="355"/>
      <c r="DL204" s="355"/>
      <c r="DM204" s="355"/>
      <c r="DN204" s="355"/>
      <c r="DO204" s="355"/>
      <c r="DP204" s="355"/>
      <c r="DQ204" s="355"/>
      <c r="DR204" s="355"/>
      <c r="DS204" s="355"/>
      <c r="DT204" s="355"/>
      <c r="DU204" s="355"/>
      <c r="DV204" s="355"/>
      <c r="DW204" s="355"/>
      <c r="DX204" s="355"/>
      <c r="DY204" s="355"/>
      <c r="DZ204" s="355"/>
      <c r="EA204" s="355"/>
      <c r="EB204" s="355"/>
      <c r="EC204" s="355"/>
      <c r="ED204" s="355"/>
      <c r="EE204" s="355"/>
      <c r="EF204" s="355"/>
      <c r="EG204" s="355"/>
      <c r="EH204" s="355"/>
      <c r="EI204" s="355"/>
      <c r="EJ204" s="355"/>
      <c r="EK204" s="355"/>
      <c r="EL204" s="355"/>
    </row>
    <row r="206" spans="1:142" ht="3.75" customHeight="1" x14ac:dyDescent="0.25">
      <c r="A206" s="1077" t="s">
        <v>815</v>
      </c>
      <c r="B206" s="1077"/>
      <c r="C206" s="1077"/>
      <c r="D206" s="1077"/>
      <c r="E206" s="1077"/>
      <c r="F206" s="1077"/>
      <c r="G206" s="1077"/>
      <c r="H206" s="1077"/>
      <c r="I206" s="1077"/>
      <c r="J206" s="1077"/>
      <c r="K206" s="1077"/>
      <c r="L206" s="1077"/>
      <c r="M206" s="1077"/>
      <c r="N206" s="1077"/>
      <c r="O206" s="1077"/>
      <c r="P206" s="1077"/>
      <c r="Q206" s="1077"/>
      <c r="R206" s="1077"/>
      <c r="S206" s="1077"/>
      <c r="T206" s="1077"/>
      <c r="U206" s="1077"/>
      <c r="V206" s="1077"/>
      <c r="W206" s="1077"/>
      <c r="X206" s="1077"/>
      <c r="Y206" s="1077"/>
      <c r="Z206" s="1077"/>
      <c r="AA206" s="1077"/>
      <c r="AB206" s="1077"/>
      <c r="AC206" s="1077"/>
      <c r="AD206" s="1077"/>
      <c r="AE206" s="1077"/>
      <c r="AF206" s="1077"/>
      <c r="AG206" s="1077"/>
      <c r="AH206" s="1077"/>
      <c r="AI206" s="1077"/>
      <c r="AJ206" s="1077"/>
      <c r="AK206" s="1077"/>
      <c r="AL206" s="1077"/>
      <c r="AM206" s="1077"/>
      <c r="BU206" s="1102"/>
      <c r="BV206" s="1102"/>
      <c r="BW206" s="1102"/>
      <c r="BX206" s="1102"/>
      <c r="BY206" s="1077" t="s">
        <v>582</v>
      </c>
      <c r="BZ206" s="1077"/>
      <c r="CA206" s="1077"/>
      <c r="CB206" s="1077"/>
      <c r="CC206" s="1077"/>
      <c r="CD206" s="1077"/>
      <c r="CE206" s="1077"/>
      <c r="CF206" s="1077"/>
      <c r="CG206" s="1077"/>
      <c r="CH206" s="1077"/>
      <c r="CI206" s="1077"/>
      <c r="CJ206" s="1077"/>
      <c r="CK206" s="1077"/>
      <c r="CL206" s="1077"/>
      <c r="CM206" s="1077"/>
      <c r="CN206" s="1077"/>
      <c r="CO206" s="1077"/>
      <c r="CP206" s="1077"/>
      <c r="CQ206" s="1077"/>
      <c r="CR206" s="1077"/>
      <c r="CS206" s="1077"/>
      <c r="CT206" s="1077"/>
      <c r="CU206" s="1077"/>
      <c r="CV206" s="1077"/>
      <c r="CW206" s="1077"/>
      <c r="CX206" s="1077"/>
      <c r="CY206" s="1077"/>
      <c r="DK206" s="1102"/>
      <c r="DL206" s="1102"/>
      <c r="DM206" s="1102"/>
      <c r="DN206" s="1102"/>
      <c r="DO206" s="1077" t="s">
        <v>581</v>
      </c>
      <c r="DP206" s="1077"/>
      <c r="DQ206" s="1077"/>
      <c r="DR206" s="1077"/>
      <c r="DS206" s="1077"/>
      <c r="DT206" s="1077"/>
      <c r="DU206" s="1077"/>
      <c r="DV206" s="1077"/>
      <c r="DW206" s="1077"/>
      <c r="DX206" s="1077"/>
      <c r="DY206" s="1077"/>
      <c r="DZ206" s="1077"/>
      <c r="EA206" s="1077"/>
      <c r="EB206" s="1077"/>
      <c r="EC206" s="1077"/>
      <c r="ED206" s="1077"/>
      <c r="EE206" s="1077"/>
    </row>
    <row r="207" spans="1:142" ht="3.75" customHeight="1" x14ac:dyDescent="0.25">
      <c r="A207" s="1077"/>
      <c r="B207" s="1077"/>
      <c r="C207" s="1077"/>
      <c r="D207" s="1077"/>
      <c r="E207" s="1077"/>
      <c r="F207" s="1077"/>
      <c r="G207" s="1077"/>
      <c r="H207" s="1077"/>
      <c r="I207" s="1077"/>
      <c r="J207" s="1077"/>
      <c r="K207" s="1077"/>
      <c r="L207" s="1077"/>
      <c r="M207" s="1077"/>
      <c r="N207" s="1077"/>
      <c r="O207" s="1077"/>
      <c r="P207" s="1077"/>
      <c r="Q207" s="1077"/>
      <c r="R207" s="1077"/>
      <c r="S207" s="1077"/>
      <c r="T207" s="1077"/>
      <c r="U207" s="1077"/>
      <c r="V207" s="1077"/>
      <c r="W207" s="1077"/>
      <c r="X207" s="1077"/>
      <c r="Y207" s="1077"/>
      <c r="Z207" s="1077"/>
      <c r="AA207" s="1077"/>
      <c r="AB207" s="1077"/>
      <c r="AC207" s="1077"/>
      <c r="AD207" s="1077"/>
      <c r="AE207" s="1077"/>
      <c r="AF207" s="1077"/>
      <c r="AG207" s="1077"/>
      <c r="AH207" s="1077"/>
      <c r="AI207" s="1077"/>
      <c r="AJ207" s="1077"/>
      <c r="AK207" s="1077"/>
      <c r="AL207" s="1077"/>
      <c r="AM207" s="1077"/>
      <c r="BU207" s="1102"/>
      <c r="BV207" s="1102"/>
      <c r="BW207" s="1102"/>
      <c r="BX207" s="1102"/>
      <c r="BY207" s="1077"/>
      <c r="BZ207" s="1077"/>
      <c r="CA207" s="1077"/>
      <c r="CB207" s="1077"/>
      <c r="CC207" s="1077"/>
      <c r="CD207" s="1077"/>
      <c r="CE207" s="1077"/>
      <c r="CF207" s="1077"/>
      <c r="CG207" s="1077"/>
      <c r="CH207" s="1077"/>
      <c r="CI207" s="1077"/>
      <c r="CJ207" s="1077"/>
      <c r="CK207" s="1077"/>
      <c r="CL207" s="1077"/>
      <c r="CM207" s="1077"/>
      <c r="CN207" s="1077"/>
      <c r="CO207" s="1077"/>
      <c r="CP207" s="1077"/>
      <c r="CQ207" s="1077"/>
      <c r="CR207" s="1077"/>
      <c r="CS207" s="1077"/>
      <c r="CT207" s="1077"/>
      <c r="CU207" s="1077"/>
      <c r="CV207" s="1077"/>
      <c r="CW207" s="1077"/>
      <c r="CX207" s="1077"/>
      <c r="CY207" s="1077"/>
      <c r="CZ207" s="359"/>
      <c r="DA207" s="359"/>
      <c r="DB207" s="359"/>
      <c r="DC207" s="359"/>
      <c r="DD207" s="359"/>
      <c r="DE207" s="359"/>
      <c r="DF207" s="359"/>
      <c r="DG207" s="359"/>
      <c r="DH207" s="359"/>
      <c r="DK207" s="1102"/>
      <c r="DL207" s="1102"/>
      <c r="DM207" s="1102"/>
      <c r="DN207" s="1102"/>
      <c r="DO207" s="1077"/>
      <c r="DP207" s="1077"/>
      <c r="DQ207" s="1077"/>
      <c r="DR207" s="1077"/>
      <c r="DS207" s="1077"/>
      <c r="DT207" s="1077"/>
      <c r="DU207" s="1077"/>
      <c r="DV207" s="1077"/>
      <c r="DW207" s="1077"/>
      <c r="DX207" s="1077"/>
      <c r="DY207" s="1077"/>
      <c r="DZ207" s="1077"/>
      <c r="EA207" s="1077"/>
      <c r="EB207" s="1077"/>
      <c r="EC207" s="1077"/>
      <c r="ED207" s="1077"/>
      <c r="EE207" s="1077"/>
      <c r="EF207" s="357"/>
      <c r="EG207" s="357"/>
      <c r="EH207" s="357"/>
      <c r="EI207" s="357"/>
    </row>
    <row r="208" spans="1:142" ht="3.75" customHeight="1" x14ac:dyDescent="0.25">
      <c r="A208" s="1077"/>
      <c r="B208" s="1077"/>
      <c r="C208" s="1077"/>
      <c r="D208" s="1077"/>
      <c r="E208" s="1077"/>
      <c r="F208" s="1077"/>
      <c r="G208" s="1077"/>
      <c r="H208" s="1077"/>
      <c r="I208" s="1077"/>
      <c r="J208" s="1077"/>
      <c r="K208" s="1077"/>
      <c r="L208" s="1077"/>
      <c r="M208" s="1077"/>
      <c r="N208" s="1077"/>
      <c r="O208" s="1077"/>
      <c r="P208" s="1077"/>
      <c r="Q208" s="1077"/>
      <c r="R208" s="1077"/>
      <c r="S208" s="1077"/>
      <c r="T208" s="1077"/>
      <c r="U208" s="1077"/>
      <c r="V208" s="1077"/>
      <c r="W208" s="1077"/>
      <c r="X208" s="1077"/>
      <c r="Y208" s="1077"/>
      <c r="Z208" s="1077"/>
      <c r="AA208" s="1077"/>
      <c r="AB208" s="1077"/>
      <c r="AC208" s="1077"/>
      <c r="AD208" s="1077"/>
      <c r="AE208" s="1077"/>
      <c r="AF208" s="1077"/>
      <c r="AG208" s="1077"/>
      <c r="AH208" s="1077"/>
      <c r="AI208" s="1077"/>
      <c r="AJ208" s="1077"/>
      <c r="AK208" s="1077"/>
      <c r="AL208" s="1077"/>
      <c r="AM208" s="1077"/>
      <c r="BU208" s="1102"/>
      <c r="BV208" s="1102"/>
      <c r="BW208" s="1102"/>
      <c r="BX208" s="1102"/>
      <c r="BY208" s="1077"/>
      <c r="BZ208" s="1077"/>
      <c r="CA208" s="1077"/>
      <c r="CB208" s="1077"/>
      <c r="CC208" s="1077"/>
      <c r="CD208" s="1077"/>
      <c r="CE208" s="1077"/>
      <c r="CF208" s="1077"/>
      <c r="CG208" s="1077"/>
      <c r="CH208" s="1077"/>
      <c r="CI208" s="1077"/>
      <c r="CJ208" s="1077"/>
      <c r="CK208" s="1077"/>
      <c r="CL208" s="1077"/>
      <c r="CM208" s="1077"/>
      <c r="CN208" s="1077"/>
      <c r="CO208" s="1077"/>
      <c r="CP208" s="1077"/>
      <c r="CQ208" s="1077"/>
      <c r="CR208" s="1077"/>
      <c r="CS208" s="1077"/>
      <c r="CT208" s="1077"/>
      <c r="CU208" s="1077"/>
      <c r="CV208" s="1077"/>
      <c r="CW208" s="1077"/>
      <c r="CX208" s="1077"/>
      <c r="CY208" s="1077"/>
      <c r="CZ208" s="359"/>
      <c r="DA208" s="359"/>
      <c r="DB208" s="359"/>
      <c r="DC208" s="359"/>
      <c r="DD208" s="359"/>
      <c r="DE208" s="359"/>
      <c r="DF208" s="359"/>
      <c r="DG208" s="359"/>
      <c r="DH208" s="359"/>
      <c r="DK208" s="1102"/>
      <c r="DL208" s="1102"/>
      <c r="DM208" s="1102"/>
      <c r="DN208" s="1102"/>
      <c r="DO208" s="1077"/>
      <c r="DP208" s="1077"/>
      <c r="DQ208" s="1077"/>
      <c r="DR208" s="1077"/>
      <c r="DS208" s="1077"/>
      <c r="DT208" s="1077"/>
      <c r="DU208" s="1077"/>
      <c r="DV208" s="1077"/>
      <c r="DW208" s="1077"/>
      <c r="DX208" s="1077"/>
      <c r="DY208" s="1077"/>
      <c r="DZ208" s="1077"/>
      <c r="EA208" s="1077"/>
      <c r="EB208" s="1077"/>
      <c r="EC208" s="1077"/>
      <c r="ED208" s="1077"/>
      <c r="EE208" s="1077"/>
      <c r="EF208" s="357"/>
      <c r="EG208" s="357"/>
      <c r="EH208" s="357"/>
      <c r="EI208" s="357"/>
    </row>
    <row r="209" spans="1:139" ht="3.75" customHeight="1" x14ac:dyDescent="0.25">
      <c r="A209" s="1077"/>
      <c r="B209" s="1077"/>
      <c r="C209" s="1077"/>
      <c r="D209" s="1077"/>
      <c r="E209" s="1077"/>
      <c r="F209" s="1077"/>
      <c r="G209" s="1077"/>
      <c r="H209" s="1077"/>
      <c r="I209" s="1077"/>
      <c r="J209" s="1077"/>
      <c r="K209" s="1077"/>
      <c r="L209" s="1077"/>
      <c r="M209" s="1077"/>
      <c r="N209" s="1077"/>
      <c r="O209" s="1077"/>
      <c r="P209" s="1077"/>
      <c r="Q209" s="1077"/>
      <c r="R209" s="1077"/>
      <c r="S209" s="1077"/>
      <c r="T209" s="1077"/>
      <c r="U209" s="1077"/>
      <c r="V209" s="1077"/>
      <c r="W209" s="1077"/>
      <c r="X209" s="1077"/>
      <c r="Y209" s="1077"/>
      <c r="Z209" s="1077"/>
      <c r="AA209" s="1077"/>
      <c r="AB209" s="1077"/>
      <c r="AC209" s="1077"/>
      <c r="AD209" s="1077"/>
      <c r="AE209" s="1077"/>
      <c r="AF209" s="1077"/>
      <c r="AG209" s="1077"/>
      <c r="AH209" s="1077"/>
      <c r="AI209" s="1077"/>
      <c r="AJ209" s="1077"/>
      <c r="AK209" s="1077"/>
      <c r="AL209" s="1077"/>
      <c r="AM209" s="1077"/>
      <c r="BU209" s="1102"/>
      <c r="BV209" s="1102"/>
      <c r="BW209" s="1102"/>
      <c r="BX209" s="1102"/>
      <c r="BY209" s="1077"/>
      <c r="BZ209" s="1077"/>
      <c r="CA209" s="1077"/>
      <c r="CB209" s="1077"/>
      <c r="CC209" s="1077"/>
      <c r="CD209" s="1077"/>
      <c r="CE209" s="1077"/>
      <c r="CF209" s="1077"/>
      <c r="CG209" s="1077"/>
      <c r="CH209" s="1077"/>
      <c r="CI209" s="1077"/>
      <c r="CJ209" s="1077"/>
      <c r="CK209" s="1077"/>
      <c r="CL209" s="1077"/>
      <c r="CM209" s="1077"/>
      <c r="CN209" s="1077"/>
      <c r="CO209" s="1077"/>
      <c r="CP209" s="1077"/>
      <c r="CQ209" s="1077"/>
      <c r="CR209" s="1077"/>
      <c r="CS209" s="1077"/>
      <c r="CT209" s="1077"/>
      <c r="CU209" s="1077"/>
      <c r="CV209" s="1077"/>
      <c r="CW209" s="1077"/>
      <c r="CX209" s="1077"/>
      <c r="CY209" s="1077"/>
      <c r="CZ209" s="359"/>
      <c r="DA209" s="359"/>
      <c r="DB209" s="359"/>
      <c r="DC209" s="359"/>
      <c r="DD209" s="359"/>
      <c r="DE209" s="359"/>
      <c r="DF209" s="359"/>
      <c r="DG209" s="359"/>
      <c r="DH209" s="359"/>
      <c r="DK209" s="1102"/>
      <c r="DL209" s="1102"/>
      <c r="DM209" s="1102"/>
      <c r="DN209" s="1102"/>
      <c r="DO209" s="1077"/>
      <c r="DP209" s="1077"/>
      <c r="DQ209" s="1077"/>
      <c r="DR209" s="1077"/>
      <c r="DS209" s="1077"/>
      <c r="DT209" s="1077"/>
      <c r="DU209" s="1077"/>
      <c r="DV209" s="1077"/>
      <c r="DW209" s="1077"/>
      <c r="DX209" s="1077"/>
      <c r="DY209" s="1077"/>
      <c r="DZ209" s="1077"/>
      <c r="EA209" s="1077"/>
      <c r="EB209" s="1077"/>
      <c r="EC209" s="1077"/>
      <c r="ED209" s="1077"/>
      <c r="EE209" s="1077"/>
      <c r="EF209" s="357"/>
      <c r="EG209" s="357"/>
      <c r="EH209" s="357"/>
      <c r="EI209" s="357"/>
    </row>
  </sheetData>
  <mergeCells count="382">
    <mergeCell ref="A4:T7"/>
    <mergeCell ref="AA4:DG9"/>
    <mergeCell ref="DN4:EL7"/>
    <mergeCell ref="A8:T11"/>
    <mergeCell ref="DN8:EL11"/>
    <mergeCell ref="AA10:DG12"/>
    <mergeCell ref="DI64:DY68"/>
    <mergeCell ref="DI69:DY73"/>
    <mergeCell ref="DI74:DY78"/>
    <mergeCell ref="CQ64:DG68"/>
    <mergeCell ref="CQ69:DG73"/>
    <mergeCell ref="CQ74:DG78"/>
    <mergeCell ref="DI60:DY62"/>
    <mergeCell ref="CQ60:DG62"/>
    <mergeCell ref="AM64:BB68"/>
    <mergeCell ref="AM69:BB73"/>
    <mergeCell ref="AM74:BB78"/>
    <mergeCell ref="A25:M27"/>
    <mergeCell ref="BL25:BS27"/>
    <mergeCell ref="CS25:CX27"/>
    <mergeCell ref="DQ26:EL28"/>
    <mergeCell ref="N14:AE21"/>
    <mergeCell ref="AT14:BQ21"/>
    <mergeCell ref="BS14:EL15"/>
    <mergeCell ref="A15:M17"/>
    <mergeCell ref="AF15:AS17"/>
    <mergeCell ref="BS17:EL21"/>
    <mergeCell ref="A18:M20"/>
    <mergeCell ref="AF18:AS20"/>
    <mergeCell ref="EM27:FJ30"/>
    <mergeCell ref="AH31:AY38"/>
    <mergeCell ref="CA31:CX38"/>
    <mergeCell ref="DN31:DP33"/>
    <mergeCell ref="DQ31:EC33"/>
    <mergeCell ref="EM31:FJ35"/>
    <mergeCell ref="DQ23:EL25"/>
    <mergeCell ref="N24:BJ27"/>
    <mergeCell ref="BT24:CQ27"/>
    <mergeCell ref="CY24:DO27"/>
    <mergeCell ref="A32:AF37"/>
    <mergeCell ref="BI32:BY37"/>
    <mergeCell ref="DN35:DP37"/>
    <mergeCell ref="DQ35:EC37"/>
    <mergeCell ref="EM37:FJ40"/>
    <mergeCell ref="BU206:BX209"/>
    <mergeCell ref="BY206:CY209"/>
    <mergeCell ref="DK206:DN209"/>
    <mergeCell ref="DO206:EE209"/>
    <mergeCell ref="A50:C63"/>
    <mergeCell ref="E50:G63"/>
    <mergeCell ref="I50:K63"/>
    <mergeCell ref="Q79:U83"/>
    <mergeCell ref="W79:AK83"/>
    <mergeCell ref="Q74:U78"/>
    <mergeCell ref="W74:AK78"/>
    <mergeCell ref="BP65:BR67"/>
    <mergeCell ref="BP60:BR63"/>
    <mergeCell ref="BU50:BW63"/>
    <mergeCell ref="BY50:CA63"/>
    <mergeCell ref="AM79:BB83"/>
    <mergeCell ref="AM60:BB62"/>
    <mergeCell ref="BU80:BW82"/>
    <mergeCell ref="BY80:CA82"/>
    <mergeCell ref="BU70:BW72"/>
    <mergeCell ref="BY70:CA72"/>
    <mergeCell ref="CC70:CE72"/>
    <mergeCell ref="CG70:CI72"/>
    <mergeCell ref="BU75:BW77"/>
    <mergeCell ref="EM41:FJ45"/>
    <mergeCell ref="A46:W48"/>
    <mergeCell ref="Y46:AA48"/>
    <mergeCell ref="AB46:AY48"/>
    <mergeCell ref="BE46:BG48"/>
    <mergeCell ref="BH46:CT48"/>
    <mergeCell ref="Q60:U62"/>
    <mergeCell ref="W60:AK62"/>
    <mergeCell ref="A41:W43"/>
    <mergeCell ref="Y41:AA43"/>
    <mergeCell ref="AB41:AH43"/>
    <mergeCell ref="AV41:AX43"/>
    <mergeCell ref="AY41:BN43"/>
    <mergeCell ref="CF41:CH43"/>
    <mergeCell ref="CI41:CS43"/>
    <mergeCell ref="DE41:DG43"/>
    <mergeCell ref="DH41:DY43"/>
    <mergeCell ref="S53:AO55"/>
    <mergeCell ref="BD60:BF63"/>
    <mergeCell ref="BE52:BF58"/>
    <mergeCell ref="BN52:BO58"/>
    <mergeCell ref="EA60:EL61"/>
    <mergeCell ref="EA62:EL63"/>
    <mergeCell ref="A80:C82"/>
    <mergeCell ref="E80:G82"/>
    <mergeCell ref="I80:K82"/>
    <mergeCell ref="M80:O82"/>
    <mergeCell ref="BD80:BF82"/>
    <mergeCell ref="BH80:BJ82"/>
    <mergeCell ref="BL80:BN82"/>
    <mergeCell ref="A75:C77"/>
    <mergeCell ref="E75:G77"/>
    <mergeCell ref="I75:K77"/>
    <mergeCell ref="M75:O77"/>
    <mergeCell ref="A65:C67"/>
    <mergeCell ref="E65:G67"/>
    <mergeCell ref="I65:K67"/>
    <mergeCell ref="M65:O67"/>
    <mergeCell ref="Q69:U73"/>
    <mergeCell ref="W69:AK73"/>
    <mergeCell ref="A70:C72"/>
    <mergeCell ref="BH60:BJ63"/>
    <mergeCell ref="BL60:BN63"/>
    <mergeCell ref="BD70:BF72"/>
    <mergeCell ref="BH70:BJ72"/>
    <mergeCell ref="BL70:BN72"/>
    <mergeCell ref="BP70:BR72"/>
    <mergeCell ref="CC50:CE63"/>
    <mergeCell ref="CG50:CI63"/>
    <mergeCell ref="E70:G72"/>
    <mergeCell ref="I70:K72"/>
    <mergeCell ref="M70:O72"/>
    <mergeCell ref="Q64:U68"/>
    <mergeCell ref="W64:AK68"/>
    <mergeCell ref="BL65:BN67"/>
    <mergeCell ref="BH65:BJ67"/>
    <mergeCell ref="D129:H131"/>
    <mergeCell ref="CC80:CE82"/>
    <mergeCell ref="CG80:CI82"/>
    <mergeCell ref="CU53:DR55"/>
    <mergeCell ref="CC75:CE77"/>
    <mergeCell ref="CG75:CI77"/>
    <mergeCell ref="CK79:CO83"/>
    <mergeCell ref="BU65:BW67"/>
    <mergeCell ref="BY65:CA67"/>
    <mergeCell ref="CC65:CE67"/>
    <mergeCell ref="CG65:CI67"/>
    <mergeCell ref="CK64:CO68"/>
    <mergeCell ref="CK74:CO78"/>
    <mergeCell ref="CK69:CO73"/>
    <mergeCell ref="CK60:CO62"/>
    <mergeCell ref="CQ79:DG83"/>
    <mergeCell ref="BP80:BR82"/>
    <mergeCell ref="BD75:BF77"/>
    <mergeCell ref="BH75:BJ77"/>
    <mergeCell ref="BL75:BN77"/>
    <mergeCell ref="BP75:BR77"/>
    <mergeCell ref="DI79:DY83"/>
    <mergeCell ref="BD65:BF67"/>
    <mergeCell ref="M55:O63"/>
    <mergeCell ref="D116:H118"/>
    <mergeCell ref="AA116:AE118"/>
    <mergeCell ref="AW116:BA118"/>
    <mergeCell ref="M110:T111"/>
    <mergeCell ref="AJ110:AQ111"/>
    <mergeCell ref="BF110:BM111"/>
    <mergeCell ref="J115:W119"/>
    <mergeCell ref="AG115:AT119"/>
    <mergeCell ref="BC115:BP119"/>
    <mergeCell ref="AA129:AE131"/>
    <mergeCell ref="AW129:BA131"/>
    <mergeCell ref="K137:M139"/>
    <mergeCell ref="O137:AN139"/>
    <mergeCell ref="AQ137:AS139"/>
    <mergeCell ref="CU103:DK105"/>
    <mergeCell ref="CG112:CN113"/>
    <mergeCell ref="DD112:DK113"/>
    <mergeCell ref="CD135:CQ139"/>
    <mergeCell ref="DA135:DN139"/>
    <mergeCell ref="AU137:BJ139"/>
    <mergeCell ref="AB103:AR105"/>
    <mergeCell ref="M123:T124"/>
    <mergeCell ref="AJ123:AQ124"/>
    <mergeCell ref="BF123:BM124"/>
    <mergeCell ref="J128:W132"/>
    <mergeCell ref="AG128:AT132"/>
    <mergeCell ref="BC128:BP132"/>
    <mergeCell ref="DW135:EJ139"/>
    <mergeCell ref="BX136:CB138"/>
    <mergeCell ref="CU136:CY138"/>
    <mergeCell ref="DQ136:DU138"/>
    <mergeCell ref="CY108:DG110"/>
    <mergeCell ref="CW125:DJ127"/>
    <mergeCell ref="EA64:EL68"/>
    <mergeCell ref="EA69:EL73"/>
    <mergeCell ref="EA74:EL78"/>
    <mergeCell ref="EA79:EL83"/>
    <mergeCell ref="DZ112:EG113"/>
    <mergeCell ref="CD117:CQ121"/>
    <mergeCell ref="DA117:DN121"/>
    <mergeCell ref="DW117:EJ121"/>
    <mergeCell ref="BX118:CB120"/>
    <mergeCell ref="CU118:CY120"/>
    <mergeCell ref="DQ118:DU120"/>
    <mergeCell ref="CG130:CN131"/>
    <mergeCell ref="DD130:DK131"/>
    <mergeCell ref="DZ130:EG131"/>
    <mergeCell ref="BY75:CA77"/>
    <mergeCell ref="Q84:U88"/>
    <mergeCell ref="W84:AK88"/>
    <mergeCell ref="AM84:BB88"/>
    <mergeCell ref="CK84:CO88"/>
    <mergeCell ref="CQ84:DG88"/>
    <mergeCell ref="DI84:DY88"/>
    <mergeCell ref="EA84:EL88"/>
    <mergeCell ref="A85:C87"/>
    <mergeCell ref="E85:G87"/>
    <mergeCell ref="I85:K87"/>
    <mergeCell ref="M85:O87"/>
    <mergeCell ref="BD85:BF87"/>
    <mergeCell ref="BH85:BJ87"/>
    <mergeCell ref="BL85:BN87"/>
    <mergeCell ref="BP85:BR87"/>
    <mergeCell ref="BU85:BW87"/>
    <mergeCell ref="BY85:CA87"/>
    <mergeCell ref="CC85:CE87"/>
    <mergeCell ref="CG85:CI87"/>
    <mergeCell ref="Q89:U93"/>
    <mergeCell ref="W89:AK93"/>
    <mergeCell ref="AM89:BB93"/>
    <mergeCell ref="CK89:CO93"/>
    <mergeCell ref="CQ89:DG93"/>
    <mergeCell ref="DI89:DY93"/>
    <mergeCell ref="EA89:EL93"/>
    <mergeCell ref="A90:C92"/>
    <mergeCell ref="E90:G92"/>
    <mergeCell ref="I90:K92"/>
    <mergeCell ref="M90:O92"/>
    <mergeCell ref="BD90:BF92"/>
    <mergeCell ref="BH90:BJ92"/>
    <mergeCell ref="BL90:BN92"/>
    <mergeCell ref="BP90:BR92"/>
    <mergeCell ref="BU90:BW92"/>
    <mergeCell ref="BY90:CA92"/>
    <mergeCell ref="CC90:CE92"/>
    <mergeCell ref="CG90:CI92"/>
    <mergeCell ref="Q94:U98"/>
    <mergeCell ref="W94:AK98"/>
    <mergeCell ref="AM94:BB98"/>
    <mergeCell ref="CK94:CO98"/>
    <mergeCell ref="CQ94:DG98"/>
    <mergeCell ref="DI94:DY98"/>
    <mergeCell ref="EA94:EL98"/>
    <mergeCell ref="A95:C97"/>
    <mergeCell ref="E95:G97"/>
    <mergeCell ref="I95:K97"/>
    <mergeCell ref="M95:O97"/>
    <mergeCell ref="BD95:BF97"/>
    <mergeCell ref="BH95:BJ97"/>
    <mergeCell ref="BL95:BN97"/>
    <mergeCell ref="BP95:BR97"/>
    <mergeCell ref="BU95:BW97"/>
    <mergeCell ref="BY95:CA97"/>
    <mergeCell ref="CC95:CE97"/>
    <mergeCell ref="CG95:CI97"/>
    <mergeCell ref="AB145:AQ147"/>
    <mergeCell ref="AE142:AN144"/>
    <mergeCell ref="H148:S149"/>
    <mergeCell ref="H150:S151"/>
    <mergeCell ref="B152:D165"/>
    <mergeCell ref="R152:T165"/>
    <mergeCell ref="V152:X165"/>
    <mergeCell ref="J157:L165"/>
    <mergeCell ref="N157:P165"/>
    <mergeCell ref="F158:H165"/>
    <mergeCell ref="N182:P184"/>
    <mergeCell ref="R182:T184"/>
    <mergeCell ref="V182:X184"/>
    <mergeCell ref="B167:D169"/>
    <mergeCell ref="F167:H169"/>
    <mergeCell ref="J167:L169"/>
    <mergeCell ref="N167:P169"/>
    <mergeCell ref="R167:T169"/>
    <mergeCell ref="V167:X169"/>
    <mergeCell ref="B172:D174"/>
    <mergeCell ref="F172:H174"/>
    <mergeCell ref="J172:L174"/>
    <mergeCell ref="N172:P174"/>
    <mergeCell ref="R172:T174"/>
    <mergeCell ref="V172:X174"/>
    <mergeCell ref="AV176:BJ180"/>
    <mergeCell ref="Z181:AD185"/>
    <mergeCell ref="AF181:AT185"/>
    <mergeCell ref="AV181:BJ185"/>
    <mergeCell ref="Z166:AD170"/>
    <mergeCell ref="BN146:BO156"/>
    <mergeCell ref="BG146:BL147"/>
    <mergeCell ref="B187:D189"/>
    <mergeCell ref="F187:H189"/>
    <mergeCell ref="J187:L189"/>
    <mergeCell ref="N187:P189"/>
    <mergeCell ref="R187:T189"/>
    <mergeCell ref="V187:X189"/>
    <mergeCell ref="Z162:AD164"/>
    <mergeCell ref="Z186:AD190"/>
    <mergeCell ref="B177:D179"/>
    <mergeCell ref="F177:H179"/>
    <mergeCell ref="J177:L179"/>
    <mergeCell ref="N177:P179"/>
    <mergeCell ref="R177:T179"/>
    <mergeCell ref="V177:X179"/>
    <mergeCell ref="B182:D184"/>
    <mergeCell ref="F182:H184"/>
    <mergeCell ref="J182:L184"/>
    <mergeCell ref="AF186:AT190"/>
    <mergeCell ref="AV186:BJ190"/>
    <mergeCell ref="AM152:BB159"/>
    <mergeCell ref="Z155:AL157"/>
    <mergeCell ref="BG144:BN145"/>
    <mergeCell ref="AX149:BE150"/>
    <mergeCell ref="BG157:BN158"/>
    <mergeCell ref="BQ147:BR155"/>
    <mergeCell ref="BL166:BR170"/>
    <mergeCell ref="BL171:BR175"/>
    <mergeCell ref="BL176:BR180"/>
    <mergeCell ref="BL181:BR185"/>
    <mergeCell ref="BL186:BR190"/>
    <mergeCell ref="BL162:BR163"/>
    <mergeCell ref="BL164:BR165"/>
    <mergeCell ref="AF166:AT170"/>
    <mergeCell ref="AV166:BJ170"/>
    <mergeCell ref="AF162:AT164"/>
    <mergeCell ref="AV162:BJ164"/>
    <mergeCell ref="Z171:AD175"/>
    <mergeCell ref="AF171:AT175"/>
    <mergeCell ref="AV171:BJ175"/>
    <mergeCell ref="Z176:AD180"/>
    <mergeCell ref="AF176:AT180"/>
    <mergeCell ref="Z191:AD195"/>
    <mergeCell ref="AF191:AT195"/>
    <mergeCell ref="AV191:BJ195"/>
    <mergeCell ref="BL191:BR195"/>
    <mergeCell ref="B192:D194"/>
    <mergeCell ref="F192:H194"/>
    <mergeCell ref="J192:L194"/>
    <mergeCell ref="N192:P194"/>
    <mergeCell ref="R192:T194"/>
    <mergeCell ref="V192:X194"/>
    <mergeCell ref="AF196:AT200"/>
    <mergeCell ref="AV196:BJ200"/>
    <mergeCell ref="BL196:BR200"/>
    <mergeCell ref="B197:D199"/>
    <mergeCell ref="F197:H199"/>
    <mergeCell ref="J197:L199"/>
    <mergeCell ref="N197:P199"/>
    <mergeCell ref="R197:T199"/>
    <mergeCell ref="V197:X199"/>
    <mergeCell ref="A206:AM209"/>
    <mergeCell ref="CS144:DN146"/>
    <mergeCell ref="CC150:CG152"/>
    <mergeCell ref="CI150:CW152"/>
    <mergeCell ref="CY150:DM152"/>
    <mergeCell ref="CC154:CG158"/>
    <mergeCell ref="CI154:CW158"/>
    <mergeCell ref="CY154:DM158"/>
    <mergeCell ref="DO150:EC152"/>
    <mergeCell ref="DO154:EC158"/>
    <mergeCell ref="CC159:CG163"/>
    <mergeCell ref="CI159:CW163"/>
    <mergeCell ref="CY159:DM163"/>
    <mergeCell ref="DO159:EC163"/>
    <mergeCell ref="CC164:CG168"/>
    <mergeCell ref="CI164:CW168"/>
    <mergeCell ref="CY164:DM168"/>
    <mergeCell ref="DO164:EC168"/>
    <mergeCell ref="CC169:CG173"/>
    <mergeCell ref="CI169:CW173"/>
    <mergeCell ref="CY169:DM173"/>
    <mergeCell ref="DO169:EC173"/>
    <mergeCell ref="CD175:CF177"/>
    <mergeCell ref="Z196:AD200"/>
    <mergeCell ref="CH175:DG177"/>
    <mergeCell ref="DJ175:DL177"/>
    <mergeCell ref="DN175:EC177"/>
    <mergeCell ref="BU189:CI191"/>
    <mergeCell ref="BU197:CP199"/>
    <mergeCell ref="CS188:DF192"/>
    <mergeCell ref="CS196:DF200"/>
    <mergeCell ref="DY182:EL186"/>
    <mergeCell ref="DY193:EL197"/>
    <mergeCell ref="DK182:DW184"/>
    <mergeCell ref="DK185:DX186"/>
    <mergeCell ref="DK194:DW196"/>
    <mergeCell ref="CG181:CV183"/>
  </mergeCells>
  <phoneticPr fontId="43" type="noConversion"/>
  <printOptions horizontalCentered="1" verticalCentered="1"/>
  <pageMargins left="0.2" right="0.2" top="0.25" bottom="0.2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72084B-909B-47F9-A450-044CB4F3C3DC}">
          <x14:formula1>
            <xm:f>'Data Conversions'!$X$3:$X$36</xm:f>
          </x14:formula1>
          <xm:sqref>EM31:FJ35</xm:sqref>
        </x14:dataValidation>
        <x14:dataValidation type="list" allowBlank="1" showInputMessage="1" showErrorMessage="1" xr:uid="{2A69ED52-21E2-4DFE-BE6B-174CF74EBB6F}">
          <x14:formula1>
            <xm:f>'Data Conversions'!$X$41:$X$58</xm:f>
          </x14:formula1>
          <xm:sqref>EM41:FJ45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EF62-1F02-46DD-B1AC-43FEAD9B0C93}">
  <sheetPr codeName="Sheet12">
    <pageSetUpPr autoPageBreaks="0" fitToPage="1"/>
  </sheetPr>
  <dimension ref="A1:Q67"/>
  <sheetViews>
    <sheetView showZeros="0" zoomScaleNormal="100" workbookViewId="0">
      <selection activeCell="J29" sqref="J29"/>
    </sheetView>
  </sheetViews>
  <sheetFormatPr defaultColWidth="9.140625" defaultRowHeight="15.75" x14ac:dyDescent="0.25"/>
  <cols>
    <col min="1" max="1" width="2.85546875" style="131" customWidth="1"/>
    <col min="2" max="2" width="20.7109375" style="131" customWidth="1"/>
    <col min="3" max="3" width="12.7109375" style="131" customWidth="1"/>
    <col min="4" max="4" width="22.7109375" style="131" customWidth="1"/>
    <col min="5" max="5" width="3.140625" style="131" customWidth="1"/>
    <col min="6" max="6" width="2" style="131" customWidth="1"/>
    <col min="7" max="7" width="7.28515625" style="131" customWidth="1"/>
    <col min="8" max="8" width="7.42578125" style="131" customWidth="1"/>
    <col min="9" max="9" width="14.7109375" style="131" customWidth="1"/>
    <col min="10" max="10" width="21.140625" style="131" customWidth="1"/>
    <col min="11" max="11" width="31.28515625" style="131" customWidth="1"/>
    <col min="12" max="12" width="2.85546875" style="131" customWidth="1"/>
    <col min="13" max="13" width="25.7109375" style="131" customWidth="1"/>
    <col min="14" max="14" width="9.140625" style="131" customWidth="1"/>
    <col min="15" max="16384" width="9.140625" style="131"/>
  </cols>
  <sheetData>
    <row r="1" spans="1:17" x14ac:dyDescent="0.25">
      <c r="A1" s="459"/>
      <c r="B1" s="455" t="s">
        <v>43</v>
      </c>
      <c r="C1" s="127"/>
      <c r="D1" s="127"/>
      <c r="E1" s="127"/>
      <c r="F1" s="128"/>
      <c r="G1" s="128"/>
      <c r="H1" s="128"/>
      <c r="I1" s="128"/>
      <c r="J1" s="128"/>
      <c r="K1" s="454" t="s">
        <v>833</v>
      </c>
    </row>
    <row r="2" spans="1:17" x14ac:dyDescent="0.25">
      <c r="A2" s="459"/>
      <c r="B2" s="138" t="s">
        <v>43</v>
      </c>
      <c r="C2" s="136"/>
      <c r="D2" s="136"/>
      <c r="E2" s="136"/>
      <c r="F2" s="136"/>
      <c r="G2" s="136"/>
      <c r="H2" s="136"/>
      <c r="I2" s="136"/>
      <c r="J2" s="136"/>
      <c r="K2" s="137"/>
    </row>
    <row r="3" spans="1:17" ht="15" customHeight="1" x14ac:dyDescent="0.25">
      <c r="A3" s="459"/>
      <c r="B3" s="138" t="s">
        <v>43</v>
      </c>
      <c r="C3" s="136"/>
      <c r="D3" s="136"/>
      <c r="E3" s="136"/>
      <c r="F3" s="136"/>
      <c r="G3" s="136"/>
      <c r="H3" s="136"/>
      <c r="I3" s="136"/>
      <c r="J3" s="136"/>
      <c r="K3" s="137"/>
    </row>
    <row r="4" spans="1:17" ht="15" customHeight="1" x14ac:dyDescent="0.25">
      <c r="A4" s="459"/>
      <c r="B4" s="138"/>
      <c r="C4" s="136"/>
      <c r="D4" s="136"/>
      <c r="E4" s="138"/>
      <c r="F4" s="136"/>
      <c r="G4" s="136"/>
      <c r="H4" s="136"/>
      <c r="I4" s="139" t="s">
        <v>118</v>
      </c>
      <c r="J4" s="762">
        <f ca="1">TODAY()</f>
        <v>46160</v>
      </c>
      <c r="K4" s="763"/>
    </row>
    <row r="5" spans="1:17" ht="15" customHeight="1" x14ac:dyDescent="0.25">
      <c r="A5" s="459"/>
      <c r="B5" s="136"/>
      <c r="C5" s="136"/>
      <c r="D5" s="136"/>
      <c r="E5" s="136"/>
      <c r="F5" s="136"/>
      <c r="G5" s="136"/>
      <c r="H5" s="141"/>
      <c r="I5" s="142"/>
      <c r="J5" s="143"/>
      <c r="K5" s="144"/>
    </row>
    <row r="6" spans="1:17" ht="15" customHeight="1" x14ac:dyDescent="0.25">
      <c r="A6" s="459"/>
      <c r="C6" s="136"/>
      <c r="D6" s="136"/>
      <c r="E6" s="136"/>
      <c r="F6" s="136"/>
      <c r="G6" s="136"/>
      <c r="H6" s="141"/>
      <c r="I6" s="142" t="s">
        <v>119</v>
      </c>
      <c r="J6" s="764">
        <f>'Data Entry'!B5</f>
        <v>0</v>
      </c>
      <c r="K6" s="765"/>
    </row>
    <row r="7" spans="1:17" ht="15" customHeight="1" x14ac:dyDescent="0.25">
      <c r="A7" s="459"/>
      <c r="B7" s="136" t="s">
        <v>120</v>
      </c>
      <c r="C7" s="136"/>
      <c r="D7" s="136"/>
      <c r="E7" s="136"/>
      <c r="F7" s="136"/>
      <c r="G7" s="136"/>
      <c r="H7" s="141"/>
      <c r="I7" s="145"/>
      <c r="J7" s="145"/>
      <c r="K7" s="146"/>
    </row>
    <row r="8" spans="1:17" ht="15" customHeight="1" x14ac:dyDescent="0.25">
      <c r="A8" s="459"/>
      <c r="B8" s="136" t="s">
        <v>121</v>
      </c>
      <c r="C8" s="136"/>
      <c r="D8" s="136"/>
      <c r="E8" s="136"/>
      <c r="F8" s="136"/>
      <c r="G8" s="136"/>
      <c r="H8" s="141"/>
      <c r="I8" s="142" t="s">
        <v>122</v>
      </c>
      <c r="J8" s="775" t="str">
        <f>'Data Entry'!B7&amp;" - "&amp;'Data Entry'!B9</f>
        <v xml:space="preserve"> - </v>
      </c>
      <c r="K8" s="776"/>
    </row>
    <row r="9" spans="1:17" ht="15" customHeight="1" x14ac:dyDescent="0.25">
      <c r="A9" s="459"/>
      <c r="B9" s="766" t="str">
        <f xml:space="preserve"> 'Data Entry'!B5 &amp; " - " &amp; 'Data Entry'!B7 &amp; " - " &amp; 'Data Entry'!B9</f>
        <v xml:space="preserve"> -  - </v>
      </c>
      <c r="C9" s="766"/>
      <c r="D9" s="766"/>
      <c r="E9" s="136"/>
      <c r="F9" s="136"/>
      <c r="G9" s="136"/>
      <c r="H9" s="141"/>
      <c r="I9" s="145"/>
      <c r="J9" s="145"/>
      <c r="K9" s="146"/>
    </row>
    <row r="10" spans="1:17" ht="15" customHeight="1" x14ac:dyDescent="0.25">
      <c r="A10" s="459"/>
      <c r="B10" s="136"/>
      <c r="C10" s="136"/>
      <c r="D10" s="136"/>
      <c r="E10" s="136"/>
      <c r="F10" s="136"/>
      <c r="G10" s="136"/>
      <c r="H10" s="772"/>
      <c r="I10" s="772"/>
      <c r="J10" s="773"/>
      <c r="K10" s="774"/>
    </row>
    <row r="11" spans="1:17" x14ac:dyDescent="0.25">
      <c r="A11" s="459"/>
      <c r="B11" s="456" t="s">
        <v>125</v>
      </c>
      <c r="C11" s="149"/>
      <c r="D11" s="149"/>
      <c r="E11" s="149"/>
      <c r="F11" s="150"/>
      <c r="G11" s="136"/>
      <c r="H11" s="141"/>
      <c r="I11" s="142" t="s">
        <v>126</v>
      </c>
      <c r="J11" s="141"/>
      <c r="K11" s="144"/>
    </row>
    <row r="12" spans="1:17" x14ac:dyDescent="0.25">
      <c r="A12" s="459"/>
      <c r="B12" s="138"/>
      <c r="C12" s="136"/>
      <c r="D12" s="136"/>
      <c r="E12" s="136"/>
      <c r="F12" s="152"/>
      <c r="G12" s="136"/>
      <c r="H12" s="136"/>
      <c r="I12" s="136" t="s">
        <v>43</v>
      </c>
      <c r="J12" s="153" t="s">
        <v>3</v>
      </c>
      <c r="K12" s="154"/>
    </row>
    <row r="13" spans="1:17" ht="20.25" customHeight="1" x14ac:dyDescent="0.25">
      <c r="A13" s="459"/>
      <c r="B13" s="138"/>
      <c r="C13" s="1181" t="s">
        <v>127</v>
      </c>
      <c r="D13" s="1181"/>
      <c r="E13" s="1181"/>
      <c r="F13" s="155"/>
      <c r="G13" s="136"/>
      <c r="H13" s="766" t="s">
        <v>128</v>
      </c>
      <c r="I13" s="766"/>
      <c r="J13" s="153" t="s">
        <v>129</v>
      </c>
      <c r="K13" s="154"/>
    </row>
    <row r="14" spans="1:17" ht="20.25" customHeight="1" x14ac:dyDescent="0.25">
      <c r="A14" s="459"/>
      <c r="B14" s="457"/>
      <c r="C14" s="1181"/>
      <c r="D14" s="1181"/>
      <c r="E14" s="1181"/>
      <c r="F14" s="155"/>
      <c r="G14" s="136"/>
      <c r="H14" s="1182" t="str">
        <f>'Data Entry'!F3</f>
        <v>SCOTT</v>
      </c>
      <c r="I14" s="1183"/>
      <c r="J14" s="153" t="s">
        <v>130</v>
      </c>
      <c r="K14" s="154"/>
    </row>
    <row r="15" spans="1:17" x14ac:dyDescent="0.25">
      <c r="A15" s="459"/>
      <c r="B15" s="138"/>
      <c r="C15" s="136"/>
      <c r="D15" s="136"/>
      <c r="E15" s="136"/>
      <c r="F15" s="152"/>
      <c r="G15" s="136"/>
      <c r="H15" s="1184"/>
      <c r="I15" s="1185"/>
      <c r="J15" s="153" t="s">
        <v>131</v>
      </c>
      <c r="K15" s="154"/>
      <c r="Q15" s="447"/>
    </row>
    <row r="16" spans="1:17" x14ac:dyDescent="0.25">
      <c r="A16" s="459"/>
      <c r="B16" s="458"/>
      <c r="C16" s="158"/>
      <c r="D16" s="158"/>
      <c r="E16" s="158"/>
      <c r="F16" s="159"/>
      <c r="G16" s="136"/>
      <c r="H16" s="136"/>
      <c r="I16" s="136" t="s">
        <v>43</v>
      </c>
      <c r="J16" s="153" t="s">
        <v>132</v>
      </c>
      <c r="K16" s="154"/>
      <c r="Q16" s="448"/>
    </row>
    <row r="17" spans="1:17" ht="16.5" thickBot="1" x14ac:dyDescent="0.3">
      <c r="A17" s="459"/>
      <c r="B17" s="450"/>
      <c r="C17" s="450"/>
      <c r="D17" s="450"/>
      <c r="E17" s="450"/>
      <c r="F17" s="450"/>
      <c r="G17" s="451"/>
      <c r="H17" s="451"/>
      <c r="I17" s="451"/>
      <c r="J17" s="451"/>
      <c r="K17" s="452"/>
      <c r="Q17" s="447"/>
    </row>
    <row r="18" spans="1:17" x14ac:dyDescent="0.25">
      <c r="B18"/>
      <c r="C18"/>
      <c r="D18"/>
      <c r="E18"/>
      <c r="F18"/>
      <c r="G18"/>
      <c r="H18"/>
      <c r="I18"/>
      <c r="J18"/>
      <c r="K18"/>
      <c r="Q18" s="447"/>
    </row>
    <row r="19" spans="1:17" x14ac:dyDescent="0.25">
      <c r="B19" s="1186" t="s">
        <v>823</v>
      </c>
      <c r="C19" s="1186"/>
      <c r="D19" s="1186"/>
      <c r="E19" s="1186"/>
      <c r="F19" s="1186"/>
      <c r="G19"/>
      <c r="H19" s="88"/>
      <c r="I19"/>
      <c r="J19"/>
      <c r="K19"/>
      <c r="M19" s="129"/>
      <c r="O19" s="97"/>
      <c r="Q19" s="447"/>
    </row>
    <row r="20" spans="1:17" x14ac:dyDescent="0.25">
      <c r="B20"/>
      <c r="C20"/>
      <c r="D20"/>
      <c r="E20"/>
      <c r="F20"/>
      <c r="G20"/>
      <c r="H20"/>
      <c r="I20"/>
      <c r="J20"/>
      <c r="K20"/>
      <c r="M20" s="68"/>
      <c r="Q20" s="448"/>
    </row>
    <row r="21" spans="1:17" x14ac:dyDescent="0.25">
      <c r="B21" s="1180" t="s">
        <v>834</v>
      </c>
      <c r="C21" s="1180"/>
      <c r="D21" s="1180"/>
      <c r="E21" s="1180"/>
      <c r="F21" s="1180"/>
      <c r="G21"/>
      <c r="H21" s="88"/>
      <c r="I21"/>
      <c r="J21"/>
      <c r="K21"/>
      <c r="M21" s="68"/>
      <c r="Q21" s="447"/>
    </row>
    <row r="22" spans="1:17" x14ac:dyDescent="0.25">
      <c r="B22"/>
      <c r="C22"/>
      <c r="D22"/>
      <c r="E22"/>
      <c r="F22"/>
      <c r="G22"/>
      <c r="H22"/>
      <c r="I22"/>
      <c r="J22"/>
      <c r="K22"/>
      <c r="Q22" s="449"/>
    </row>
    <row r="23" spans="1:17" x14ac:dyDescent="0.25">
      <c r="B23" s="1180" t="s">
        <v>824</v>
      </c>
      <c r="C23" s="1180"/>
      <c r="D23" s="1180"/>
      <c r="E23" s="1180"/>
      <c r="F23" s="1180"/>
      <c r="G23"/>
      <c r="H23" s="88" t="s">
        <v>830</v>
      </c>
      <c r="I23"/>
      <c r="J23"/>
      <c r="K23"/>
      <c r="Q23" s="447"/>
    </row>
    <row r="24" spans="1:17" x14ac:dyDescent="0.25">
      <c r="B24"/>
      <c r="C24"/>
      <c r="D24"/>
      <c r="E24"/>
      <c r="F24"/>
      <c r="G24"/>
      <c r="H24"/>
      <c r="I24"/>
      <c r="J24"/>
      <c r="K24"/>
      <c r="Q24" s="447"/>
    </row>
    <row r="25" spans="1:17" x14ac:dyDescent="0.25">
      <c r="B25" s="1180" t="s">
        <v>825</v>
      </c>
      <c r="C25" s="1180"/>
      <c r="D25" s="1180"/>
      <c r="E25" s="1180"/>
      <c r="F25" s="1180"/>
      <c r="G25"/>
      <c r="H25" s="88"/>
      <c r="I25"/>
      <c r="J25"/>
      <c r="K25"/>
      <c r="Q25" s="447"/>
    </row>
    <row r="26" spans="1:17" x14ac:dyDescent="0.25">
      <c r="B26"/>
      <c r="C26"/>
      <c r="D26"/>
      <c r="E26"/>
      <c r="F26"/>
      <c r="G26"/>
      <c r="H26"/>
      <c r="I26"/>
      <c r="J26"/>
      <c r="K26"/>
      <c r="Q26" s="448"/>
    </row>
    <row r="27" spans="1:17" x14ac:dyDescent="0.25">
      <c r="B27" s="1180" t="s">
        <v>831</v>
      </c>
      <c r="C27" s="1180"/>
      <c r="D27" s="1180"/>
      <c r="E27" s="1180"/>
      <c r="F27" s="1180"/>
      <c r="G27"/>
      <c r="H27" s="88"/>
      <c r="I27"/>
      <c r="J27"/>
      <c r="K27"/>
      <c r="Q27" s="447"/>
    </row>
    <row r="28" spans="1:17" x14ac:dyDescent="0.25">
      <c r="B28"/>
      <c r="C28"/>
      <c r="D28"/>
      <c r="E28"/>
      <c r="F28"/>
      <c r="G28"/>
      <c r="H28"/>
      <c r="I28"/>
      <c r="J28"/>
      <c r="K28"/>
      <c r="Q28" s="447"/>
    </row>
    <row r="29" spans="1:17" x14ac:dyDescent="0.25">
      <c r="A29" s="1179" t="s">
        <v>832</v>
      </c>
      <c r="B29" s="1180"/>
      <c r="C29" s="1180"/>
      <c r="D29" s="1180"/>
      <c r="E29" s="1180"/>
      <c r="F29" s="1180"/>
      <c r="G29"/>
      <c r="H29" s="88"/>
      <c r="I29"/>
      <c r="J29"/>
      <c r="K29"/>
    </row>
    <row r="30" spans="1:17" x14ac:dyDescent="0.25">
      <c r="A30" s="453"/>
      <c r="B30" s="453"/>
      <c r="C30" s="453"/>
      <c r="D30" s="453"/>
      <c r="E30" s="453"/>
      <c r="F30" s="453"/>
      <c r="G30"/>
      <c r="H30"/>
      <c r="I30"/>
      <c r="J30"/>
      <c r="K30"/>
    </row>
    <row r="31" spans="1:17" x14ac:dyDescent="0.25">
      <c r="A31" s="1179" t="s">
        <v>826</v>
      </c>
      <c r="B31" s="1180"/>
      <c r="C31" s="1180"/>
      <c r="D31" s="1180"/>
      <c r="E31" s="1180"/>
      <c r="F31" s="1180"/>
      <c r="G31"/>
      <c r="H31" s="88"/>
      <c r="I31"/>
      <c r="J31"/>
      <c r="K31"/>
    </row>
    <row r="32" spans="1:17" x14ac:dyDescent="0.25">
      <c r="B32"/>
      <c r="C32"/>
      <c r="D32"/>
      <c r="E32"/>
      <c r="F32"/>
      <c r="G32"/>
      <c r="H32"/>
      <c r="I32"/>
      <c r="J32"/>
      <c r="K32"/>
    </row>
    <row r="33" spans="1:11" x14ac:dyDescent="0.25">
      <c r="A33" s="1179" t="s">
        <v>827</v>
      </c>
      <c r="B33" s="1180"/>
      <c r="C33" s="1180"/>
      <c r="D33" s="1180"/>
      <c r="E33" s="1180"/>
      <c r="F33" s="1180"/>
      <c r="G33"/>
      <c r="H33" s="88"/>
      <c r="I33"/>
      <c r="J33"/>
      <c r="K33"/>
    </row>
    <row r="34" spans="1:11" x14ac:dyDescent="0.25">
      <c r="A34" s="453"/>
      <c r="B34" s="453"/>
      <c r="C34" s="453"/>
      <c r="D34" s="453"/>
      <c r="E34" s="453"/>
      <c r="F34" s="453"/>
      <c r="G34"/>
      <c r="H34"/>
      <c r="I34"/>
      <c r="J34"/>
      <c r="K34"/>
    </row>
    <row r="35" spans="1:11" x14ac:dyDescent="0.25">
      <c r="A35" s="453"/>
      <c r="B35" s="453"/>
      <c r="C35" s="453"/>
      <c r="D35" s="453"/>
      <c r="E35" s="453"/>
      <c r="F35" s="453"/>
      <c r="G35"/>
      <c r="H35" s="88"/>
      <c r="I35"/>
      <c r="J35"/>
      <c r="K35"/>
    </row>
    <row r="36" spans="1:11" x14ac:dyDescent="0.25">
      <c r="B36"/>
      <c r="C36"/>
      <c r="D36"/>
      <c r="E36"/>
      <c r="F36"/>
      <c r="G36"/>
      <c r="H36"/>
      <c r="I36"/>
      <c r="J36"/>
      <c r="K36"/>
    </row>
    <row r="37" spans="1:11" x14ac:dyDescent="0.25">
      <c r="A37" s="1179" t="s">
        <v>835</v>
      </c>
      <c r="B37" s="1180"/>
      <c r="C37" s="1180"/>
      <c r="D37" s="1180"/>
      <c r="E37" s="1180"/>
      <c r="F37" s="1180"/>
      <c r="G37"/>
      <c r="H37" s="88"/>
      <c r="I37"/>
      <c r="J37"/>
      <c r="K37"/>
    </row>
    <row r="38" spans="1:11" x14ac:dyDescent="0.25">
      <c r="B38"/>
      <c r="C38"/>
      <c r="D38"/>
      <c r="E38"/>
      <c r="F38"/>
      <c r="G38"/>
      <c r="H38"/>
      <c r="I38"/>
      <c r="J38"/>
      <c r="K38"/>
    </row>
    <row r="39" spans="1:11" x14ac:dyDescent="0.25">
      <c r="A39" s="1179" t="s">
        <v>828</v>
      </c>
      <c r="B39" s="1180"/>
      <c r="C39" s="1180"/>
      <c r="D39" s="1180"/>
      <c r="E39" s="1180"/>
      <c r="F39" s="1180"/>
      <c r="G39"/>
      <c r="H39" s="88"/>
      <c r="I39"/>
      <c r="J39"/>
      <c r="K39"/>
    </row>
    <row r="40" spans="1:11" x14ac:dyDescent="0.25">
      <c r="B40"/>
      <c r="C40"/>
      <c r="D40"/>
      <c r="E40"/>
      <c r="F40"/>
      <c r="G40"/>
      <c r="H40"/>
      <c r="I40"/>
      <c r="J40"/>
      <c r="K40"/>
    </row>
    <row r="41" spans="1:11" x14ac:dyDescent="0.25">
      <c r="A41" s="1179" t="s">
        <v>829</v>
      </c>
      <c r="B41" s="1180"/>
      <c r="C41" s="1180"/>
      <c r="D41" s="1180"/>
      <c r="E41" s="1180"/>
      <c r="F41" s="1180"/>
      <c r="G41"/>
      <c r="H41" s="88"/>
      <c r="I41"/>
      <c r="J41"/>
      <c r="K41"/>
    </row>
    <row r="42" spans="1:11" x14ac:dyDescent="0.25">
      <c r="B42"/>
      <c r="C42"/>
      <c r="D42"/>
      <c r="E42"/>
      <c r="F42"/>
      <c r="G42"/>
      <c r="H42"/>
      <c r="I42"/>
      <c r="J42"/>
      <c r="K42"/>
    </row>
    <row r="43" spans="1:11" x14ac:dyDescent="0.25">
      <c r="B43"/>
      <c r="C43"/>
      <c r="D43"/>
      <c r="E43"/>
      <c r="F43"/>
      <c r="G43"/>
      <c r="H43"/>
      <c r="I43"/>
      <c r="J43"/>
      <c r="K43"/>
    </row>
    <row r="44" spans="1:11" x14ac:dyDescent="0.25">
      <c r="B44"/>
      <c r="C44"/>
      <c r="D44"/>
      <c r="E44"/>
      <c r="F44"/>
      <c r="G44"/>
      <c r="H44"/>
      <c r="I44"/>
      <c r="J44"/>
      <c r="K44"/>
    </row>
    <row r="45" spans="1:11" x14ac:dyDescent="0.25">
      <c r="B45"/>
      <c r="C45"/>
      <c r="D45"/>
      <c r="E45"/>
      <c r="F45"/>
      <c r="G45"/>
      <c r="H45"/>
      <c r="I45"/>
      <c r="J45"/>
      <c r="K45"/>
    </row>
    <row r="46" spans="1:11" x14ac:dyDescent="0.25">
      <c r="B46"/>
      <c r="C46"/>
      <c r="D46"/>
      <c r="E46"/>
      <c r="F46"/>
      <c r="G46"/>
      <c r="H46"/>
      <c r="I46"/>
      <c r="J46"/>
      <c r="K46"/>
    </row>
    <row r="47" spans="1:11" x14ac:dyDescent="0.25">
      <c r="B47"/>
      <c r="C47"/>
      <c r="D47"/>
      <c r="E47"/>
      <c r="F47"/>
      <c r="G47"/>
      <c r="H47"/>
      <c r="I47"/>
      <c r="J47"/>
      <c r="K47"/>
    </row>
    <row r="48" spans="1:11" x14ac:dyDescent="0.25">
      <c r="B48"/>
      <c r="C48"/>
      <c r="D48"/>
      <c r="E48"/>
      <c r="F48"/>
      <c r="G48"/>
      <c r="H48"/>
      <c r="I48"/>
      <c r="J48"/>
      <c r="K48"/>
    </row>
    <row r="49" spans="2:11" x14ac:dyDescent="0.25">
      <c r="B49"/>
      <c r="C49"/>
      <c r="D49"/>
      <c r="E49"/>
      <c r="F49"/>
      <c r="G49"/>
      <c r="H49"/>
      <c r="I49"/>
      <c r="J49"/>
      <c r="K49"/>
    </row>
    <row r="50" spans="2:11" x14ac:dyDescent="0.25">
      <c r="B50"/>
      <c r="C50"/>
      <c r="D50"/>
      <c r="E50"/>
      <c r="F50"/>
      <c r="G50"/>
      <c r="H50"/>
      <c r="I50"/>
      <c r="J50"/>
      <c r="K50"/>
    </row>
    <row r="51" spans="2:11" x14ac:dyDescent="0.25">
      <c r="B51"/>
      <c r="C51"/>
      <c r="D51"/>
      <c r="E51"/>
      <c r="F51"/>
      <c r="G51"/>
      <c r="H51"/>
      <c r="I51"/>
      <c r="J51"/>
      <c r="K51"/>
    </row>
    <row r="52" spans="2:11" x14ac:dyDescent="0.25">
      <c r="B52"/>
      <c r="C52"/>
      <c r="D52"/>
      <c r="E52"/>
      <c r="F52"/>
      <c r="G52"/>
      <c r="H52"/>
      <c r="I52"/>
      <c r="J52"/>
      <c r="K52"/>
    </row>
    <row r="53" spans="2:11" x14ac:dyDescent="0.25">
      <c r="B53"/>
      <c r="C53"/>
      <c r="D53"/>
      <c r="E53"/>
      <c r="F53"/>
      <c r="G53"/>
      <c r="H53"/>
      <c r="I53"/>
      <c r="J53"/>
      <c r="K53"/>
    </row>
    <row r="54" spans="2:11" x14ac:dyDescent="0.25">
      <c r="B54"/>
      <c r="C54"/>
      <c r="D54"/>
      <c r="E54"/>
      <c r="F54"/>
      <c r="G54"/>
      <c r="H54"/>
      <c r="I54"/>
      <c r="J54"/>
      <c r="K54"/>
    </row>
    <row r="55" spans="2:11" x14ac:dyDescent="0.25">
      <c r="B55"/>
      <c r="C55"/>
      <c r="D55"/>
      <c r="E55"/>
      <c r="F55"/>
      <c r="G55"/>
      <c r="H55"/>
      <c r="I55"/>
      <c r="J55"/>
      <c r="K55"/>
    </row>
    <row r="56" spans="2:11" x14ac:dyDescent="0.25">
      <c r="B56"/>
      <c r="C56"/>
      <c r="D56"/>
      <c r="E56"/>
      <c r="F56"/>
      <c r="G56"/>
      <c r="H56"/>
      <c r="I56"/>
      <c r="J56"/>
      <c r="K56"/>
    </row>
    <row r="57" spans="2:11" x14ac:dyDescent="0.25">
      <c r="B57"/>
      <c r="C57"/>
      <c r="D57"/>
      <c r="E57"/>
      <c r="F57"/>
      <c r="G57"/>
      <c r="H57"/>
      <c r="I57"/>
      <c r="J57"/>
      <c r="K57"/>
    </row>
    <row r="58" spans="2:11" x14ac:dyDescent="0.25">
      <c r="B58"/>
      <c r="C58"/>
      <c r="D58"/>
      <c r="E58"/>
      <c r="F58"/>
      <c r="G58"/>
      <c r="H58"/>
      <c r="I58"/>
      <c r="J58"/>
      <c r="K58"/>
    </row>
    <row r="59" spans="2:11" x14ac:dyDescent="0.25">
      <c r="B59"/>
      <c r="C59"/>
      <c r="D59"/>
      <c r="E59"/>
      <c r="F59"/>
      <c r="G59"/>
      <c r="H59"/>
      <c r="I59"/>
      <c r="J59"/>
      <c r="K59"/>
    </row>
    <row r="60" spans="2:11" x14ac:dyDescent="0.25">
      <c r="B60"/>
      <c r="C60"/>
      <c r="D60"/>
      <c r="E60"/>
      <c r="F60"/>
      <c r="G60"/>
      <c r="H60"/>
      <c r="I60"/>
      <c r="J60"/>
      <c r="K60"/>
    </row>
    <row r="61" spans="2:11" x14ac:dyDescent="0.25">
      <c r="B61"/>
      <c r="C61"/>
      <c r="D61"/>
      <c r="E61"/>
      <c r="F61"/>
      <c r="G61"/>
      <c r="H61"/>
      <c r="I61"/>
      <c r="J61"/>
      <c r="K61"/>
    </row>
    <row r="62" spans="2:11" x14ac:dyDescent="0.25">
      <c r="B62"/>
      <c r="C62"/>
      <c r="D62"/>
      <c r="E62"/>
      <c r="F62"/>
      <c r="G62"/>
      <c r="H62"/>
      <c r="I62"/>
      <c r="J62"/>
      <c r="K62"/>
    </row>
    <row r="63" spans="2:11" x14ac:dyDescent="0.25">
      <c r="B63"/>
      <c r="C63"/>
      <c r="D63"/>
      <c r="E63"/>
      <c r="F63"/>
      <c r="G63"/>
      <c r="H63"/>
      <c r="I63"/>
      <c r="J63"/>
      <c r="K63"/>
    </row>
    <row r="64" spans="2:11" x14ac:dyDescent="0.25">
      <c r="B64"/>
      <c r="C64"/>
      <c r="D64"/>
      <c r="E64"/>
      <c r="F64"/>
      <c r="G64"/>
      <c r="H64"/>
      <c r="I64"/>
      <c r="J64"/>
      <c r="K64"/>
    </row>
    <row r="65" spans="2:11" x14ac:dyDescent="0.25">
      <c r="B65"/>
      <c r="C65"/>
      <c r="D65"/>
      <c r="E65"/>
      <c r="F65"/>
      <c r="G65"/>
      <c r="H65"/>
      <c r="I65"/>
      <c r="J65"/>
      <c r="K65"/>
    </row>
    <row r="66" spans="2:11" x14ac:dyDescent="0.25">
      <c r="B66"/>
      <c r="C66"/>
      <c r="D66"/>
      <c r="E66"/>
      <c r="F66"/>
      <c r="G66"/>
      <c r="H66"/>
      <c r="I66"/>
      <c r="J66"/>
      <c r="K66"/>
    </row>
    <row r="67" spans="2:11" x14ac:dyDescent="0.25">
      <c r="B67"/>
      <c r="C67"/>
      <c r="D67"/>
      <c r="E67"/>
      <c r="F67"/>
      <c r="G67"/>
      <c r="H67"/>
      <c r="I67"/>
      <c r="J67"/>
      <c r="K67"/>
    </row>
  </sheetData>
  <mergeCells count="20">
    <mergeCell ref="B27:F27"/>
    <mergeCell ref="J4:K4"/>
    <mergeCell ref="J6:K6"/>
    <mergeCell ref="J8:K8"/>
    <mergeCell ref="H10:I10"/>
    <mergeCell ref="J10:K10"/>
    <mergeCell ref="C13:E14"/>
    <mergeCell ref="H13:I13"/>
    <mergeCell ref="H14:I15"/>
    <mergeCell ref="B9:D9"/>
    <mergeCell ref="B19:F19"/>
    <mergeCell ref="B21:F21"/>
    <mergeCell ref="B23:F23"/>
    <mergeCell ref="B25:F25"/>
    <mergeCell ref="A41:F41"/>
    <mergeCell ref="A39:F39"/>
    <mergeCell ref="A37:F37"/>
    <mergeCell ref="A33:F33"/>
    <mergeCell ref="A29:F29"/>
    <mergeCell ref="A31:F31"/>
  </mergeCells>
  <dataValidations count="8">
    <dataValidation type="list" allowBlank="1" showInputMessage="1" sqref="B14 C13 F13:F14" xr:uid="{D2A7C4A6-341D-49B4-966A-1152EDFECC2D}">
      <formula1>#REF!</formula1>
    </dataValidation>
    <dataValidation type="list" allowBlank="1" showInputMessage="1" showErrorMessage="1" sqref="H19" xr:uid="{134DC43B-FCD8-4269-9A4C-A9C90A77CE4C}">
      <formula1>"Maple, White Oak"</formula1>
    </dataValidation>
    <dataValidation type="list" allowBlank="1" showInputMessage="1" showErrorMessage="1" sqref="H21" xr:uid="{D6079471-E4CB-4B7D-AF35-A6FBC141D449}">
      <formula1>"16, 20"</formula1>
    </dataValidation>
    <dataValidation type="list" allowBlank="1" showInputMessage="1" showErrorMessage="1" sqref="H25" xr:uid="{8152B1E3-40E0-4372-A43B-1FEED56B4EEC}">
      <formula1>"Black, Oil-Rubbed Bronze, Hammered Antique Brass, Chrome, Satin Nickel"</formula1>
    </dataValidation>
    <dataValidation type="list" allowBlank="1" showInputMessage="1" showErrorMessage="1" sqref="H27" xr:uid="{7CFF1544-7769-426C-B005-F83D8DDD6A07}">
      <formula1>"Hook, Rolling"</formula1>
    </dataValidation>
    <dataValidation type="list" allowBlank="1" showInputMessage="1" showErrorMessage="1" sqref="H37" xr:uid="{4A7C615D-7602-4834-84AE-A4BBD2092943}">
      <formula1>"Horizontal, Vertical"</formula1>
    </dataValidation>
    <dataValidation type="list" allowBlank="1" showInputMessage="1" showErrorMessage="1" sqref="H39 H41" xr:uid="{A18F4390-EFA4-4100-986A-5B3E31E99C6B}">
      <formula1>"No, Yes"</formula1>
    </dataValidation>
    <dataValidation type="list" allowBlank="1" showInputMessage="1" showErrorMessage="1" sqref="H29" xr:uid="{5BB7A61D-1C64-4889-ADD1-8AD973DB77C8}">
      <formula1>RodFinish</formula1>
    </dataValidation>
  </dataValidations>
  <printOptions horizontalCentered="1"/>
  <pageMargins left="0.25" right="0.25" top="0.25" bottom="0.25" header="0.23622047244094499" footer="0"/>
  <pageSetup scale="7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ommandButton1">
          <controlPr defaultSize="0" autoLine="0" r:id="rId5">
            <anchor moveWithCells="1">
              <from>
                <xdr:col>12</xdr:col>
                <xdr:colOff>1543050</xdr:colOff>
                <xdr:row>19</xdr:row>
                <xdr:rowOff>66675</xdr:rowOff>
              </from>
              <to>
                <xdr:col>15</xdr:col>
                <xdr:colOff>133350</xdr:colOff>
                <xdr:row>22</xdr:row>
                <xdr:rowOff>152400</xdr:rowOff>
              </to>
            </anchor>
          </controlPr>
        </control>
      </mc:Choice>
      <mc:Fallback>
        <control shapeId="51201" r:id="rId4" name="CommandButton1"/>
      </mc:Fallback>
    </mc:AlternateContent>
    <mc:AlternateContent xmlns:mc="http://schemas.openxmlformats.org/markup-compatibility/2006">
      <mc:Choice Requires="x14">
        <control shapeId="51202" r:id="rId6" name="CommandButton2">
          <controlPr defaultSize="0" autoLine="0" r:id="rId7">
            <anchor moveWithCells="1">
              <from>
                <xdr:col>12</xdr:col>
                <xdr:colOff>1543050</xdr:colOff>
                <xdr:row>23</xdr:row>
                <xdr:rowOff>180975</xdr:rowOff>
              </from>
              <to>
                <xdr:col>15</xdr:col>
                <xdr:colOff>133350</xdr:colOff>
                <xdr:row>27</xdr:row>
                <xdr:rowOff>66675</xdr:rowOff>
              </to>
            </anchor>
          </controlPr>
        </control>
      </mc:Choice>
      <mc:Fallback>
        <control shapeId="51202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AE06E-8DC7-4E2D-A3F7-4697DD5AE327}">
  <sheetPr codeName="Sheet14"/>
  <dimension ref="A1:EJ79"/>
  <sheetViews>
    <sheetView showGridLines="0" showRuler="0" view="pageLayout" zoomScaleNormal="120" workbookViewId="0">
      <selection activeCell="DB79" sqref="DB79"/>
    </sheetView>
  </sheetViews>
  <sheetFormatPr defaultColWidth="0.7109375" defaultRowHeight="3.75" customHeight="1" x14ac:dyDescent="0.25"/>
  <sheetData>
    <row r="1" spans="1:140" ht="3.75" customHeight="1" x14ac:dyDescent="0.25">
      <c r="AM1" s="1193" t="e" vm="1">
        <v>#VALUE!</v>
      </c>
      <c r="AN1" s="1193"/>
      <c r="AO1" s="1193"/>
      <c r="AP1" s="1193"/>
      <c r="AQ1" s="1193"/>
      <c r="AR1" s="1193"/>
      <c r="AS1" s="1193"/>
      <c r="AT1" s="1193"/>
      <c r="AU1" s="1193"/>
      <c r="AV1" s="1193"/>
      <c r="AW1" s="1193"/>
      <c r="AX1" s="1193"/>
      <c r="AY1" s="1193"/>
      <c r="AZ1" s="1193"/>
      <c r="BA1" s="1193"/>
      <c r="BB1" s="1193"/>
      <c r="BC1" s="1193"/>
      <c r="BD1" s="1193"/>
      <c r="BE1" s="1193"/>
      <c r="BF1" s="1193"/>
      <c r="BG1" s="1193"/>
      <c r="BH1" s="1193"/>
      <c r="BI1" s="1193"/>
      <c r="BJ1" s="1193"/>
      <c r="BK1" s="1193"/>
      <c r="BL1" s="1193"/>
      <c r="BM1" s="1193"/>
      <c r="BN1" s="1193"/>
      <c r="BO1" s="1193"/>
      <c r="BP1" s="1193"/>
      <c r="BQ1" s="1193"/>
      <c r="BR1" s="1193"/>
      <c r="BS1" s="1193"/>
      <c r="BT1" s="1193"/>
      <c r="BU1" s="1193"/>
      <c r="BV1" s="1193"/>
      <c r="BW1" s="1193"/>
      <c r="BX1" s="1193"/>
      <c r="BY1" s="1193"/>
      <c r="BZ1" s="1193"/>
      <c r="CA1" s="1193"/>
      <c r="CB1" s="1193"/>
      <c r="CC1" s="1193"/>
      <c r="CD1" s="1193"/>
      <c r="CE1" s="1193"/>
      <c r="CF1" s="1193"/>
      <c r="CG1" s="1193"/>
      <c r="CH1" s="1193"/>
      <c r="CI1" s="1193"/>
      <c r="CJ1" s="1193"/>
      <c r="CK1" s="1193"/>
      <c r="CL1" s="1193"/>
      <c r="CM1" s="1193"/>
      <c r="CN1" s="1193"/>
      <c r="CO1" s="1193"/>
      <c r="CP1" s="1193"/>
      <c r="CQ1" s="1193"/>
      <c r="CR1" s="1193"/>
      <c r="CS1" s="1193"/>
      <c r="CT1" s="1193"/>
      <c r="CU1" s="1193"/>
      <c r="CV1" s="1193"/>
      <c r="CW1" s="1193"/>
      <c r="CX1" s="1193"/>
      <c r="CY1" s="1193"/>
      <c r="CZ1" s="1193"/>
      <c r="DR1" s="1198"/>
      <c r="DS1" s="695"/>
      <c r="DT1" s="1199"/>
      <c r="DV1" s="1195" t="s">
        <v>873</v>
      </c>
      <c r="DW1" s="1195"/>
      <c r="DX1" s="1195"/>
      <c r="DY1" s="1195"/>
      <c r="DZ1" s="1195"/>
      <c r="EA1" s="1195"/>
      <c r="EB1" s="1195"/>
      <c r="EC1" s="1195"/>
      <c r="ED1" s="1195"/>
      <c r="EE1" s="1195"/>
      <c r="EF1" s="1195"/>
      <c r="EG1" s="1195"/>
      <c r="EH1" s="1195"/>
      <c r="EI1" s="1195"/>
      <c r="EJ1" s="1195"/>
    </row>
    <row r="2" spans="1:140" ht="3.75" customHeight="1" x14ac:dyDescent="0.25">
      <c r="AM2" s="1193"/>
      <c r="AN2" s="1193"/>
      <c r="AO2" s="1193"/>
      <c r="AP2" s="1193"/>
      <c r="AQ2" s="1193"/>
      <c r="AR2" s="1193"/>
      <c r="AS2" s="1193"/>
      <c r="AT2" s="1193"/>
      <c r="AU2" s="1193"/>
      <c r="AV2" s="1193"/>
      <c r="AW2" s="1193"/>
      <c r="AX2" s="1193"/>
      <c r="AY2" s="1193"/>
      <c r="AZ2" s="1193"/>
      <c r="BA2" s="1193"/>
      <c r="BB2" s="1193"/>
      <c r="BC2" s="1193"/>
      <c r="BD2" s="1193"/>
      <c r="BE2" s="1193"/>
      <c r="BF2" s="1193"/>
      <c r="BG2" s="1193"/>
      <c r="BH2" s="1193"/>
      <c r="BI2" s="1193"/>
      <c r="BJ2" s="1193"/>
      <c r="BK2" s="1193"/>
      <c r="BL2" s="1193"/>
      <c r="BM2" s="1193"/>
      <c r="BN2" s="1193"/>
      <c r="BO2" s="1193"/>
      <c r="BP2" s="1193"/>
      <c r="BQ2" s="1193"/>
      <c r="BR2" s="1193"/>
      <c r="BS2" s="1193"/>
      <c r="BT2" s="1193"/>
      <c r="BU2" s="1193"/>
      <c r="BV2" s="1193"/>
      <c r="BW2" s="1193"/>
      <c r="BX2" s="1193"/>
      <c r="BY2" s="1193"/>
      <c r="BZ2" s="1193"/>
      <c r="CA2" s="1193"/>
      <c r="CB2" s="1193"/>
      <c r="CC2" s="1193"/>
      <c r="CD2" s="1193"/>
      <c r="CE2" s="1193"/>
      <c r="CF2" s="1193"/>
      <c r="CG2" s="1193"/>
      <c r="CH2" s="1193"/>
      <c r="CI2" s="1193"/>
      <c r="CJ2" s="1193"/>
      <c r="CK2" s="1193"/>
      <c r="CL2" s="1193"/>
      <c r="CM2" s="1193"/>
      <c r="CN2" s="1193"/>
      <c r="CO2" s="1193"/>
      <c r="CP2" s="1193"/>
      <c r="CQ2" s="1193"/>
      <c r="CR2" s="1193"/>
      <c r="CS2" s="1193"/>
      <c r="CT2" s="1193"/>
      <c r="CU2" s="1193"/>
      <c r="CV2" s="1193"/>
      <c r="CW2" s="1193"/>
      <c r="CX2" s="1193"/>
      <c r="CY2" s="1193"/>
      <c r="CZ2" s="1193"/>
      <c r="DR2" s="1200"/>
      <c r="DS2" s="631"/>
      <c r="DT2" s="668"/>
      <c r="DV2" s="1195"/>
      <c r="DW2" s="1195"/>
      <c r="DX2" s="1195"/>
      <c r="DY2" s="1195"/>
      <c r="DZ2" s="1195"/>
      <c r="EA2" s="1195"/>
      <c r="EB2" s="1195"/>
      <c r="EC2" s="1195"/>
      <c r="ED2" s="1195"/>
      <c r="EE2" s="1195"/>
      <c r="EF2" s="1195"/>
      <c r="EG2" s="1195"/>
      <c r="EH2" s="1195"/>
      <c r="EI2" s="1195"/>
      <c r="EJ2" s="1195"/>
    </row>
    <row r="3" spans="1:140" ht="3.75" customHeight="1" thickBot="1" x14ac:dyDescent="0.3">
      <c r="AM3" s="1193"/>
      <c r="AN3" s="1193"/>
      <c r="AO3" s="1193"/>
      <c r="AP3" s="1193"/>
      <c r="AQ3" s="1193"/>
      <c r="AR3" s="1193"/>
      <c r="AS3" s="1193"/>
      <c r="AT3" s="1193"/>
      <c r="AU3" s="1193"/>
      <c r="AV3" s="1193"/>
      <c r="AW3" s="1193"/>
      <c r="AX3" s="1193"/>
      <c r="AY3" s="1193"/>
      <c r="AZ3" s="1193"/>
      <c r="BA3" s="1193"/>
      <c r="BB3" s="1193"/>
      <c r="BC3" s="1193"/>
      <c r="BD3" s="1193"/>
      <c r="BE3" s="1193"/>
      <c r="BF3" s="1193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R3" s="669"/>
      <c r="DS3" s="670"/>
      <c r="DT3" s="671"/>
      <c r="DV3" s="1195"/>
      <c r="DW3" s="1195"/>
      <c r="DX3" s="1195"/>
      <c r="DY3" s="1195"/>
      <c r="DZ3" s="1195"/>
      <c r="EA3" s="1195"/>
      <c r="EB3" s="1195"/>
      <c r="EC3" s="1195"/>
      <c r="ED3" s="1195"/>
      <c r="EE3" s="1195"/>
      <c r="EF3" s="1195"/>
      <c r="EG3" s="1195"/>
      <c r="EH3" s="1195"/>
      <c r="EI3" s="1195"/>
      <c r="EJ3" s="1195"/>
    </row>
    <row r="4" spans="1:140" ht="3.75" customHeight="1" thickBot="1" x14ac:dyDescent="0.3">
      <c r="AM4" s="1193"/>
      <c r="AN4" s="1193"/>
      <c r="AO4" s="1193"/>
      <c r="AP4" s="1193"/>
      <c r="AQ4" s="1193"/>
      <c r="AR4" s="1193"/>
      <c r="AS4" s="1193"/>
      <c r="AT4" s="1193"/>
      <c r="AU4" s="1193"/>
      <c r="AV4" s="1193"/>
      <c r="AW4" s="1193"/>
      <c r="AX4" s="1193"/>
      <c r="AY4" s="1193"/>
      <c r="AZ4" s="1193"/>
      <c r="BA4" s="1193"/>
      <c r="BB4" s="1193"/>
      <c r="BC4" s="1193"/>
      <c r="BD4" s="1193"/>
      <c r="BE4" s="1193"/>
      <c r="BF4" s="1193"/>
      <c r="BG4" s="1193"/>
      <c r="BH4" s="1193"/>
      <c r="BI4" s="1193"/>
      <c r="BJ4" s="1193"/>
      <c r="BK4" s="1193"/>
      <c r="BL4" s="1193"/>
      <c r="BM4" s="1193"/>
      <c r="BN4" s="1193"/>
      <c r="BO4" s="1193"/>
      <c r="BP4" s="1193"/>
      <c r="BQ4" s="1193"/>
      <c r="BR4" s="1193"/>
      <c r="BS4" s="1193"/>
      <c r="BT4" s="1193"/>
      <c r="BU4" s="1193"/>
      <c r="BV4" s="1193"/>
      <c r="BW4" s="1193"/>
      <c r="BX4" s="1193"/>
      <c r="BY4" s="1193"/>
      <c r="BZ4" s="1193"/>
      <c r="CA4" s="1193"/>
      <c r="CB4" s="1193"/>
      <c r="CC4" s="1193"/>
      <c r="CD4" s="1193"/>
      <c r="CE4" s="1193"/>
      <c r="CF4" s="1193"/>
      <c r="CG4" s="1193"/>
      <c r="CH4" s="1193"/>
      <c r="CI4" s="1193"/>
      <c r="CJ4" s="1193"/>
      <c r="CK4" s="1193"/>
      <c r="CL4" s="1193"/>
      <c r="CM4" s="1193"/>
      <c r="CN4" s="1193"/>
      <c r="CO4" s="1193"/>
      <c r="CP4" s="1193"/>
      <c r="CQ4" s="1193"/>
      <c r="CR4" s="1193"/>
      <c r="CS4" s="1193"/>
      <c r="CT4" s="1193"/>
      <c r="CU4" s="1193"/>
      <c r="CV4" s="1193"/>
      <c r="CW4" s="1193"/>
      <c r="CX4" s="1193"/>
      <c r="CY4" s="1193"/>
      <c r="CZ4" s="1193"/>
    </row>
    <row r="5" spans="1:140" ht="3.75" customHeight="1" x14ac:dyDescent="0.25">
      <c r="AM5" s="1193"/>
      <c r="AN5" s="1193"/>
      <c r="AO5" s="1193"/>
      <c r="AP5" s="1193"/>
      <c r="AQ5" s="1193"/>
      <c r="AR5" s="1193"/>
      <c r="AS5" s="1193"/>
      <c r="AT5" s="1193"/>
      <c r="AU5" s="1193"/>
      <c r="AV5" s="1193"/>
      <c r="AW5" s="1193"/>
      <c r="AX5" s="1193"/>
      <c r="AY5" s="1193"/>
      <c r="AZ5" s="1193"/>
      <c r="BA5" s="1193"/>
      <c r="BB5" s="1193"/>
      <c r="BC5" s="1193"/>
      <c r="BD5" s="1193"/>
      <c r="BE5" s="1193"/>
      <c r="BF5" s="1193"/>
      <c r="BG5" s="1193"/>
      <c r="BH5" s="1193"/>
      <c r="BI5" s="1193"/>
      <c r="BJ5" s="1193"/>
      <c r="BK5" s="1193"/>
      <c r="BL5" s="1193"/>
      <c r="BM5" s="1193"/>
      <c r="BN5" s="1193"/>
      <c r="BO5" s="1193"/>
      <c r="BP5" s="1193"/>
      <c r="BQ5" s="1193"/>
      <c r="BR5" s="1193"/>
      <c r="BS5" s="1193"/>
      <c r="BT5" s="1193"/>
      <c r="BU5" s="1193"/>
      <c r="BV5" s="1193"/>
      <c r="BW5" s="1193"/>
      <c r="BX5" s="1193"/>
      <c r="BY5" s="1193"/>
      <c r="BZ5" s="1193"/>
      <c r="CA5" s="1193"/>
      <c r="CB5" s="1193"/>
      <c r="CC5" s="1193"/>
      <c r="CD5" s="1193"/>
      <c r="CE5" s="1193"/>
      <c r="CF5" s="1193"/>
      <c r="CG5" s="1193"/>
      <c r="CH5" s="1193"/>
      <c r="CI5" s="1193"/>
      <c r="CJ5" s="1193"/>
      <c r="CK5" s="1193"/>
      <c r="CL5" s="1193"/>
      <c r="CM5" s="1193"/>
      <c r="CN5" s="1193"/>
      <c r="CO5" s="1193"/>
      <c r="CP5" s="1193"/>
      <c r="CQ5" s="1193"/>
      <c r="CR5" s="1193"/>
      <c r="CS5" s="1193"/>
      <c r="CT5" s="1193"/>
      <c r="CU5" s="1193"/>
      <c r="CV5" s="1193"/>
      <c r="CW5" s="1193"/>
      <c r="CX5" s="1193"/>
      <c r="CY5" s="1193"/>
      <c r="CZ5" s="1193"/>
      <c r="DR5" s="1201" t="s">
        <v>655</v>
      </c>
      <c r="DS5" s="629"/>
      <c r="DT5" s="1202"/>
      <c r="DU5" s="1195" t="s">
        <v>874</v>
      </c>
      <c r="DV5" s="1195"/>
      <c r="DW5" s="1195"/>
      <c r="DX5" s="1195"/>
      <c r="DY5" s="1195"/>
      <c r="DZ5" s="1195"/>
      <c r="EA5" s="1195"/>
      <c r="EB5" s="1195"/>
      <c r="EC5" s="1195"/>
      <c r="ED5" s="1195"/>
      <c r="EE5" s="1195"/>
      <c r="EF5" s="1195"/>
      <c r="EG5" s="1195"/>
      <c r="EH5" s="1195"/>
      <c r="EI5" s="1195"/>
      <c r="EJ5" s="1195"/>
    </row>
    <row r="6" spans="1:140" ht="3.75" customHeight="1" x14ac:dyDescent="0.25">
      <c r="AM6" s="1193"/>
      <c r="AN6" s="1193"/>
      <c r="AO6" s="1193"/>
      <c r="AP6" s="1193"/>
      <c r="AQ6" s="1193"/>
      <c r="AR6" s="1193"/>
      <c r="AS6" s="1193"/>
      <c r="AT6" s="1193"/>
      <c r="AU6" s="1193"/>
      <c r="AV6" s="1193"/>
      <c r="AW6" s="1193"/>
      <c r="AX6" s="1193"/>
      <c r="AY6" s="1193"/>
      <c r="AZ6" s="1193"/>
      <c r="BA6" s="1193"/>
      <c r="BB6" s="1193"/>
      <c r="BC6" s="1193"/>
      <c r="BD6" s="1193"/>
      <c r="BE6" s="1193"/>
      <c r="BF6" s="1193"/>
      <c r="BG6" s="1193"/>
      <c r="BH6" s="1193"/>
      <c r="BI6" s="1193"/>
      <c r="BJ6" s="1193"/>
      <c r="BK6" s="1193"/>
      <c r="BL6" s="1193"/>
      <c r="BM6" s="1193"/>
      <c r="BN6" s="1193"/>
      <c r="BO6" s="1193"/>
      <c r="BP6" s="1193"/>
      <c r="BQ6" s="1193"/>
      <c r="BR6" s="1193"/>
      <c r="BS6" s="1193"/>
      <c r="BT6" s="1193"/>
      <c r="BU6" s="1193"/>
      <c r="BV6" s="1193"/>
      <c r="BW6" s="1193"/>
      <c r="BX6" s="1193"/>
      <c r="BY6" s="1193"/>
      <c r="BZ6" s="1193"/>
      <c r="CA6" s="1193"/>
      <c r="CB6" s="1193"/>
      <c r="CC6" s="1193"/>
      <c r="CD6" s="1193"/>
      <c r="CE6" s="1193"/>
      <c r="CF6" s="1193"/>
      <c r="CG6" s="1193"/>
      <c r="CH6" s="1193"/>
      <c r="CI6" s="1193"/>
      <c r="CJ6" s="1193"/>
      <c r="CK6" s="1193"/>
      <c r="CL6" s="1193"/>
      <c r="CM6" s="1193"/>
      <c r="CN6" s="1193"/>
      <c r="CO6" s="1193"/>
      <c r="CP6" s="1193"/>
      <c r="CQ6" s="1193"/>
      <c r="CR6" s="1193"/>
      <c r="CS6" s="1193"/>
      <c r="CT6" s="1193"/>
      <c r="CU6" s="1193"/>
      <c r="CV6" s="1193"/>
      <c r="CW6" s="1193"/>
      <c r="CX6" s="1193"/>
      <c r="CY6" s="1193"/>
      <c r="CZ6" s="1193"/>
      <c r="DR6" s="1203"/>
      <c r="DS6" s="1077"/>
      <c r="DT6" s="1204"/>
      <c r="DU6" s="1195"/>
      <c r="DV6" s="1195"/>
      <c r="DW6" s="1195"/>
      <c r="DX6" s="1195"/>
      <c r="DY6" s="1195"/>
      <c r="DZ6" s="1195"/>
      <c r="EA6" s="1195"/>
      <c r="EB6" s="1195"/>
      <c r="EC6" s="1195"/>
      <c r="ED6" s="1195"/>
      <c r="EE6" s="1195"/>
      <c r="EF6" s="1195"/>
      <c r="EG6" s="1195"/>
      <c r="EH6" s="1195"/>
      <c r="EI6" s="1195"/>
      <c r="EJ6" s="1195"/>
    </row>
    <row r="7" spans="1:140" ht="3.75" customHeight="1" thickBot="1" x14ac:dyDescent="0.3">
      <c r="AM7" s="1193"/>
      <c r="AN7" s="1193"/>
      <c r="AO7" s="1193"/>
      <c r="AP7" s="1193"/>
      <c r="AQ7" s="1193"/>
      <c r="AR7" s="1193"/>
      <c r="AS7" s="1193"/>
      <c r="AT7" s="1193"/>
      <c r="AU7" s="1193"/>
      <c r="AV7" s="1193"/>
      <c r="AW7" s="1193"/>
      <c r="AX7" s="1193"/>
      <c r="AY7" s="1193"/>
      <c r="AZ7" s="1193"/>
      <c r="BA7" s="1193"/>
      <c r="BB7" s="1193"/>
      <c r="BC7" s="1193"/>
      <c r="BD7" s="1193"/>
      <c r="BE7" s="1193"/>
      <c r="BF7" s="1193"/>
      <c r="BG7" s="1193"/>
      <c r="BH7" s="1193"/>
      <c r="BI7" s="1193"/>
      <c r="BJ7" s="1193"/>
      <c r="BK7" s="1193"/>
      <c r="BL7" s="1193"/>
      <c r="BM7" s="1193"/>
      <c r="BN7" s="1193"/>
      <c r="BO7" s="1193"/>
      <c r="BP7" s="1193"/>
      <c r="BQ7" s="1193"/>
      <c r="BR7" s="1193"/>
      <c r="BS7" s="1193"/>
      <c r="BT7" s="1193"/>
      <c r="BU7" s="1193"/>
      <c r="BV7" s="1193"/>
      <c r="BW7" s="1193"/>
      <c r="BX7" s="1193"/>
      <c r="BY7" s="1193"/>
      <c r="BZ7" s="1193"/>
      <c r="CA7" s="1193"/>
      <c r="CB7" s="1193"/>
      <c r="CC7" s="1193"/>
      <c r="CD7" s="1193"/>
      <c r="CE7" s="1193"/>
      <c r="CF7" s="1193"/>
      <c r="CG7" s="1193"/>
      <c r="CH7" s="1193"/>
      <c r="CI7" s="1193"/>
      <c r="CJ7" s="1193"/>
      <c r="CK7" s="1193"/>
      <c r="CL7" s="1193"/>
      <c r="CM7" s="1193"/>
      <c r="CN7" s="1193"/>
      <c r="CO7" s="1193"/>
      <c r="CP7" s="1193"/>
      <c r="CQ7" s="1193"/>
      <c r="CR7" s="1193"/>
      <c r="CS7" s="1193"/>
      <c r="CT7" s="1193"/>
      <c r="CU7" s="1193"/>
      <c r="CV7" s="1193"/>
      <c r="CW7" s="1193"/>
      <c r="CX7" s="1193"/>
      <c r="CY7" s="1193"/>
      <c r="CZ7" s="1193"/>
      <c r="DR7" s="1205"/>
      <c r="DS7" s="1206"/>
      <c r="DT7" s="1207"/>
      <c r="DU7" s="1195"/>
      <c r="DV7" s="1195"/>
      <c r="DW7" s="1195"/>
      <c r="DX7" s="1195"/>
      <c r="DY7" s="1195"/>
      <c r="DZ7" s="1195"/>
      <c r="EA7" s="1195"/>
      <c r="EB7" s="1195"/>
      <c r="EC7" s="1195"/>
      <c r="ED7" s="1195"/>
      <c r="EE7" s="1195"/>
      <c r="EF7" s="1195"/>
      <c r="EG7" s="1195"/>
      <c r="EH7" s="1195"/>
      <c r="EI7" s="1195"/>
      <c r="EJ7" s="1195"/>
    </row>
    <row r="8" spans="1:140" ht="3.75" customHeight="1" x14ac:dyDescent="0.25">
      <c r="AM8" s="1193"/>
      <c r="AN8" s="1193"/>
      <c r="AO8" s="1193"/>
      <c r="AP8" s="1193"/>
      <c r="AQ8" s="1193"/>
      <c r="AR8" s="1193"/>
      <c r="AS8" s="1193"/>
      <c r="AT8" s="1193"/>
      <c r="AU8" s="1193"/>
      <c r="AV8" s="1193"/>
      <c r="AW8" s="1193"/>
      <c r="AX8" s="1193"/>
      <c r="AY8" s="1193"/>
      <c r="AZ8" s="1193"/>
      <c r="BA8" s="1193"/>
      <c r="BB8" s="1193"/>
      <c r="BC8" s="1193"/>
      <c r="BD8" s="1193"/>
      <c r="BE8" s="1193"/>
      <c r="BF8" s="1193"/>
      <c r="BG8" s="1193"/>
      <c r="BH8" s="1193"/>
      <c r="BI8" s="1193"/>
      <c r="BJ8" s="1193"/>
      <c r="BK8" s="1193"/>
      <c r="BL8" s="1193"/>
      <c r="BM8" s="1193"/>
      <c r="BN8" s="1193"/>
      <c r="BO8" s="1193"/>
      <c r="BP8" s="1193"/>
      <c r="BQ8" s="1193"/>
      <c r="BR8" s="1193"/>
      <c r="BS8" s="1193"/>
      <c r="BT8" s="1193"/>
      <c r="BU8" s="1193"/>
      <c r="BV8" s="1193"/>
      <c r="BW8" s="1193"/>
      <c r="BX8" s="1193"/>
      <c r="BY8" s="1193"/>
      <c r="BZ8" s="1193"/>
      <c r="CA8" s="1193"/>
      <c r="CB8" s="1193"/>
      <c r="CC8" s="1193"/>
      <c r="CD8" s="1193"/>
      <c r="CE8" s="1193"/>
      <c r="CF8" s="1193"/>
      <c r="CG8" s="1193"/>
      <c r="CH8" s="1193"/>
      <c r="CI8" s="1193"/>
      <c r="CJ8" s="1193"/>
      <c r="CK8" s="1193"/>
      <c r="CL8" s="1193"/>
      <c r="CM8" s="1193"/>
      <c r="CN8" s="1193"/>
      <c r="CO8" s="1193"/>
      <c r="CP8" s="1193"/>
      <c r="CQ8" s="1193"/>
      <c r="CR8" s="1193"/>
      <c r="CS8" s="1193"/>
      <c r="CT8" s="1193"/>
      <c r="CU8" s="1193"/>
      <c r="CV8" s="1193"/>
      <c r="CW8" s="1193"/>
      <c r="CX8" s="1193"/>
      <c r="CY8" s="1193"/>
      <c r="CZ8" s="1193"/>
    </row>
    <row r="9" spans="1:140" ht="3.75" customHeight="1" x14ac:dyDescent="0.25">
      <c r="A9" s="1125" t="s">
        <v>867</v>
      </c>
      <c r="B9" s="1125"/>
      <c r="C9" s="1125"/>
      <c r="D9" s="1125"/>
      <c r="E9" s="1125"/>
      <c r="F9" s="1125"/>
      <c r="G9" s="1125"/>
      <c r="H9" s="1125"/>
      <c r="I9" s="1125"/>
      <c r="J9" s="1125"/>
      <c r="K9" s="1125"/>
      <c r="L9" s="1125"/>
      <c r="M9" s="1125"/>
      <c r="N9" s="1125"/>
      <c r="O9" s="1125"/>
      <c r="P9" s="1125"/>
      <c r="Q9" s="1125"/>
      <c r="R9" s="1125"/>
      <c r="S9" s="1125"/>
      <c r="T9" s="1125"/>
      <c r="U9" s="1125"/>
      <c r="V9" s="1125"/>
      <c r="W9" s="1125"/>
      <c r="AM9" s="1193"/>
      <c r="AN9" s="1193"/>
      <c r="AO9" s="1193"/>
      <c r="AP9" s="1193"/>
      <c r="AQ9" s="1193"/>
      <c r="AR9" s="1193"/>
      <c r="AS9" s="1193"/>
      <c r="AT9" s="1193"/>
      <c r="AU9" s="1193"/>
      <c r="AV9" s="1193"/>
      <c r="AW9" s="1193"/>
      <c r="AX9" s="1193"/>
      <c r="AY9" s="1193"/>
      <c r="AZ9" s="1193"/>
      <c r="BA9" s="1193"/>
      <c r="BB9" s="1193"/>
      <c r="BC9" s="1193"/>
      <c r="BD9" s="1193"/>
      <c r="BE9" s="1193"/>
      <c r="BF9" s="1193"/>
      <c r="BG9" s="1193"/>
      <c r="BH9" s="1193"/>
      <c r="BI9" s="1193"/>
      <c r="BJ9" s="1193"/>
      <c r="BK9" s="1193"/>
      <c r="BL9" s="1193"/>
      <c r="BM9" s="1193"/>
      <c r="BN9" s="1193"/>
      <c r="BO9" s="1193"/>
      <c r="BP9" s="1193"/>
      <c r="BQ9" s="1193"/>
      <c r="BR9" s="1193"/>
      <c r="BS9" s="1193"/>
      <c r="BT9" s="1193"/>
      <c r="BU9" s="1193"/>
      <c r="BV9" s="1193"/>
      <c r="BW9" s="1193"/>
      <c r="BX9" s="1193"/>
      <c r="BY9" s="1193"/>
      <c r="BZ9" s="1193"/>
      <c r="CA9" s="1193"/>
      <c r="CB9" s="1193"/>
      <c r="CC9" s="1193"/>
      <c r="CD9" s="1193"/>
      <c r="CE9" s="1193"/>
      <c r="CF9" s="1193"/>
      <c r="CG9" s="1193"/>
      <c r="CH9" s="1193"/>
      <c r="CI9" s="1193"/>
      <c r="CJ9" s="1193"/>
      <c r="CK9" s="1193"/>
      <c r="CL9" s="1193"/>
      <c r="CM9" s="1193"/>
      <c r="CN9" s="1193"/>
      <c r="CO9" s="1193"/>
      <c r="CP9" s="1193"/>
      <c r="CQ9" s="1193"/>
      <c r="CR9" s="1193"/>
      <c r="CS9" s="1193"/>
      <c r="CT9" s="1193"/>
      <c r="CU9" s="1193"/>
      <c r="CV9" s="1193"/>
      <c r="CW9" s="1193"/>
      <c r="CX9" s="1193"/>
      <c r="CY9" s="1193"/>
      <c r="CZ9" s="1193"/>
      <c r="DM9" s="1126" t="s">
        <v>872</v>
      </c>
      <c r="DN9" s="1126"/>
      <c r="DO9" s="1126"/>
      <c r="DP9" s="1126"/>
      <c r="DQ9" s="1126"/>
      <c r="DR9" s="1126"/>
      <c r="DS9" s="1126"/>
      <c r="DT9" s="1126"/>
      <c r="DU9" s="1126"/>
      <c r="DV9" s="1126"/>
      <c r="DW9" s="1126"/>
      <c r="DX9" s="1126"/>
      <c r="DY9" s="1126"/>
      <c r="DZ9" s="1126"/>
      <c r="EA9" s="1126"/>
      <c r="EB9" s="1126"/>
      <c r="EC9" s="1126"/>
      <c r="ED9" s="1126"/>
      <c r="EE9" s="1126"/>
      <c r="EF9" s="1126"/>
      <c r="EG9" s="1126"/>
      <c r="EH9" s="1126"/>
      <c r="EI9" s="1126"/>
      <c r="EJ9" s="1126"/>
    </row>
    <row r="10" spans="1:140" ht="3.75" customHeight="1" x14ac:dyDescent="0.25">
      <c r="A10" s="1125"/>
      <c r="B10" s="1125"/>
      <c r="C10" s="1125"/>
      <c r="D10" s="1125"/>
      <c r="E10" s="1125"/>
      <c r="F10" s="1125"/>
      <c r="G10" s="1125"/>
      <c r="H10" s="1125"/>
      <c r="I10" s="1125"/>
      <c r="J10" s="1125"/>
      <c r="K10" s="1125"/>
      <c r="L10" s="1125"/>
      <c r="M10" s="1125"/>
      <c r="N10" s="1125"/>
      <c r="O10" s="1125"/>
      <c r="P10" s="1125"/>
      <c r="Q10" s="1125"/>
      <c r="R10" s="1125"/>
      <c r="S10" s="1125"/>
      <c r="T10" s="1125"/>
      <c r="U10" s="1125"/>
      <c r="V10" s="1125"/>
      <c r="W10" s="1125"/>
      <c r="AM10" s="1193"/>
      <c r="AN10" s="1193"/>
      <c r="AO10" s="1193"/>
      <c r="AP10" s="1193"/>
      <c r="AQ10" s="1193"/>
      <c r="AR10" s="1193"/>
      <c r="AS10" s="1193"/>
      <c r="AT10" s="1193"/>
      <c r="AU10" s="1193"/>
      <c r="AV10" s="1193"/>
      <c r="AW10" s="1193"/>
      <c r="AX10" s="1193"/>
      <c r="AY10" s="1193"/>
      <c r="AZ10" s="1193"/>
      <c r="BA10" s="1193"/>
      <c r="BB10" s="1193"/>
      <c r="BC10" s="1193"/>
      <c r="BD10" s="1193"/>
      <c r="BE10" s="1193"/>
      <c r="BF10" s="1193"/>
      <c r="BG10" s="1193"/>
      <c r="BH10" s="1193"/>
      <c r="BI10" s="1193"/>
      <c r="BJ10" s="1193"/>
      <c r="BK10" s="1193"/>
      <c r="BL10" s="1193"/>
      <c r="BM10" s="1193"/>
      <c r="BN10" s="1193"/>
      <c r="BO10" s="1193"/>
      <c r="BP10" s="1193"/>
      <c r="BQ10" s="1193"/>
      <c r="BR10" s="1193"/>
      <c r="BS10" s="1193"/>
      <c r="BT10" s="1193"/>
      <c r="BU10" s="1193"/>
      <c r="BV10" s="1193"/>
      <c r="BW10" s="1193"/>
      <c r="BX10" s="1193"/>
      <c r="BY10" s="1193"/>
      <c r="BZ10" s="1193"/>
      <c r="CA10" s="1193"/>
      <c r="CB10" s="1193"/>
      <c r="CC10" s="1193"/>
      <c r="CD10" s="1193"/>
      <c r="CE10" s="1193"/>
      <c r="CF10" s="1193"/>
      <c r="CG10" s="1193"/>
      <c r="CH10" s="1193"/>
      <c r="CI10" s="1193"/>
      <c r="CJ10" s="1193"/>
      <c r="CK10" s="1193"/>
      <c r="CL10" s="1193"/>
      <c r="CM10" s="1193"/>
      <c r="CN10" s="1193"/>
      <c r="CO10" s="1193"/>
      <c r="CP10" s="1193"/>
      <c r="CQ10" s="1193"/>
      <c r="CR10" s="1193"/>
      <c r="CS10" s="1193"/>
      <c r="CT10" s="1193"/>
      <c r="CU10" s="1193"/>
      <c r="CV10" s="1193"/>
      <c r="CW10" s="1193"/>
      <c r="CX10" s="1193"/>
      <c r="CY10" s="1193"/>
      <c r="CZ10" s="1193"/>
      <c r="DM10" s="1126"/>
      <c r="DN10" s="1126"/>
      <c r="DO10" s="1126"/>
      <c r="DP10" s="1126"/>
      <c r="DQ10" s="1126"/>
      <c r="DR10" s="1126"/>
      <c r="DS10" s="1126"/>
      <c r="DT10" s="1126"/>
      <c r="DU10" s="1126"/>
      <c r="DV10" s="1126"/>
      <c r="DW10" s="1126"/>
      <c r="DX10" s="1126"/>
      <c r="DY10" s="1126"/>
      <c r="DZ10" s="1126"/>
      <c r="EA10" s="1126"/>
      <c r="EB10" s="1126"/>
      <c r="EC10" s="1126"/>
      <c r="ED10" s="1126"/>
      <c r="EE10" s="1126"/>
      <c r="EF10" s="1126"/>
      <c r="EG10" s="1126"/>
      <c r="EH10" s="1126"/>
      <c r="EI10" s="1126"/>
      <c r="EJ10" s="1126"/>
    </row>
    <row r="11" spans="1:140" ht="3.75" customHeight="1" x14ac:dyDescent="0.25">
      <c r="A11" s="1125"/>
      <c r="B11" s="1125"/>
      <c r="C11" s="1125"/>
      <c r="D11" s="1125"/>
      <c r="E11" s="1125"/>
      <c r="F11" s="1125"/>
      <c r="G11" s="1125"/>
      <c r="H11" s="1125"/>
      <c r="I11" s="1125"/>
      <c r="J11" s="1125"/>
      <c r="K11" s="1125"/>
      <c r="L11" s="1125"/>
      <c r="M11" s="1125"/>
      <c r="N11" s="1125"/>
      <c r="O11" s="1125"/>
      <c r="P11" s="1125"/>
      <c r="Q11" s="1125"/>
      <c r="R11" s="1125"/>
      <c r="S11" s="1125"/>
      <c r="T11" s="1125"/>
      <c r="U11" s="1125"/>
      <c r="V11" s="1125"/>
      <c r="W11" s="1125"/>
      <c r="AM11" s="1193"/>
      <c r="AN11" s="1193"/>
      <c r="AO11" s="1193"/>
      <c r="AP11" s="1193"/>
      <c r="AQ11" s="1193"/>
      <c r="AR11" s="1193"/>
      <c r="AS11" s="1193"/>
      <c r="AT11" s="1193"/>
      <c r="AU11" s="1193"/>
      <c r="AV11" s="1193"/>
      <c r="AW11" s="1193"/>
      <c r="AX11" s="1193"/>
      <c r="AY11" s="1193"/>
      <c r="AZ11" s="1193"/>
      <c r="BA11" s="1193"/>
      <c r="BB11" s="1193"/>
      <c r="BC11" s="1193"/>
      <c r="BD11" s="1193"/>
      <c r="BE11" s="1193"/>
      <c r="BF11" s="1193"/>
      <c r="BG11" s="1193"/>
      <c r="BH11" s="1193"/>
      <c r="BI11" s="1193"/>
      <c r="BJ11" s="1193"/>
      <c r="BK11" s="1193"/>
      <c r="BL11" s="1193"/>
      <c r="BM11" s="1193"/>
      <c r="BN11" s="1193"/>
      <c r="BO11" s="1193"/>
      <c r="BP11" s="1193"/>
      <c r="BQ11" s="1193"/>
      <c r="BR11" s="1193"/>
      <c r="BS11" s="1193"/>
      <c r="BT11" s="1193"/>
      <c r="BU11" s="1193"/>
      <c r="BV11" s="1193"/>
      <c r="BW11" s="1193"/>
      <c r="BX11" s="1193"/>
      <c r="BY11" s="1193"/>
      <c r="BZ11" s="1193"/>
      <c r="CA11" s="1193"/>
      <c r="CB11" s="1193"/>
      <c r="CC11" s="1193"/>
      <c r="CD11" s="1193"/>
      <c r="CE11" s="1193"/>
      <c r="CF11" s="1193"/>
      <c r="CG11" s="1193"/>
      <c r="CH11" s="1193"/>
      <c r="CI11" s="1193"/>
      <c r="CJ11" s="1193"/>
      <c r="CK11" s="1193"/>
      <c r="CL11" s="1193"/>
      <c r="CM11" s="1193"/>
      <c r="CN11" s="1193"/>
      <c r="CO11" s="1193"/>
      <c r="CP11" s="1193"/>
      <c r="CQ11" s="1193"/>
      <c r="CR11" s="1193"/>
      <c r="CS11" s="1193"/>
      <c r="CT11" s="1193"/>
      <c r="CU11" s="1193"/>
      <c r="CV11" s="1193"/>
      <c r="CW11" s="1193"/>
      <c r="CX11" s="1193"/>
      <c r="CY11" s="1193"/>
      <c r="CZ11" s="1193"/>
      <c r="DM11" s="1126"/>
      <c r="DN11" s="1126"/>
      <c r="DO11" s="1126"/>
      <c r="DP11" s="1126"/>
      <c r="DQ11" s="1126"/>
      <c r="DR11" s="1126"/>
      <c r="DS11" s="1126"/>
      <c r="DT11" s="1126"/>
      <c r="DU11" s="1126"/>
      <c r="DV11" s="1126"/>
      <c r="DW11" s="1126"/>
      <c r="DX11" s="1126"/>
      <c r="DY11" s="1126"/>
      <c r="DZ11" s="1126"/>
      <c r="EA11" s="1126"/>
      <c r="EB11" s="1126"/>
      <c r="EC11" s="1126"/>
      <c r="ED11" s="1126"/>
      <c r="EE11" s="1126"/>
      <c r="EF11" s="1126"/>
      <c r="EG11" s="1126"/>
      <c r="EH11" s="1126"/>
      <c r="EI11" s="1126"/>
      <c r="EJ11" s="1126"/>
    </row>
    <row r="12" spans="1:140" ht="3.75" customHeight="1" x14ac:dyDescent="0.25">
      <c r="A12" s="1125" t="s">
        <v>868</v>
      </c>
      <c r="B12" s="1125"/>
      <c r="C12" s="1125"/>
      <c r="D12" s="1125"/>
      <c r="E12" s="1125"/>
      <c r="F12" s="1125"/>
      <c r="G12" s="1125"/>
      <c r="H12" s="1125"/>
      <c r="I12" s="1125"/>
      <c r="J12" s="1125"/>
      <c r="K12" s="1125"/>
      <c r="L12" s="1125"/>
      <c r="M12" s="1125"/>
      <c r="N12" s="1125"/>
      <c r="O12" s="1125"/>
      <c r="P12" s="1125"/>
      <c r="Q12" s="1125"/>
      <c r="R12" s="1125"/>
      <c r="S12" s="1125"/>
      <c r="T12" s="1125"/>
      <c r="U12" s="1125"/>
      <c r="V12" s="1125"/>
      <c r="W12" s="1125"/>
      <c r="X12" s="1125"/>
      <c r="Y12" s="1125"/>
      <c r="Z12" s="1125"/>
      <c r="AM12" s="1193"/>
      <c r="AN12" s="1193"/>
      <c r="AO12" s="1193"/>
      <c r="AP12" s="1193"/>
      <c r="AQ12" s="1193"/>
      <c r="AR12" s="1193"/>
      <c r="AS12" s="1193"/>
      <c r="AT12" s="1193"/>
      <c r="AU12" s="1193"/>
      <c r="AV12" s="1193"/>
      <c r="AW12" s="1193"/>
      <c r="AX12" s="1193"/>
      <c r="AY12" s="1193"/>
      <c r="AZ12" s="1193"/>
      <c r="BA12" s="1193"/>
      <c r="BB12" s="1193"/>
      <c r="BC12" s="1193"/>
      <c r="BD12" s="1193"/>
      <c r="BE12" s="1193"/>
      <c r="BF12" s="1193"/>
      <c r="BG12" s="1193"/>
      <c r="BH12" s="1193"/>
      <c r="BI12" s="1193"/>
      <c r="BJ12" s="1193"/>
      <c r="BK12" s="1193"/>
      <c r="BL12" s="1193"/>
      <c r="BM12" s="1193"/>
      <c r="BN12" s="1193"/>
      <c r="BO12" s="1193"/>
      <c r="BP12" s="1193"/>
      <c r="BQ12" s="1193"/>
      <c r="BR12" s="1193"/>
      <c r="BS12" s="1193"/>
      <c r="BT12" s="1193"/>
      <c r="BU12" s="1193"/>
      <c r="BV12" s="1193"/>
      <c r="BW12" s="1193"/>
      <c r="BX12" s="1193"/>
      <c r="BY12" s="1193"/>
      <c r="BZ12" s="1193"/>
      <c r="CA12" s="1193"/>
      <c r="CB12" s="1193"/>
      <c r="CC12" s="1193"/>
      <c r="CD12" s="1193"/>
      <c r="CE12" s="1193"/>
      <c r="CF12" s="1193"/>
      <c r="CG12" s="1193"/>
      <c r="CH12" s="1193"/>
      <c r="CI12" s="1193"/>
      <c r="CJ12" s="1193"/>
      <c r="CK12" s="1193"/>
      <c r="CL12" s="1193"/>
      <c r="CM12" s="1193"/>
      <c r="CN12" s="1193"/>
      <c r="CO12" s="1193"/>
      <c r="CP12" s="1193"/>
      <c r="CQ12" s="1193"/>
      <c r="CR12" s="1193"/>
      <c r="CS12" s="1193"/>
      <c r="CT12" s="1193"/>
      <c r="CU12" s="1193"/>
      <c r="CV12" s="1193"/>
      <c r="CW12" s="1193"/>
      <c r="CX12" s="1193"/>
      <c r="CY12" s="1193"/>
      <c r="CZ12" s="1193"/>
      <c r="DJ12" s="1126" t="s">
        <v>871</v>
      </c>
      <c r="DK12" s="1126"/>
      <c r="DL12" s="1126"/>
      <c r="DM12" s="1126"/>
      <c r="DN12" s="1126"/>
      <c r="DO12" s="1126"/>
      <c r="DP12" s="1126"/>
      <c r="DQ12" s="1126"/>
      <c r="DR12" s="1126"/>
      <c r="DS12" s="1126"/>
      <c r="DT12" s="1126"/>
      <c r="DU12" s="1126"/>
      <c r="DV12" s="1126"/>
      <c r="DW12" s="1126"/>
      <c r="DX12" s="1126"/>
      <c r="DY12" s="1126"/>
      <c r="DZ12" s="1126"/>
      <c r="EA12" s="1126"/>
      <c r="EB12" s="1126"/>
      <c r="EC12" s="1126"/>
      <c r="ED12" s="1126"/>
      <c r="EE12" s="1126"/>
      <c r="EF12" s="1126"/>
      <c r="EG12" s="1126"/>
      <c r="EH12" s="1126"/>
      <c r="EI12" s="1126"/>
      <c r="EJ12" s="1126"/>
    </row>
    <row r="13" spans="1:140" ht="3.75" customHeight="1" x14ac:dyDescent="0.25">
      <c r="A13" s="1125"/>
      <c r="B13" s="1125"/>
      <c r="C13" s="1125"/>
      <c r="D13" s="1125"/>
      <c r="E13" s="1125"/>
      <c r="F13" s="1125"/>
      <c r="G13" s="1125"/>
      <c r="H13" s="1125"/>
      <c r="I13" s="1125"/>
      <c r="J13" s="1125"/>
      <c r="K13" s="1125"/>
      <c r="L13" s="1125"/>
      <c r="M13" s="1125"/>
      <c r="N13" s="1125"/>
      <c r="O13" s="1125"/>
      <c r="P13" s="1125"/>
      <c r="Q13" s="1125"/>
      <c r="R13" s="1125"/>
      <c r="S13" s="1125"/>
      <c r="T13" s="1125"/>
      <c r="U13" s="1125"/>
      <c r="V13" s="1125"/>
      <c r="W13" s="1125"/>
      <c r="X13" s="1125"/>
      <c r="Y13" s="1125"/>
      <c r="Z13" s="1125"/>
      <c r="AM13" s="1193"/>
      <c r="AN13" s="1193"/>
      <c r="AO13" s="1193"/>
      <c r="AP13" s="1193"/>
      <c r="AQ13" s="1193"/>
      <c r="AR13" s="1193"/>
      <c r="AS13" s="1193"/>
      <c r="AT13" s="1193"/>
      <c r="AU13" s="1193"/>
      <c r="AV13" s="1193"/>
      <c r="AW13" s="1193"/>
      <c r="AX13" s="1193"/>
      <c r="AY13" s="1193"/>
      <c r="AZ13" s="1193"/>
      <c r="BA13" s="1193"/>
      <c r="BB13" s="1193"/>
      <c r="BC13" s="1193"/>
      <c r="BD13" s="1193"/>
      <c r="BE13" s="1193"/>
      <c r="BF13" s="1193"/>
      <c r="BG13" s="1193"/>
      <c r="BH13" s="1193"/>
      <c r="BI13" s="1193"/>
      <c r="BJ13" s="1193"/>
      <c r="BK13" s="1193"/>
      <c r="BL13" s="1193"/>
      <c r="BM13" s="1193"/>
      <c r="BN13" s="1193"/>
      <c r="BO13" s="1193"/>
      <c r="BP13" s="1193"/>
      <c r="BQ13" s="1193"/>
      <c r="BR13" s="1193"/>
      <c r="BS13" s="1193"/>
      <c r="BT13" s="1193"/>
      <c r="BU13" s="1193"/>
      <c r="BV13" s="1193"/>
      <c r="BW13" s="1193"/>
      <c r="BX13" s="1193"/>
      <c r="BY13" s="1193"/>
      <c r="BZ13" s="1193"/>
      <c r="CA13" s="1193"/>
      <c r="CB13" s="1193"/>
      <c r="CC13" s="1193"/>
      <c r="CD13" s="1193"/>
      <c r="CE13" s="1193"/>
      <c r="CF13" s="1193"/>
      <c r="CG13" s="1193"/>
      <c r="CH13" s="1193"/>
      <c r="CI13" s="1193"/>
      <c r="CJ13" s="1193"/>
      <c r="CK13" s="1193"/>
      <c r="CL13" s="1193"/>
      <c r="CM13" s="1193"/>
      <c r="CN13" s="1193"/>
      <c r="CO13" s="1193"/>
      <c r="CP13" s="1193"/>
      <c r="CQ13" s="1193"/>
      <c r="CR13" s="1193"/>
      <c r="CS13" s="1193"/>
      <c r="CT13" s="1193"/>
      <c r="CU13" s="1193"/>
      <c r="CV13" s="1193"/>
      <c r="CW13" s="1193"/>
      <c r="CX13" s="1193"/>
      <c r="CY13" s="1193"/>
      <c r="CZ13" s="1193"/>
      <c r="DJ13" s="1126"/>
      <c r="DK13" s="1126"/>
      <c r="DL13" s="1126"/>
      <c r="DM13" s="1126"/>
      <c r="DN13" s="1126"/>
      <c r="DO13" s="1126"/>
      <c r="DP13" s="1126"/>
      <c r="DQ13" s="1126"/>
      <c r="DR13" s="1126"/>
      <c r="DS13" s="1126"/>
      <c r="DT13" s="1126"/>
      <c r="DU13" s="1126"/>
      <c r="DV13" s="1126"/>
      <c r="DW13" s="1126"/>
      <c r="DX13" s="1126"/>
      <c r="DY13" s="1126"/>
      <c r="DZ13" s="1126"/>
      <c r="EA13" s="1126"/>
      <c r="EB13" s="1126"/>
      <c r="EC13" s="1126"/>
      <c r="ED13" s="1126"/>
      <c r="EE13" s="1126"/>
      <c r="EF13" s="1126"/>
      <c r="EG13" s="1126"/>
      <c r="EH13" s="1126"/>
      <c r="EI13" s="1126"/>
      <c r="EJ13" s="1126"/>
    </row>
    <row r="14" spans="1:140" ht="3.75" customHeight="1" x14ac:dyDescent="0.25">
      <c r="A14" s="1125"/>
      <c r="B14" s="1125"/>
      <c r="C14" s="1125"/>
      <c r="D14" s="1125"/>
      <c r="E14" s="1125"/>
      <c r="F14" s="1125"/>
      <c r="G14" s="1125"/>
      <c r="H14" s="1125"/>
      <c r="I14" s="1125"/>
      <c r="J14" s="1125"/>
      <c r="K14" s="1125"/>
      <c r="L14" s="1125"/>
      <c r="M14" s="1125"/>
      <c r="N14" s="1125"/>
      <c r="O14" s="1125"/>
      <c r="P14" s="1125"/>
      <c r="Q14" s="1125"/>
      <c r="R14" s="1125"/>
      <c r="S14" s="1125"/>
      <c r="T14" s="1125"/>
      <c r="U14" s="1125"/>
      <c r="V14" s="1125"/>
      <c r="W14" s="1125"/>
      <c r="X14" s="1125"/>
      <c r="Y14" s="1125"/>
      <c r="Z14" s="1125"/>
      <c r="AM14" s="1193"/>
      <c r="AN14" s="1193"/>
      <c r="AO14" s="1193"/>
      <c r="AP14" s="1193"/>
      <c r="AQ14" s="1193"/>
      <c r="AR14" s="1193"/>
      <c r="AS14" s="1193"/>
      <c r="AT14" s="1193"/>
      <c r="AU14" s="1193"/>
      <c r="AV14" s="1193"/>
      <c r="AW14" s="1193"/>
      <c r="AX14" s="1193"/>
      <c r="AY14" s="1193"/>
      <c r="AZ14" s="1193"/>
      <c r="BA14" s="1193"/>
      <c r="BB14" s="1193"/>
      <c r="BC14" s="1193"/>
      <c r="BD14" s="1193"/>
      <c r="BE14" s="1193"/>
      <c r="BF14" s="1193"/>
      <c r="BG14" s="1193"/>
      <c r="BH14" s="1193"/>
      <c r="BI14" s="1193"/>
      <c r="BJ14" s="1193"/>
      <c r="BK14" s="1193"/>
      <c r="BL14" s="1193"/>
      <c r="BM14" s="1193"/>
      <c r="BN14" s="1193"/>
      <c r="BO14" s="1193"/>
      <c r="BP14" s="1193"/>
      <c r="BQ14" s="1193"/>
      <c r="BR14" s="1193"/>
      <c r="BS14" s="1193"/>
      <c r="BT14" s="1193"/>
      <c r="BU14" s="1193"/>
      <c r="BV14" s="1193"/>
      <c r="BW14" s="1193"/>
      <c r="BX14" s="1193"/>
      <c r="BY14" s="1193"/>
      <c r="BZ14" s="1193"/>
      <c r="CA14" s="1193"/>
      <c r="CB14" s="1193"/>
      <c r="CC14" s="1193"/>
      <c r="CD14" s="1193"/>
      <c r="CE14" s="1193"/>
      <c r="CF14" s="1193"/>
      <c r="CG14" s="1193"/>
      <c r="CH14" s="1193"/>
      <c r="CI14" s="1193"/>
      <c r="CJ14" s="1193"/>
      <c r="CK14" s="1193"/>
      <c r="CL14" s="1193"/>
      <c r="CM14" s="1193"/>
      <c r="CN14" s="1193"/>
      <c r="CO14" s="1193"/>
      <c r="CP14" s="1193"/>
      <c r="CQ14" s="1193"/>
      <c r="CR14" s="1193"/>
      <c r="CS14" s="1193"/>
      <c r="CT14" s="1193"/>
      <c r="CU14" s="1193"/>
      <c r="CV14" s="1193"/>
      <c r="CW14" s="1193"/>
      <c r="CX14" s="1193"/>
      <c r="CY14" s="1193"/>
      <c r="CZ14" s="1193"/>
      <c r="DJ14" s="1126"/>
      <c r="DK14" s="1126"/>
      <c r="DL14" s="1126"/>
      <c r="DM14" s="1126"/>
      <c r="DN14" s="1126"/>
      <c r="DO14" s="1126"/>
      <c r="DP14" s="1126"/>
      <c r="DQ14" s="1126"/>
      <c r="DR14" s="1126"/>
      <c r="DS14" s="1126"/>
      <c r="DT14" s="1126"/>
      <c r="DU14" s="1126"/>
      <c r="DV14" s="1126"/>
      <c r="DW14" s="1126"/>
      <c r="DX14" s="1126"/>
      <c r="DY14" s="1126"/>
      <c r="DZ14" s="1126"/>
      <c r="EA14" s="1126"/>
      <c r="EB14" s="1126"/>
      <c r="EC14" s="1126"/>
      <c r="ED14" s="1126"/>
      <c r="EE14" s="1126"/>
      <c r="EF14" s="1126"/>
      <c r="EG14" s="1126"/>
      <c r="EH14" s="1126"/>
      <c r="EI14" s="1126"/>
      <c r="EJ14" s="1126"/>
    </row>
    <row r="15" spans="1:140" ht="3.75" customHeight="1" x14ac:dyDescent="0.25">
      <c r="A15" s="1197" t="s">
        <v>869</v>
      </c>
      <c r="B15" s="1197"/>
      <c r="C15" s="1197"/>
      <c r="D15" s="1197"/>
      <c r="E15" s="1197"/>
      <c r="F15" s="1197"/>
      <c r="G15" s="1197"/>
      <c r="H15" s="1197"/>
      <c r="I15" s="1197"/>
      <c r="J15" s="1197"/>
      <c r="K15" s="1197"/>
      <c r="L15" s="1197"/>
      <c r="M15" s="1197"/>
      <c r="N15" s="1197"/>
      <c r="O15" s="1197"/>
      <c r="P15" s="1197"/>
      <c r="Q15" s="1197"/>
      <c r="R15" s="1197"/>
      <c r="S15" s="1197"/>
      <c r="T15" s="1197"/>
      <c r="U15" s="1197"/>
      <c r="V15" s="1197"/>
      <c r="W15" s="1197"/>
      <c r="X15" s="1197"/>
      <c r="Y15" s="1197"/>
      <c r="Z15" s="1197"/>
      <c r="AA15" s="1197"/>
      <c r="AB15" s="1197"/>
      <c r="AC15" s="1197"/>
      <c r="AD15" s="1197"/>
      <c r="AE15" s="1197"/>
      <c r="AF15" s="1197"/>
      <c r="AG15" s="1197"/>
      <c r="AH15" s="1197"/>
      <c r="AM15" s="1193"/>
      <c r="AN15" s="1193"/>
      <c r="AO15" s="1193"/>
      <c r="AP15" s="1193"/>
      <c r="AQ15" s="1193"/>
      <c r="AR15" s="1193"/>
      <c r="AS15" s="1193"/>
      <c r="AT15" s="1193"/>
      <c r="AU15" s="1193"/>
      <c r="AV15" s="1193"/>
      <c r="AW15" s="1193"/>
      <c r="AX15" s="1193"/>
      <c r="AY15" s="1193"/>
      <c r="AZ15" s="1193"/>
      <c r="BA15" s="1193"/>
      <c r="BB15" s="1193"/>
      <c r="BC15" s="1193"/>
      <c r="BD15" s="1193"/>
      <c r="BE15" s="1193"/>
      <c r="BF15" s="1193"/>
      <c r="BG15" s="1193"/>
      <c r="BH15" s="1193"/>
      <c r="BI15" s="1193"/>
      <c r="BJ15" s="1193"/>
      <c r="BK15" s="1193"/>
      <c r="BL15" s="1193"/>
      <c r="BM15" s="1193"/>
      <c r="BN15" s="1193"/>
      <c r="BO15" s="1193"/>
      <c r="BP15" s="1193"/>
      <c r="BQ15" s="1193"/>
      <c r="BR15" s="1193"/>
      <c r="BS15" s="1193"/>
      <c r="BT15" s="1193"/>
      <c r="BU15" s="1193"/>
      <c r="BV15" s="1193"/>
      <c r="BW15" s="1193"/>
      <c r="BX15" s="1193"/>
      <c r="BY15" s="1193"/>
      <c r="BZ15" s="1193"/>
      <c r="CA15" s="1193"/>
      <c r="CB15" s="1193"/>
      <c r="CC15" s="1193"/>
      <c r="CD15" s="1193"/>
      <c r="CE15" s="1193"/>
      <c r="CF15" s="1193"/>
      <c r="CG15" s="1193"/>
      <c r="CH15" s="1193"/>
      <c r="CI15" s="1193"/>
      <c r="CJ15" s="1193"/>
      <c r="CK15" s="1193"/>
      <c r="CL15" s="1193"/>
      <c r="CM15" s="1193"/>
      <c r="CN15" s="1193"/>
      <c r="CO15" s="1193"/>
      <c r="CP15" s="1193"/>
      <c r="CQ15" s="1193"/>
      <c r="CR15" s="1193"/>
      <c r="CS15" s="1193"/>
      <c r="CT15" s="1193"/>
      <c r="CU15" s="1193"/>
      <c r="CV15" s="1193"/>
      <c r="CW15" s="1193"/>
      <c r="CX15" s="1193"/>
      <c r="CY15" s="1193"/>
      <c r="CZ15" s="1193"/>
      <c r="DE15" s="1126" t="s">
        <v>870</v>
      </c>
      <c r="DF15" s="1126"/>
      <c r="DG15" s="1126"/>
      <c r="DH15" s="1126"/>
      <c r="DI15" s="1126"/>
      <c r="DJ15" s="1126"/>
      <c r="DK15" s="1126"/>
      <c r="DL15" s="1126"/>
      <c r="DM15" s="1126"/>
      <c r="DN15" s="1126"/>
      <c r="DO15" s="1126"/>
      <c r="DP15" s="1126"/>
      <c r="DQ15" s="1126"/>
      <c r="DR15" s="1126"/>
      <c r="DS15" s="1126"/>
      <c r="DT15" s="1126"/>
      <c r="DU15" s="1126"/>
      <c r="DV15" s="1126"/>
      <c r="DW15" s="1126"/>
      <c r="DX15" s="1126"/>
      <c r="DY15" s="1126"/>
      <c r="DZ15" s="1126"/>
      <c r="EA15" s="1126"/>
      <c r="EB15" s="1126"/>
      <c r="EC15" s="1126"/>
      <c r="ED15" s="1126"/>
      <c r="EE15" s="1126"/>
      <c r="EF15" s="1126"/>
      <c r="EG15" s="1126"/>
      <c r="EH15" s="1126"/>
      <c r="EI15" s="1126"/>
      <c r="EJ15" s="1126"/>
    </row>
    <row r="16" spans="1:140" ht="3.75" customHeight="1" x14ac:dyDescent="0.25">
      <c r="A16" s="1197"/>
      <c r="B16" s="1197"/>
      <c r="C16" s="1197"/>
      <c r="D16" s="1197"/>
      <c r="E16" s="1197"/>
      <c r="F16" s="1197"/>
      <c r="G16" s="1197"/>
      <c r="H16" s="1197"/>
      <c r="I16" s="1197"/>
      <c r="J16" s="1197"/>
      <c r="K16" s="1197"/>
      <c r="L16" s="1197"/>
      <c r="M16" s="1197"/>
      <c r="N16" s="1197"/>
      <c r="O16" s="1197"/>
      <c r="P16" s="1197"/>
      <c r="Q16" s="1197"/>
      <c r="R16" s="1197"/>
      <c r="S16" s="1197"/>
      <c r="T16" s="1197"/>
      <c r="U16" s="1197"/>
      <c r="V16" s="1197"/>
      <c r="W16" s="1197"/>
      <c r="X16" s="1197"/>
      <c r="Y16" s="1197"/>
      <c r="Z16" s="1197"/>
      <c r="AA16" s="1197"/>
      <c r="AB16" s="1197"/>
      <c r="AC16" s="1197"/>
      <c r="AD16" s="1197"/>
      <c r="AE16" s="1197"/>
      <c r="AF16" s="1197"/>
      <c r="AG16" s="1197"/>
      <c r="AH16" s="1197"/>
      <c r="AM16" s="1193"/>
      <c r="AN16" s="1193"/>
      <c r="AO16" s="1193"/>
      <c r="AP16" s="1193"/>
      <c r="AQ16" s="1193"/>
      <c r="AR16" s="1193"/>
      <c r="AS16" s="1193"/>
      <c r="AT16" s="1193"/>
      <c r="AU16" s="1193"/>
      <c r="AV16" s="1193"/>
      <c r="AW16" s="1193"/>
      <c r="AX16" s="1193"/>
      <c r="AY16" s="1193"/>
      <c r="AZ16" s="1193"/>
      <c r="BA16" s="1193"/>
      <c r="BB16" s="1193"/>
      <c r="BC16" s="1193"/>
      <c r="BD16" s="1193"/>
      <c r="BE16" s="1193"/>
      <c r="BF16" s="1193"/>
      <c r="BG16" s="1193"/>
      <c r="BH16" s="1193"/>
      <c r="BI16" s="1193"/>
      <c r="BJ16" s="1193"/>
      <c r="BK16" s="1193"/>
      <c r="BL16" s="1193"/>
      <c r="BM16" s="1193"/>
      <c r="BN16" s="1193"/>
      <c r="BO16" s="1193"/>
      <c r="BP16" s="1193"/>
      <c r="BQ16" s="1193"/>
      <c r="BR16" s="1193"/>
      <c r="BS16" s="1193"/>
      <c r="BT16" s="1193"/>
      <c r="BU16" s="1193"/>
      <c r="BV16" s="1193"/>
      <c r="BW16" s="1193"/>
      <c r="BX16" s="1193"/>
      <c r="BY16" s="1193"/>
      <c r="BZ16" s="1193"/>
      <c r="CA16" s="1193"/>
      <c r="CB16" s="1193"/>
      <c r="CC16" s="1193"/>
      <c r="CD16" s="1193"/>
      <c r="CE16" s="1193"/>
      <c r="CF16" s="1193"/>
      <c r="CG16" s="1193"/>
      <c r="CH16" s="1193"/>
      <c r="CI16" s="1193"/>
      <c r="CJ16" s="1193"/>
      <c r="CK16" s="1193"/>
      <c r="CL16" s="1193"/>
      <c r="CM16" s="1193"/>
      <c r="CN16" s="1193"/>
      <c r="CO16" s="1193"/>
      <c r="CP16" s="1193"/>
      <c r="CQ16" s="1193"/>
      <c r="CR16" s="1193"/>
      <c r="CS16" s="1193"/>
      <c r="CT16" s="1193"/>
      <c r="CU16" s="1193"/>
      <c r="CV16" s="1193"/>
      <c r="CW16" s="1193"/>
      <c r="CX16" s="1193"/>
      <c r="CY16" s="1193"/>
      <c r="CZ16" s="1193"/>
      <c r="DE16" s="1126"/>
      <c r="DF16" s="1126"/>
      <c r="DG16" s="1126"/>
      <c r="DH16" s="1126"/>
      <c r="DI16" s="1126"/>
      <c r="DJ16" s="1126"/>
      <c r="DK16" s="1126"/>
      <c r="DL16" s="1126"/>
      <c r="DM16" s="1126"/>
      <c r="DN16" s="1126"/>
      <c r="DO16" s="1126"/>
      <c r="DP16" s="1126"/>
      <c r="DQ16" s="1126"/>
      <c r="DR16" s="1126"/>
      <c r="DS16" s="1126"/>
      <c r="DT16" s="1126"/>
      <c r="DU16" s="1126"/>
      <c r="DV16" s="1126"/>
      <c r="DW16" s="1126"/>
      <c r="DX16" s="1126"/>
      <c r="DY16" s="1126"/>
      <c r="DZ16" s="1126"/>
      <c r="EA16" s="1126"/>
      <c r="EB16" s="1126"/>
      <c r="EC16" s="1126"/>
      <c r="ED16" s="1126"/>
      <c r="EE16" s="1126"/>
      <c r="EF16" s="1126"/>
      <c r="EG16" s="1126"/>
      <c r="EH16" s="1126"/>
      <c r="EI16" s="1126"/>
      <c r="EJ16" s="1126"/>
    </row>
    <row r="17" spans="1:140" ht="3.75" customHeight="1" x14ac:dyDescent="0.25">
      <c r="A17" s="1197"/>
      <c r="B17" s="1197"/>
      <c r="C17" s="1197"/>
      <c r="D17" s="1197"/>
      <c r="E17" s="1197"/>
      <c r="F17" s="1197"/>
      <c r="G17" s="1197"/>
      <c r="H17" s="1197"/>
      <c r="I17" s="1197"/>
      <c r="J17" s="1197"/>
      <c r="K17" s="1197"/>
      <c r="L17" s="1197"/>
      <c r="M17" s="1197"/>
      <c r="N17" s="1197"/>
      <c r="O17" s="1197"/>
      <c r="P17" s="1197"/>
      <c r="Q17" s="1197"/>
      <c r="R17" s="1197"/>
      <c r="S17" s="1197"/>
      <c r="T17" s="1197"/>
      <c r="U17" s="1197"/>
      <c r="V17" s="1197"/>
      <c r="W17" s="1197"/>
      <c r="X17" s="1197"/>
      <c r="Y17" s="1197"/>
      <c r="Z17" s="1197"/>
      <c r="AA17" s="1197"/>
      <c r="AB17" s="1197"/>
      <c r="AC17" s="1197"/>
      <c r="AD17" s="1197"/>
      <c r="AE17" s="1197"/>
      <c r="AF17" s="1197"/>
      <c r="AG17" s="1197"/>
      <c r="AH17" s="1197"/>
      <c r="AM17" s="1193"/>
      <c r="AN17" s="1193"/>
      <c r="AO17" s="1193"/>
      <c r="AP17" s="1193"/>
      <c r="AQ17" s="1193"/>
      <c r="AR17" s="1193"/>
      <c r="AS17" s="1193"/>
      <c r="AT17" s="1193"/>
      <c r="AU17" s="1193"/>
      <c r="AV17" s="1193"/>
      <c r="AW17" s="1193"/>
      <c r="AX17" s="1193"/>
      <c r="AY17" s="1193"/>
      <c r="AZ17" s="1193"/>
      <c r="BA17" s="1193"/>
      <c r="BB17" s="1193"/>
      <c r="BC17" s="1193"/>
      <c r="BD17" s="1193"/>
      <c r="BE17" s="1193"/>
      <c r="BF17" s="1193"/>
      <c r="BG17" s="1193"/>
      <c r="BH17" s="1193"/>
      <c r="BI17" s="1193"/>
      <c r="BJ17" s="1193"/>
      <c r="BK17" s="1193"/>
      <c r="BL17" s="1193"/>
      <c r="BM17" s="1193"/>
      <c r="BN17" s="1193"/>
      <c r="BO17" s="1193"/>
      <c r="BP17" s="1193"/>
      <c r="BQ17" s="1193"/>
      <c r="BR17" s="1193"/>
      <c r="BS17" s="1193"/>
      <c r="BT17" s="1193"/>
      <c r="BU17" s="1193"/>
      <c r="BV17" s="1193"/>
      <c r="BW17" s="1193"/>
      <c r="BX17" s="1193"/>
      <c r="BY17" s="1193"/>
      <c r="BZ17" s="1193"/>
      <c r="CA17" s="1193"/>
      <c r="CB17" s="1193"/>
      <c r="CC17" s="1193"/>
      <c r="CD17" s="1193"/>
      <c r="CE17" s="1193"/>
      <c r="CF17" s="1193"/>
      <c r="CG17" s="1193"/>
      <c r="CH17" s="1193"/>
      <c r="CI17" s="1193"/>
      <c r="CJ17" s="1193"/>
      <c r="CK17" s="1193"/>
      <c r="CL17" s="1193"/>
      <c r="CM17" s="1193"/>
      <c r="CN17" s="1193"/>
      <c r="CO17" s="1193"/>
      <c r="CP17" s="1193"/>
      <c r="CQ17" s="1193"/>
      <c r="CR17" s="1193"/>
      <c r="CS17" s="1193"/>
      <c r="CT17" s="1193"/>
      <c r="CU17" s="1193"/>
      <c r="CV17" s="1193"/>
      <c r="CW17" s="1193"/>
      <c r="CX17" s="1193"/>
      <c r="CY17" s="1193"/>
      <c r="CZ17" s="1193"/>
      <c r="DE17" s="1126"/>
      <c r="DF17" s="1126"/>
      <c r="DG17" s="1126"/>
      <c r="DH17" s="1126"/>
      <c r="DI17" s="1126"/>
      <c r="DJ17" s="1126"/>
      <c r="DK17" s="1126"/>
      <c r="DL17" s="1126"/>
      <c r="DM17" s="1126"/>
      <c r="DN17" s="1126"/>
      <c r="DO17" s="1126"/>
      <c r="DP17" s="1126"/>
      <c r="DQ17" s="1126"/>
      <c r="DR17" s="1126"/>
      <c r="DS17" s="1126"/>
      <c r="DT17" s="1126"/>
      <c r="DU17" s="1126"/>
      <c r="DV17" s="1126"/>
      <c r="DW17" s="1126"/>
      <c r="DX17" s="1126"/>
      <c r="DY17" s="1126"/>
      <c r="DZ17" s="1126"/>
      <c r="EA17" s="1126"/>
      <c r="EB17" s="1126"/>
      <c r="EC17" s="1126"/>
      <c r="ED17" s="1126"/>
      <c r="EE17" s="1126"/>
      <c r="EF17" s="1126"/>
      <c r="EG17" s="1126"/>
      <c r="EH17" s="1126"/>
      <c r="EI17" s="1126"/>
      <c r="EJ17" s="1126"/>
    </row>
    <row r="18" spans="1:140" ht="3.75" customHeight="1" x14ac:dyDescent="0.25">
      <c r="AM18" s="1193"/>
      <c r="AN18" s="1193"/>
      <c r="AO18" s="1193"/>
      <c r="AP18" s="1193"/>
      <c r="AQ18" s="1193"/>
      <c r="AR18" s="1193"/>
      <c r="AS18" s="1193"/>
      <c r="AT18" s="1193"/>
      <c r="AU18" s="1193"/>
      <c r="AV18" s="1193"/>
      <c r="AW18" s="1193"/>
      <c r="AX18" s="1193"/>
      <c r="AY18" s="1193"/>
      <c r="AZ18" s="1193"/>
      <c r="BA18" s="1193"/>
      <c r="BB18" s="1193"/>
      <c r="BC18" s="1193"/>
      <c r="BD18" s="1193"/>
      <c r="BE18" s="1193"/>
      <c r="BF18" s="1193"/>
      <c r="BG18" s="1193"/>
      <c r="BH18" s="1193"/>
      <c r="BI18" s="1193"/>
      <c r="BJ18" s="1193"/>
      <c r="BK18" s="1193"/>
      <c r="BL18" s="1193"/>
      <c r="BM18" s="1193"/>
      <c r="BN18" s="1193"/>
      <c r="BO18" s="1193"/>
      <c r="BP18" s="1193"/>
      <c r="BQ18" s="1193"/>
      <c r="BR18" s="1193"/>
      <c r="BS18" s="1193"/>
      <c r="BT18" s="1193"/>
      <c r="BU18" s="1193"/>
      <c r="BV18" s="1193"/>
      <c r="BW18" s="1193"/>
      <c r="BX18" s="1193"/>
      <c r="BY18" s="1193"/>
      <c r="BZ18" s="1193"/>
      <c r="CA18" s="1193"/>
      <c r="CB18" s="1193"/>
      <c r="CC18" s="1193"/>
      <c r="CD18" s="1193"/>
      <c r="CE18" s="1193"/>
      <c r="CF18" s="1193"/>
      <c r="CG18" s="1193"/>
      <c r="CH18" s="1193"/>
      <c r="CI18" s="1193"/>
      <c r="CJ18" s="1193"/>
      <c r="CK18" s="1193"/>
      <c r="CL18" s="1193"/>
      <c r="CM18" s="1193"/>
      <c r="CN18" s="1193"/>
      <c r="CO18" s="1193"/>
      <c r="CP18" s="1193"/>
      <c r="CQ18" s="1193"/>
      <c r="CR18" s="1193"/>
      <c r="CS18" s="1193"/>
      <c r="CT18" s="1193"/>
      <c r="CU18" s="1193"/>
      <c r="CV18" s="1193"/>
      <c r="CW18" s="1193"/>
      <c r="CX18" s="1193"/>
      <c r="CY18" s="1193"/>
      <c r="CZ18" s="1193"/>
    </row>
    <row r="19" spans="1:140" ht="3.75" customHeight="1" thickBot="1" x14ac:dyDescent="0.3">
      <c r="A19" s="355"/>
      <c r="B19" s="355"/>
      <c r="C19" s="355"/>
      <c r="D19" s="355"/>
      <c r="E19" s="355"/>
      <c r="F19" s="355"/>
      <c r="G19" s="355"/>
      <c r="H19" s="355"/>
      <c r="I19" s="355"/>
      <c r="J19" s="355"/>
      <c r="K19" s="355"/>
      <c r="L19" s="355"/>
      <c r="M19" s="355"/>
      <c r="N19" s="355"/>
      <c r="O19" s="355"/>
      <c r="P19" s="355"/>
      <c r="Q19" s="355"/>
      <c r="R19" s="355"/>
      <c r="S19" s="355"/>
      <c r="T19" s="355"/>
      <c r="U19" s="355"/>
      <c r="V19" s="355"/>
      <c r="W19" s="355"/>
      <c r="X19" s="355"/>
      <c r="Y19" s="355"/>
      <c r="Z19" s="355"/>
      <c r="AA19" s="355"/>
      <c r="AB19" s="355"/>
      <c r="AC19" s="355"/>
      <c r="AD19" s="355"/>
      <c r="AE19" s="355"/>
      <c r="AF19" s="355"/>
      <c r="AG19" s="355"/>
      <c r="AH19" s="355"/>
      <c r="AI19" s="355"/>
      <c r="AJ19" s="355"/>
      <c r="AK19" s="355"/>
      <c r="AL19" s="355"/>
      <c r="AM19" s="1194"/>
      <c r="AN19" s="1194"/>
      <c r="AO19" s="1194"/>
      <c r="AP19" s="1194"/>
      <c r="AQ19" s="1194"/>
      <c r="AR19" s="1194"/>
      <c r="AS19" s="1194"/>
      <c r="AT19" s="1194"/>
      <c r="AU19" s="1194"/>
      <c r="AV19" s="1194"/>
      <c r="AW19" s="1194"/>
      <c r="AX19" s="1194"/>
      <c r="AY19" s="1194"/>
      <c r="AZ19" s="1194"/>
      <c r="BA19" s="1194"/>
      <c r="BB19" s="1194"/>
      <c r="BC19" s="1194"/>
      <c r="BD19" s="1194"/>
      <c r="BE19" s="1194"/>
      <c r="BF19" s="1194"/>
      <c r="BG19" s="1194"/>
      <c r="BH19" s="1194"/>
      <c r="BI19" s="1194"/>
      <c r="BJ19" s="1194"/>
      <c r="BK19" s="1194"/>
      <c r="BL19" s="1194"/>
      <c r="BM19" s="1194"/>
      <c r="BN19" s="1194"/>
      <c r="BO19" s="1194"/>
      <c r="BP19" s="1194"/>
      <c r="BQ19" s="1194"/>
      <c r="BR19" s="1194"/>
      <c r="BS19" s="1194"/>
      <c r="BT19" s="1194"/>
      <c r="BU19" s="1194"/>
      <c r="BV19" s="1194"/>
      <c r="BW19" s="1194"/>
      <c r="BX19" s="1194"/>
      <c r="BY19" s="1194"/>
      <c r="BZ19" s="1194"/>
      <c r="CA19" s="1194"/>
      <c r="CB19" s="1194"/>
      <c r="CC19" s="1194"/>
      <c r="CD19" s="1194"/>
      <c r="CE19" s="1194"/>
      <c r="CF19" s="1194"/>
      <c r="CG19" s="1194"/>
      <c r="CH19" s="1194"/>
      <c r="CI19" s="1194"/>
      <c r="CJ19" s="1194"/>
      <c r="CK19" s="1194"/>
      <c r="CL19" s="1194"/>
      <c r="CM19" s="1194"/>
      <c r="CN19" s="1194"/>
      <c r="CO19" s="1194"/>
      <c r="CP19" s="1194"/>
      <c r="CQ19" s="1194"/>
      <c r="CR19" s="1194"/>
      <c r="CS19" s="1194"/>
      <c r="CT19" s="1194"/>
      <c r="CU19" s="1194"/>
      <c r="CV19" s="1194"/>
      <c r="CW19" s="1194"/>
      <c r="CX19" s="1194"/>
      <c r="CY19" s="1194"/>
      <c r="CZ19" s="1194"/>
      <c r="DA19" s="355"/>
      <c r="DB19" s="355"/>
      <c r="DC19" s="355"/>
      <c r="DD19" s="355"/>
      <c r="DE19" s="355"/>
      <c r="DF19" s="355"/>
      <c r="DG19" s="355"/>
      <c r="DH19" s="355"/>
      <c r="DI19" s="355"/>
      <c r="DJ19" s="355"/>
      <c r="DK19" s="355"/>
      <c r="DL19" s="355"/>
      <c r="DM19" s="355"/>
      <c r="DN19" s="355"/>
      <c r="DO19" s="355"/>
      <c r="DP19" s="355"/>
      <c r="DQ19" s="355"/>
      <c r="DR19" s="355"/>
      <c r="DS19" s="355"/>
      <c r="DT19" s="355"/>
      <c r="DU19" s="355"/>
      <c r="DV19" s="355"/>
      <c r="DW19" s="355"/>
      <c r="DX19" s="355"/>
      <c r="DY19" s="355"/>
      <c r="DZ19" s="355"/>
      <c r="EA19" s="355"/>
      <c r="EB19" s="355"/>
      <c r="EC19" s="355"/>
      <c r="ED19" s="355"/>
      <c r="EE19" s="355"/>
      <c r="EF19" s="355"/>
      <c r="EG19" s="355"/>
      <c r="EH19" s="355"/>
      <c r="EI19" s="355"/>
      <c r="EJ19" s="355"/>
    </row>
    <row r="20" spans="1:140" ht="3.75" customHeight="1" x14ac:dyDescent="0.25">
      <c r="A20" s="1187"/>
      <c r="B20" s="1187"/>
      <c r="C20" s="1187"/>
      <c r="D20" s="1187"/>
      <c r="E20" s="1187"/>
      <c r="F20" s="1187"/>
      <c r="G20" s="1187"/>
      <c r="H20" s="1187"/>
      <c r="I20" s="1187"/>
      <c r="J20" s="1187"/>
      <c r="K20" s="1187"/>
      <c r="L20" s="1187"/>
      <c r="M20" s="1187"/>
      <c r="N20" s="1187"/>
      <c r="O20" s="1187"/>
      <c r="P20" s="1187"/>
      <c r="Q20" s="1187"/>
      <c r="R20" s="1187"/>
      <c r="S20" s="1187"/>
      <c r="T20" s="1187"/>
      <c r="U20" s="1187"/>
      <c r="V20" s="1187"/>
      <c r="W20" s="1187"/>
      <c r="X20" s="1187"/>
      <c r="Y20" s="1187"/>
      <c r="Z20" s="1187"/>
      <c r="AA20" s="1187"/>
      <c r="AB20" s="1187"/>
      <c r="AC20" s="1187"/>
      <c r="AD20" s="1187"/>
      <c r="AE20" s="1187"/>
      <c r="AF20" s="1187"/>
      <c r="AG20" s="1187"/>
      <c r="AH20" s="1187"/>
      <c r="AI20" s="1187"/>
      <c r="AJ20" s="1187"/>
      <c r="AK20" s="1187"/>
      <c r="AL20" s="1187"/>
      <c r="AM20" s="1187"/>
      <c r="AN20" s="1187"/>
      <c r="AO20" s="1187"/>
      <c r="AP20" s="1187"/>
      <c r="AQ20" s="1187"/>
      <c r="AR20" s="1187"/>
      <c r="AS20" s="1187"/>
      <c r="AT20" s="1187"/>
      <c r="AU20" s="1187"/>
      <c r="AV20" s="1187"/>
      <c r="AW20" s="1187"/>
      <c r="AX20" s="1187"/>
      <c r="AY20" s="1187"/>
      <c r="AZ20" s="1187"/>
      <c r="BA20" s="1187"/>
      <c r="BB20" s="1187"/>
      <c r="BC20" s="1187"/>
      <c r="BD20" s="1187"/>
      <c r="BE20" s="1187"/>
      <c r="BF20" s="1187"/>
      <c r="BG20" s="1187"/>
      <c r="BH20" s="1187"/>
      <c r="BI20" s="1187"/>
      <c r="BJ20" s="1187"/>
      <c r="BK20" s="1187"/>
      <c r="BL20" s="1187"/>
      <c r="BM20" s="1187"/>
      <c r="BN20" s="1187"/>
      <c r="BO20" s="1187"/>
      <c r="BP20" s="1187"/>
      <c r="BQ20" s="1187"/>
      <c r="BR20" s="1187"/>
      <c r="BS20" s="1187"/>
      <c r="BT20" s="1187"/>
      <c r="BU20" s="1187"/>
      <c r="BV20" s="1187"/>
      <c r="BW20" s="1187"/>
      <c r="BX20" s="1187"/>
      <c r="BY20" s="1187"/>
      <c r="BZ20" s="1187"/>
      <c r="CA20" s="1187"/>
      <c r="CB20" s="1187"/>
      <c r="CC20" s="1187"/>
      <c r="CD20" s="1187"/>
      <c r="CE20" s="1187"/>
      <c r="CF20" s="1187"/>
      <c r="CG20" s="1187"/>
      <c r="CH20" s="1187"/>
      <c r="CI20" s="1187"/>
      <c r="CJ20" s="1187"/>
      <c r="CK20" s="1187"/>
      <c r="CL20" s="1187"/>
      <c r="CM20" s="1187"/>
      <c r="CN20" s="1187"/>
      <c r="CO20" s="1187"/>
      <c r="CP20" s="1187"/>
      <c r="CQ20" s="1187"/>
      <c r="CR20" s="1187"/>
      <c r="CS20" s="1187"/>
      <c r="CT20" s="1187"/>
      <c r="CU20" s="1187"/>
      <c r="CV20" s="1187"/>
      <c r="CW20" s="1187"/>
      <c r="CX20" s="1187"/>
      <c r="CY20" s="1187"/>
      <c r="CZ20" s="1187"/>
      <c r="DA20" s="1187"/>
      <c r="DB20" s="1187"/>
      <c r="DC20" s="1187"/>
      <c r="DD20" s="1187"/>
      <c r="DE20" s="1187"/>
      <c r="DF20" s="1187"/>
      <c r="DG20" s="1187"/>
      <c r="DH20" s="1187"/>
      <c r="DI20" s="1187"/>
      <c r="DJ20" s="1187"/>
      <c r="DK20" s="1187"/>
      <c r="DL20" s="1187"/>
      <c r="DM20" s="1187"/>
      <c r="DN20" s="1187"/>
      <c r="DO20" s="1187"/>
      <c r="DP20" s="1187"/>
      <c r="DQ20" s="1187"/>
      <c r="DR20" s="1187"/>
      <c r="DS20" s="1187"/>
      <c r="DT20" s="1187"/>
      <c r="DU20" s="1187"/>
      <c r="DV20" s="1187"/>
      <c r="DW20" s="1187"/>
      <c r="DX20" s="1187"/>
      <c r="DY20" s="1187"/>
      <c r="DZ20" s="1187"/>
      <c r="EA20" s="1187"/>
      <c r="EB20" s="1187"/>
      <c r="EC20" s="1187"/>
      <c r="ED20" s="1187"/>
      <c r="EE20" s="1187"/>
      <c r="EF20" s="1187"/>
      <c r="EG20" s="1187"/>
      <c r="EH20" s="1187"/>
      <c r="EI20" s="1187"/>
      <c r="EJ20" s="1187"/>
    </row>
    <row r="23" spans="1:140" ht="3.75" customHeight="1" x14ac:dyDescent="0.25">
      <c r="A23" s="1189" t="s">
        <v>875</v>
      </c>
      <c r="B23" s="1189"/>
      <c r="C23" s="1189"/>
      <c r="D23" s="1189"/>
      <c r="E23" s="1189"/>
      <c r="F23" s="1189"/>
      <c r="G23" s="1189"/>
      <c r="H23" s="1189"/>
      <c r="I23" s="1189"/>
      <c r="J23" s="1189"/>
      <c r="K23" s="1189"/>
      <c r="L23" s="1189"/>
      <c r="M23" s="1189"/>
      <c r="N23" s="1189"/>
      <c r="O23" s="1189"/>
      <c r="P23" s="1189"/>
      <c r="Q23" s="1189"/>
      <c r="R23" s="1189"/>
      <c r="S23" s="1189"/>
      <c r="T23" s="1189"/>
      <c r="U23" s="1189"/>
      <c r="W23" s="1125" t="s">
        <v>876</v>
      </c>
      <c r="X23" s="1125"/>
      <c r="Y23" s="1125"/>
      <c r="Z23" s="1125"/>
      <c r="AA23" s="1125"/>
      <c r="AB23" s="1125"/>
      <c r="AC23" s="1125"/>
      <c r="AD23" s="1125"/>
      <c r="AE23" s="1125"/>
      <c r="AF23" s="1125"/>
      <c r="AG23" s="1125"/>
      <c r="AH23" s="1125"/>
      <c r="AI23" s="1125"/>
      <c r="AJ23" s="1125"/>
      <c r="AK23" s="1125"/>
      <c r="AL23" s="1125"/>
      <c r="AM23" s="1125"/>
      <c r="AN23" s="1125"/>
      <c r="AO23" s="1125"/>
      <c r="AP23" s="1125"/>
      <c r="AQ23" s="1125"/>
      <c r="AR23" s="1125"/>
      <c r="AS23" s="1125"/>
      <c r="AT23" s="1125"/>
      <c r="AU23" s="1125"/>
      <c r="AV23" s="1125"/>
      <c r="AW23" s="1125"/>
      <c r="AX23" s="1125"/>
      <c r="AY23" s="1125"/>
      <c r="AZ23" s="1125"/>
      <c r="BA23" s="1125"/>
      <c r="BB23" s="1125"/>
      <c r="BC23" s="1125"/>
      <c r="BD23" s="1125"/>
      <c r="BE23" s="1125"/>
      <c r="BF23" s="1125"/>
      <c r="BG23" s="1125"/>
      <c r="BH23" s="1125"/>
      <c r="BI23" s="1125"/>
      <c r="BJ23" s="1125"/>
      <c r="BK23" s="1125"/>
      <c r="BL23" s="1125"/>
      <c r="BM23" s="1125"/>
      <c r="BN23" s="1125"/>
      <c r="BO23" s="1125"/>
      <c r="BP23" s="1125"/>
      <c r="BQ23" s="1125"/>
      <c r="BR23" s="1125"/>
      <c r="BS23" s="1125"/>
      <c r="BT23" s="1125"/>
      <c r="BU23" s="1125"/>
      <c r="BV23" s="1125"/>
      <c r="BW23" s="1125"/>
      <c r="BX23" s="1125"/>
      <c r="BY23" s="1125"/>
      <c r="BZ23" s="1125"/>
      <c r="CA23" s="1125"/>
      <c r="CD23" s="1189" t="s">
        <v>877</v>
      </c>
      <c r="CE23" s="1189"/>
      <c r="CF23" s="1189"/>
      <c r="CG23" s="1189"/>
      <c r="CH23" s="1189"/>
      <c r="CI23" s="1189"/>
      <c r="CK23" s="1125">
        <v>10044</v>
      </c>
      <c r="CL23" s="1125"/>
      <c r="CM23" s="1125"/>
      <c r="CN23" s="1125"/>
      <c r="CO23" s="1125"/>
      <c r="CP23" s="1125"/>
      <c r="CQ23" s="1125"/>
      <c r="CR23" s="1125"/>
      <c r="CS23" s="1125"/>
      <c r="CT23" s="1125"/>
      <c r="CU23" s="1125"/>
      <c r="CV23" s="1125"/>
      <c r="CZ23" s="1189" t="s">
        <v>878</v>
      </c>
      <c r="DA23" s="1189"/>
      <c r="DB23" s="1189"/>
      <c r="DC23" s="1189"/>
      <c r="DD23" s="1189"/>
      <c r="DE23" s="1189"/>
      <c r="DF23" s="1189"/>
      <c r="DG23" s="1189"/>
      <c r="DH23" s="1189"/>
      <c r="DI23" s="1189"/>
      <c r="DJ23" s="1189"/>
      <c r="DK23" s="1189"/>
      <c r="DL23" s="1189"/>
      <c r="DM23" s="1189"/>
      <c r="DN23" s="1189"/>
      <c r="DP23" s="1125" t="str">
        <f>'Data Entry'!F3</f>
        <v>SCOTT</v>
      </c>
      <c r="DQ23" s="1125"/>
      <c r="DR23" s="1125"/>
      <c r="DS23" s="1125"/>
      <c r="DT23" s="1125"/>
      <c r="DU23" s="1125"/>
      <c r="DV23" s="1125"/>
      <c r="DW23" s="1125"/>
      <c r="DX23" s="1125"/>
      <c r="DY23" s="1125"/>
      <c r="DZ23" s="1125"/>
      <c r="EA23" s="1125"/>
      <c r="EB23" s="1125"/>
      <c r="EC23" s="1125"/>
      <c r="ED23" s="1125"/>
      <c r="EE23" s="1125"/>
      <c r="EF23" s="1125"/>
      <c r="EG23" s="1125"/>
      <c r="EH23" s="1125"/>
      <c r="EI23" s="1125"/>
      <c r="EJ23" s="1125"/>
    </row>
    <row r="24" spans="1:140" ht="3.75" customHeight="1" x14ac:dyDescent="0.25">
      <c r="A24" s="1189"/>
      <c r="B24" s="1189"/>
      <c r="C24" s="1189"/>
      <c r="D24" s="1189"/>
      <c r="E24" s="1189"/>
      <c r="F24" s="1189"/>
      <c r="G24" s="1189"/>
      <c r="H24" s="1189"/>
      <c r="I24" s="1189"/>
      <c r="J24" s="1189"/>
      <c r="K24" s="1189"/>
      <c r="L24" s="1189"/>
      <c r="M24" s="1189"/>
      <c r="N24" s="1189"/>
      <c r="O24" s="1189"/>
      <c r="P24" s="1189"/>
      <c r="Q24" s="1189"/>
      <c r="R24" s="1189"/>
      <c r="S24" s="1189"/>
      <c r="T24" s="1189"/>
      <c r="U24" s="1189"/>
      <c r="W24" s="1125"/>
      <c r="X24" s="1125"/>
      <c r="Y24" s="1125"/>
      <c r="Z24" s="1125"/>
      <c r="AA24" s="1125"/>
      <c r="AB24" s="1125"/>
      <c r="AC24" s="1125"/>
      <c r="AD24" s="1125"/>
      <c r="AE24" s="1125"/>
      <c r="AF24" s="1125"/>
      <c r="AG24" s="1125"/>
      <c r="AH24" s="1125"/>
      <c r="AI24" s="1125"/>
      <c r="AJ24" s="1125"/>
      <c r="AK24" s="1125"/>
      <c r="AL24" s="1125"/>
      <c r="AM24" s="1125"/>
      <c r="AN24" s="1125"/>
      <c r="AO24" s="1125"/>
      <c r="AP24" s="1125"/>
      <c r="AQ24" s="1125"/>
      <c r="AR24" s="1125"/>
      <c r="AS24" s="1125"/>
      <c r="AT24" s="1125"/>
      <c r="AU24" s="1125"/>
      <c r="AV24" s="1125"/>
      <c r="AW24" s="1125"/>
      <c r="AX24" s="1125"/>
      <c r="AY24" s="1125"/>
      <c r="AZ24" s="1125"/>
      <c r="BA24" s="1125"/>
      <c r="BB24" s="1125"/>
      <c r="BC24" s="1125"/>
      <c r="BD24" s="1125"/>
      <c r="BE24" s="1125"/>
      <c r="BF24" s="1125"/>
      <c r="BG24" s="1125"/>
      <c r="BH24" s="1125"/>
      <c r="BI24" s="1125"/>
      <c r="BJ24" s="1125"/>
      <c r="BK24" s="1125"/>
      <c r="BL24" s="1125"/>
      <c r="BM24" s="1125"/>
      <c r="BN24" s="1125"/>
      <c r="BO24" s="1125"/>
      <c r="BP24" s="1125"/>
      <c r="BQ24" s="1125"/>
      <c r="BR24" s="1125"/>
      <c r="BS24" s="1125"/>
      <c r="BT24" s="1125"/>
      <c r="BU24" s="1125"/>
      <c r="BV24" s="1125"/>
      <c r="BW24" s="1125"/>
      <c r="BX24" s="1125"/>
      <c r="BY24" s="1125"/>
      <c r="BZ24" s="1125"/>
      <c r="CA24" s="1125"/>
      <c r="CD24" s="1189"/>
      <c r="CE24" s="1189"/>
      <c r="CF24" s="1189"/>
      <c r="CG24" s="1189"/>
      <c r="CH24" s="1189"/>
      <c r="CI24" s="1189"/>
      <c r="CK24" s="1125"/>
      <c r="CL24" s="1125"/>
      <c r="CM24" s="1125"/>
      <c r="CN24" s="1125"/>
      <c r="CO24" s="1125"/>
      <c r="CP24" s="1125"/>
      <c r="CQ24" s="1125"/>
      <c r="CR24" s="1125"/>
      <c r="CS24" s="1125"/>
      <c r="CT24" s="1125"/>
      <c r="CU24" s="1125"/>
      <c r="CV24" s="1125"/>
      <c r="CZ24" s="1189"/>
      <c r="DA24" s="1189"/>
      <c r="DB24" s="1189"/>
      <c r="DC24" s="1189"/>
      <c r="DD24" s="1189"/>
      <c r="DE24" s="1189"/>
      <c r="DF24" s="1189"/>
      <c r="DG24" s="1189"/>
      <c r="DH24" s="1189"/>
      <c r="DI24" s="1189"/>
      <c r="DJ24" s="1189"/>
      <c r="DK24" s="1189"/>
      <c r="DL24" s="1189"/>
      <c r="DM24" s="1189"/>
      <c r="DN24" s="1189"/>
      <c r="DP24" s="1125"/>
      <c r="DQ24" s="1125"/>
      <c r="DR24" s="1125"/>
      <c r="DS24" s="1125"/>
      <c r="DT24" s="1125"/>
      <c r="DU24" s="1125"/>
      <c r="DV24" s="1125"/>
      <c r="DW24" s="1125"/>
      <c r="DX24" s="1125"/>
      <c r="DY24" s="1125"/>
      <c r="DZ24" s="1125"/>
      <c r="EA24" s="1125"/>
      <c r="EB24" s="1125"/>
      <c r="EC24" s="1125"/>
      <c r="ED24" s="1125"/>
      <c r="EE24" s="1125"/>
      <c r="EF24" s="1125"/>
      <c r="EG24" s="1125"/>
      <c r="EH24" s="1125"/>
      <c r="EI24" s="1125"/>
      <c r="EJ24" s="1125"/>
    </row>
    <row r="25" spans="1:140" ht="3.75" customHeight="1" x14ac:dyDescent="0.25">
      <c r="A25" s="1189"/>
      <c r="B25" s="1189"/>
      <c r="C25" s="1189"/>
      <c r="D25" s="1189"/>
      <c r="E25" s="1189"/>
      <c r="F25" s="1189"/>
      <c r="G25" s="1189"/>
      <c r="H25" s="1189"/>
      <c r="I25" s="1189"/>
      <c r="J25" s="1189"/>
      <c r="K25" s="1189"/>
      <c r="L25" s="1189"/>
      <c r="M25" s="1189"/>
      <c r="N25" s="1189"/>
      <c r="O25" s="1189"/>
      <c r="P25" s="1189"/>
      <c r="Q25" s="1189"/>
      <c r="R25" s="1189"/>
      <c r="S25" s="1189"/>
      <c r="T25" s="1189"/>
      <c r="U25" s="1189"/>
      <c r="W25" s="1188"/>
      <c r="X25" s="1188"/>
      <c r="Y25" s="1188"/>
      <c r="Z25" s="1188"/>
      <c r="AA25" s="1188"/>
      <c r="AB25" s="1188"/>
      <c r="AC25" s="1188"/>
      <c r="AD25" s="1188"/>
      <c r="AE25" s="1188"/>
      <c r="AF25" s="1188"/>
      <c r="AG25" s="1188"/>
      <c r="AH25" s="1188"/>
      <c r="AI25" s="1188"/>
      <c r="AJ25" s="1188"/>
      <c r="AK25" s="1188"/>
      <c r="AL25" s="1188"/>
      <c r="AM25" s="1188"/>
      <c r="AN25" s="1188"/>
      <c r="AO25" s="1188"/>
      <c r="AP25" s="1188"/>
      <c r="AQ25" s="1188"/>
      <c r="AR25" s="1188"/>
      <c r="AS25" s="1188"/>
      <c r="AT25" s="1188"/>
      <c r="AU25" s="1188"/>
      <c r="AV25" s="1188"/>
      <c r="AW25" s="1188"/>
      <c r="AX25" s="1188"/>
      <c r="AY25" s="1188"/>
      <c r="AZ25" s="1188"/>
      <c r="BA25" s="1188"/>
      <c r="BB25" s="1188"/>
      <c r="BC25" s="1188"/>
      <c r="BD25" s="1188"/>
      <c r="BE25" s="1188"/>
      <c r="BF25" s="1188"/>
      <c r="BG25" s="1188"/>
      <c r="BH25" s="1188"/>
      <c r="BI25" s="1188"/>
      <c r="BJ25" s="1188"/>
      <c r="BK25" s="1188"/>
      <c r="BL25" s="1188"/>
      <c r="BM25" s="1188"/>
      <c r="BN25" s="1188"/>
      <c r="BO25" s="1188"/>
      <c r="BP25" s="1188"/>
      <c r="BQ25" s="1188"/>
      <c r="BR25" s="1188"/>
      <c r="BS25" s="1188"/>
      <c r="BT25" s="1188"/>
      <c r="BU25" s="1188"/>
      <c r="BV25" s="1188"/>
      <c r="BW25" s="1188"/>
      <c r="BX25" s="1188"/>
      <c r="BY25" s="1188"/>
      <c r="BZ25" s="1188"/>
      <c r="CA25" s="1188"/>
      <c r="CD25" s="1189"/>
      <c r="CE25" s="1189"/>
      <c r="CF25" s="1189"/>
      <c r="CG25" s="1189"/>
      <c r="CH25" s="1189"/>
      <c r="CI25" s="1189"/>
      <c r="CK25" s="1188"/>
      <c r="CL25" s="1188"/>
      <c r="CM25" s="1188"/>
      <c r="CN25" s="1188"/>
      <c r="CO25" s="1188"/>
      <c r="CP25" s="1188"/>
      <c r="CQ25" s="1188"/>
      <c r="CR25" s="1188"/>
      <c r="CS25" s="1188"/>
      <c r="CT25" s="1188"/>
      <c r="CU25" s="1188"/>
      <c r="CV25" s="1188"/>
      <c r="CZ25" s="1189"/>
      <c r="DA25" s="1189"/>
      <c r="DB25" s="1189"/>
      <c r="DC25" s="1189"/>
      <c r="DD25" s="1189"/>
      <c r="DE25" s="1189"/>
      <c r="DF25" s="1189"/>
      <c r="DG25" s="1189"/>
      <c r="DH25" s="1189"/>
      <c r="DI25" s="1189"/>
      <c r="DJ25" s="1189"/>
      <c r="DK25" s="1189"/>
      <c r="DL25" s="1189"/>
      <c r="DM25" s="1189"/>
      <c r="DN25" s="1189"/>
      <c r="DP25" s="1188"/>
      <c r="DQ25" s="1188"/>
      <c r="DR25" s="1188"/>
      <c r="DS25" s="1188"/>
      <c r="DT25" s="1188"/>
      <c r="DU25" s="1188"/>
      <c r="DV25" s="1188"/>
      <c r="DW25" s="1188"/>
      <c r="DX25" s="1188"/>
      <c r="DY25" s="1188"/>
      <c r="DZ25" s="1188"/>
      <c r="EA25" s="1188"/>
      <c r="EB25" s="1188"/>
      <c r="EC25" s="1188"/>
      <c r="ED25" s="1188"/>
      <c r="EE25" s="1188"/>
      <c r="EF25" s="1188"/>
      <c r="EG25" s="1188"/>
      <c r="EH25" s="1188"/>
      <c r="EI25" s="1188"/>
      <c r="EJ25" s="1188"/>
    </row>
    <row r="28" spans="1:140" ht="3.75" customHeight="1" x14ac:dyDescent="0.25">
      <c r="A28" s="1189" t="s">
        <v>638</v>
      </c>
      <c r="B28" s="1189"/>
      <c r="C28" s="1189"/>
      <c r="D28" s="1189"/>
      <c r="E28" s="1189"/>
      <c r="F28" s="1189"/>
      <c r="G28" s="1189"/>
      <c r="H28" s="1189"/>
      <c r="I28" s="1189"/>
      <c r="L28" s="1125" t="s">
        <v>879</v>
      </c>
      <c r="M28" s="1125"/>
      <c r="N28" s="1125"/>
      <c r="O28" s="1125"/>
      <c r="P28" s="1125"/>
      <c r="Q28" s="1125"/>
      <c r="R28" s="1125"/>
      <c r="S28" s="1125"/>
      <c r="T28" s="1125"/>
      <c r="U28" s="1125"/>
      <c r="V28" s="1125"/>
      <c r="W28" s="1125"/>
      <c r="X28" s="1125"/>
      <c r="Y28" s="1125"/>
      <c r="Z28" s="1125"/>
      <c r="AA28" s="1125"/>
      <c r="AB28" s="1125"/>
      <c r="AC28" s="1125"/>
      <c r="AD28" s="1125"/>
      <c r="AE28" s="1125"/>
      <c r="AF28" s="1125"/>
      <c r="AG28" s="1125"/>
      <c r="AH28" s="1125"/>
      <c r="AI28" s="1125"/>
      <c r="AL28" s="1189" t="s">
        <v>114</v>
      </c>
      <c r="AM28" s="1189"/>
      <c r="AN28" s="1189"/>
      <c r="AO28" s="1189"/>
      <c r="AP28" s="1189"/>
      <c r="AQ28" s="1189"/>
      <c r="AR28" s="1189"/>
      <c r="AS28" s="1189"/>
      <c r="AT28" s="1191"/>
      <c r="AU28" s="1191"/>
      <c r="AV28" s="1191"/>
      <c r="AW28" s="1191"/>
      <c r="AX28" s="1191"/>
      <c r="AY28" s="1191"/>
      <c r="AZ28" s="1191"/>
      <c r="BA28" s="1191"/>
      <c r="BB28" s="1191"/>
      <c r="BC28" s="1191"/>
      <c r="BD28" s="1191"/>
      <c r="BE28" s="1191"/>
      <c r="BF28" s="1191"/>
      <c r="BG28" s="1191"/>
      <c r="BH28" s="1191"/>
      <c r="BI28" s="1191"/>
      <c r="BJ28" s="1191"/>
      <c r="BK28" s="1191"/>
      <c r="BL28" s="1191"/>
      <c r="BN28" s="356"/>
      <c r="BO28" s="1189" t="s">
        <v>880</v>
      </c>
      <c r="BP28" s="1189"/>
      <c r="BQ28" s="1189"/>
      <c r="BR28" s="1189"/>
      <c r="BS28" s="1189"/>
      <c r="BT28" s="1189"/>
      <c r="BU28" s="1189"/>
      <c r="BV28" s="1125" t="str">
        <f>CONCATENATE('Data Entry'!B5," - ",'Data Entry'!B7," - ",'Data Entry'!B9)</f>
        <v xml:space="preserve"> -  - </v>
      </c>
      <c r="BW28" s="1125"/>
      <c r="BX28" s="1125"/>
      <c r="BY28" s="1125"/>
      <c r="BZ28" s="1125"/>
      <c r="CA28" s="1125"/>
      <c r="CB28" s="1125"/>
      <c r="CC28" s="1125"/>
      <c r="CD28" s="1125"/>
      <c r="CE28" s="1125"/>
      <c r="CF28" s="1125"/>
      <c r="CG28" s="1125"/>
      <c r="CH28" s="1125"/>
      <c r="CI28" s="1125"/>
      <c r="CJ28" s="1125"/>
      <c r="CK28" s="1125"/>
      <c r="CL28" s="1125"/>
      <c r="CM28" s="1125"/>
      <c r="CN28" s="1125"/>
      <c r="CO28" s="1125"/>
      <c r="CP28" s="1125"/>
      <c r="CQ28" s="1125"/>
      <c r="CR28" s="1125"/>
      <c r="CS28" s="1125"/>
      <c r="CT28" s="1125"/>
      <c r="CU28" s="1125"/>
      <c r="CV28" s="1125"/>
      <c r="CW28" s="1125"/>
      <c r="CX28" s="1125"/>
      <c r="CY28" s="1125"/>
      <c r="CZ28" s="1125"/>
      <c r="DA28" s="1125"/>
      <c r="DB28" s="1125"/>
      <c r="DC28" s="1125"/>
      <c r="DD28" s="1125"/>
      <c r="DE28" s="1125"/>
      <c r="DF28" s="1125"/>
      <c r="DG28" s="1125"/>
      <c r="DH28" s="1125"/>
      <c r="DI28" s="1125"/>
      <c r="DJ28" s="1125"/>
      <c r="DK28" s="1125"/>
      <c r="DL28" s="1125"/>
      <c r="DM28" s="1125"/>
      <c r="DN28" s="1125"/>
      <c r="DO28" s="1125"/>
      <c r="DP28" s="1125"/>
      <c r="DQ28" s="1189" t="s">
        <v>881</v>
      </c>
      <c r="DR28" s="1189"/>
      <c r="DS28" s="1189"/>
      <c r="DT28" s="1189"/>
      <c r="DU28" s="1189"/>
      <c r="DV28" s="1189"/>
      <c r="DW28" s="1189"/>
      <c r="DX28" s="948"/>
      <c r="DY28" s="948"/>
      <c r="DZ28" s="948"/>
      <c r="EA28" s="948"/>
      <c r="EC28" s="1196" t="s">
        <v>882</v>
      </c>
      <c r="ED28" s="1196"/>
      <c r="EE28" s="1196"/>
      <c r="EG28" s="948"/>
      <c r="EH28" s="948"/>
      <c r="EI28" s="948"/>
      <c r="EJ28" s="948"/>
    </row>
    <row r="29" spans="1:140" ht="3.75" customHeight="1" x14ac:dyDescent="0.25">
      <c r="A29" s="1189"/>
      <c r="B29" s="1189"/>
      <c r="C29" s="1189"/>
      <c r="D29" s="1189"/>
      <c r="E29" s="1189"/>
      <c r="F29" s="1189"/>
      <c r="G29" s="1189"/>
      <c r="H29" s="1189"/>
      <c r="I29" s="1189"/>
      <c r="L29" s="1125"/>
      <c r="M29" s="1125"/>
      <c r="N29" s="1125"/>
      <c r="O29" s="1125"/>
      <c r="P29" s="1125"/>
      <c r="Q29" s="1125"/>
      <c r="R29" s="1125"/>
      <c r="S29" s="1125"/>
      <c r="T29" s="1125"/>
      <c r="U29" s="1125"/>
      <c r="V29" s="1125"/>
      <c r="W29" s="1125"/>
      <c r="X29" s="1125"/>
      <c r="Y29" s="1125"/>
      <c r="Z29" s="1125"/>
      <c r="AA29" s="1125"/>
      <c r="AB29" s="1125"/>
      <c r="AC29" s="1125"/>
      <c r="AD29" s="1125"/>
      <c r="AE29" s="1125"/>
      <c r="AF29" s="1125"/>
      <c r="AG29" s="1125"/>
      <c r="AH29" s="1125"/>
      <c r="AI29" s="1125"/>
      <c r="AL29" s="1189"/>
      <c r="AM29" s="1189"/>
      <c r="AN29" s="1189"/>
      <c r="AO29" s="1189"/>
      <c r="AP29" s="1189"/>
      <c r="AQ29" s="1189"/>
      <c r="AR29" s="1189"/>
      <c r="AS29" s="1189"/>
      <c r="AT29" s="1191"/>
      <c r="AU29" s="1191"/>
      <c r="AV29" s="1191"/>
      <c r="AW29" s="1191"/>
      <c r="AX29" s="1191"/>
      <c r="AY29" s="1191"/>
      <c r="AZ29" s="1191"/>
      <c r="BA29" s="1191"/>
      <c r="BB29" s="1191"/>
      <c r="BC29" s="1191"/>
      <c r="BD29" s="1191"/>
      <c r="BE29" s="1191"/>
      <c r="BF29" s="1191"/>
      <c r="BG29" s="1191"/>
      <c r="BH29" s="1191"/>
      <c r="BI29" s="1191"/>
      <c r="BJ29" s="1191"/>
      <c r="BK29" s="1191"/>
      <c r="BL29" s="1191"/>
      <c r="BN29" s="356"/>
      <c r="BO29" s="1189"/>
      <c r="BP29" s="1189"/>
      <c r="BQ29" s="1189"/>
      <c r="BR29" s="1189"/>
      <c r="BS29" s="1189"/>
      <c r="BT29" s="1189"/>
      <c r="BU29" s="1189"/>
      <c r="BV29" s="1125"/>
      <c r="BW29" s="1125"/>
      <c r="BX29" s="1125"/>
      <c r="BY29" s="1125"/>
      <c r="BZ29" s="1125"/>
      <c r="CA29" s="1125"/>
      <c r="CB29" s="1125"/>
      <c r="CC29" s="1125"/>
      <c r="CD29" s="1125"/>
      <c r="CE29" s="1125"/>
      <c r="CF29" s="1125"/>
      <c r="CG29" s="1125"/>
      <c r="CH29" s="1125"/>
      <c r="CI29" s="1125"/>
      <c r="CJ29" s="1125"/>
      <c r="CK29" s="1125"/>
      <c r="CL29" s="1125"/>
      <c r="CM29" s="1125"/>
      <c r="CN29" s="1125"/>
      <c r="CO29" s="1125"/>
      <c r="CP29" s="1125"/>
      <c r="CQ29" s="1125"/>
      <c r="CR29" s="1125"/>
      <c r="CS29" s="1125"/>
      <c r="CT29" s="1125"/>
      <c r="CU29" s="1125"/>
      <c r="CV29" s="1125"/>
      <c r="CW29" s="1125"/>
      <c r="CX29" s="1125"/>
      <c r="CY29" s="1125"/>
      <c r="CZ29" s="1125"/>
      <c r="DA29" s="1125"/>
      <c r="DB29" s="1125"/>
      <c r="DC29" s="1125"/>
      <c r="DD29" s="1125"/>
      <c r="DE29" s="1125"/>
      <c r="DF29" s="1125"/>
      <c r="DG29" s="1125"/>
      <c r="DH29" s="1125"/>
      <c r="DI29" s="1125"/>
      <c r="DJ29" s="1125"/>
      <c r="DK29" s="1125"/>
      <c r="DL29" s="1125"/>
      <c r="DM29" s="1125"/>
      <c r="DN29" s="1125"/>
      <c r="DO29" s="1125"/>
      <c r="DP29" s="1125"/>
      <c r="DQ29" s="1189"/>
      <c r="DR29" s="1189"/>
      <c r="DS29" s="1189"/>
      <c r="DT29" s="1189"/>
      <c r="DU29" s="1189"/>
      <c r="DV29" s="1189"/>
      <c r="DW29" s="1189"/>
      <c r="DX29" s="948"/>
      <c r="DY29" s="948"/>
      <c r="DZ29" s="948"/>
      <c r="EA29" s="948"/>
      <c r="EC29" s="1196"/>
      <c r="ED29" s="1196"/>
      <c r="EE29" s="1196"/>
      <c r="EG29" s="948"/>
      <c r="EH29" s="948"/>
      <c r="EI29" s="948"/>
      <c r="EJ29" s="948"/>
    </row>
    <row r="30" spans="1:140" ht="3.75" customHeight="1" x14ac:dyDescent="0.25">
      <c r="A30" s="1189"/>
      <c r="B30" s="1189"/>
      <c r="C30" s="1189"/>
      <c r="D30" s="1189"/>
      <c r="E30" s="1189"/>
      <c r="F30" s="1189"/>
      <c r="G30" s="1189"/>
      <c r="H30" s="1189"/>
      <c r="I30" s="1189"/>
      <c r="L30" s="1188"/>
      <c r="M30" s="1188"/>
      <c r="N30" s="1188"/>
      <c r="O30" s="1188"/>
      <c r="P30" s="1188"/>
      <c r="Q30" s="1188"/>
      <c r="R30" s="1188"/>
      <c r="S30" s="1188"/>
      <c r="T30" s="1188"/>
      <c r="U30" s="1188"/>
      <c r="V30" s="1188"/>
      <c r="W30" s="1188"/>
      <c r="X30" s="1188"/>
      <c r="Y30" s="1188"/>
      <c r="Z30" s="1188"/>
      <c r="AA30" s="1188"/>
      <c r="AB30" s="1188"/>
      <c r="AC30" s="1188"/>
      <c r="AD30" s="1188"/>
      <c r="AE30" s="1188"/>
      <c r="AF30" s="1188"/>
      <c r="AG30" s="1188"/>
      <c r="AH30" s="1188"/>
      <c r="AI30" s="1188"/>
      <c r="AL30" s="1189"/>
      <c r="AM30" s="1189"/>
      <c r="AN30" s="1189"/>
      <c r="AO30" s="1189"/>
      <c r="AP30" s="1189"/>
      <c r="AQ30" s="1189"/>
      <c r="AR30" s="1189"/>
      <c r="AS30" s="1189"/>
      <c r="AT30" s="1192"/>
      <c r="AU30" s="1192"/>
      <c r="AV30" s="1192"/>
      <c r="AW30" s="1192"/>
      <c r="AX30" s="1192"/>
      <c r="AY30" s="1192"/>
      <c r="AZ30" s="1192"/>
      <c r="BA30" s="1192"/>
      <c r="BB30" s="1192"/>
      <c r="BC30" s="1192"/>
      <c r="BD30" s="1192"/>
      <c r="BE30" s="1192"/>
      <c r="BF30" s="1192"/>
      <c r="BG30" s="1192"/>
      <c r="BH30" s="1192"/>
      <c r="BI30" s="1192"/>
      <c r="BJ30" s="1192"/>
      <c r="BK30" s="1192"/>
      <c r="BL30" s="1192"/>
      <c r="BO30" s="1189"/>
      <c r="BP30" s="1189"/>
      <c r="BQ30" s="1189"/>
      <c r="BR30" s="1189"/>
      <c r="BS30" s="1189"/>
      <c r="BT30" s="1189"/>
      <c r="BU30" s="1189"/>
      <c r="BV30" s="1188"/>
      <c r="BW30" s="1188"/>
      <c r="BX30" s="1188"/>
      <c r="BY30" s="1188"/>
      <c r="BZ30" s="1188"/>
      <c r="CA30" s="1188"/>
      <c r="CB30" s="1188"/>
      <c r="CC30" s="1188"/>
      <c r="CD30" s="1188"/>
      <c r="CE30" s="1188"/>
      <c r="CF30" s="1188"/>
      <c r="CG30" s="1188"/>
      <c r="CH30" s="1188"/>
      <c r="CI30" s="1188"/>
      <c r="CJ30" s="1188"/>
      <c r="CK30" s="1188"/>
      <c r="CL30" s="1188"/>
      <c r="CM30" s="1188"/>
      <c r="CN30" s="1188"/>
      <c r="CO30" s="1188"/>
      <c r="CP30" s="1188"/>
      <c r="CQ30" s="1188"/>
      <c r="CR30" s="1188"/>
      <c r="CS30" s="1188"/>
      <c r="CT30" s="1188"/>
      <c r="CU30" s="1188"/>
      <c r="CV30" s="1188"/>
      <c r="CW30" s="1188"/>
      <c r="CX30" s="1188"/>
      <c r="CY30" s="1188"/>
      <c r="CZ30" s="1188"/>
      <c r="DA30" s="1188"/>
      <c r="DB30" s="1188"/>
      <c r="DC30" s="1188"/>
      <c r="DD30" s="1188"/>
      <c r="DE30" s="1188"/>
      <c r="DF30" s="1188"/>
      <c r="DG30" s="1188"/>
      <c r="DH30" s="1188"/>
      <c r="DI30" s="1188"/>
      <c r="DJ30" s="1188"/>
      <c r="DK30" s="1188"/>
      <c r="DL30" s="1188"/>
      <c r="DM30" s="1188"/>
      <c r="DN30" s="1188"/>
      <c r="DO30" s="1188"/>
      <c r="DP30" s="1188"/>
      <c r="DQ30" s="1189"/>
      <c r="DR30" s="1189"/>
      <c r="DS30" s="1189"/>
      <c r="DT30" s="1189"/>
      <c r="DU30" s="1189"/>
      <c r="DV30" s="1189"/>
      <c r="DW30" s="1189"/>
      <c r="DX30" s="1190"/>
      <c r="DY30" s="1190"/>
      <c r="DZ30" s="1190"/>
      <c r="EA30" s="1190"/>
      <c r="EC30" s="1196"/>
      <c r="ED30" s="1196"/>
      <c r="EE30" s="1196"/>
      <c r="EG30" s="1190"/>
      <c r="EH30" s="1190"/>
      <c r="EI30" s="1190"/>
      <c r="EJ30" s="1190"/>
    </row>
    <row r="34" spans="1:140" ht="3.75" customHeight="1" thickBot="1" x14ac:dyDescent="0.3"/>
    <row r="35" spans="1:140" ht="3.75" customHeight="1" x14ac:dyDescent="0.25">
      <c r="A35" s="1187"/>
      <c r="B35" s="1187"/>
      <c r="C35" s="1187"/>
      <c r="D35" s="1187"/>
      <c r="E35" s="1187"/>
      <c r="F35" s="1187"/>
      <c r="G35" s="1187"/>
      <c r="H35" s="1187"/>
      <c r="I35" s="1187"/>
      <c r="J35" s="1187"/>
      <c r="K35" s="1187"/>
      <c r="L35" s="1187"/>
      <c r="M35" s="1187"/>
      <c r="N35" s="1187"/>
      <c r="O35" s="1187"/>
      <c r="P35" s="1187"/>
      <c r="Q35" s="1187"/>
      <c r="R35" s="1187"/>
      <c r="S35" s="1187"/>
      <c r="T35" s="1187"/>
      <c r="U35" s="1187"/>
      <c r="V35" s="1187"/>
      <c r="W35" s="1187"/>
      <c r="X35" s="1187"/>
      <c r="Y35" s="1187"/>
      <c r="Z35" s="1187"/>
      <c r="AA35" s="1187"/>
      <c r="AB35" s="1187"/>
      <c r="AC35" s="1187"/>
      <c r="AD35" s="1187"/>
      <c r="AE35" s="1187"/>
      <c r="AF35" s="1187"/>
      <c r="AG35" s="1187"/>
      <c r="AH35" s="1187"/>
      <c r="AI35" s="1187"/>
      <c r="AJ35" s="1187"/>
      <c r="AK35" s="1187"/>
      <c r="AL35" s="1187"/>
      <c r="AM35" s="1187"/>
      <c r="AN35" s="1187"/>
      <c r="AO35" s="1187"/>
      <c r="AP35" s="1187"/>
      <c r="AQ35" s="1187"/>
      <c r="AR35" s="1187"/>
      <c r="AS35" s="1187"/>
      <c r="AT35" s="1187"/>
      <c r="AU35" s="1187"/>
      <c r="AV35" s="1187"/>
      <c r="AW35" s="1187"/>
      <c r="AX35" s="1187"/>
      <c r="AY35" s="1187"/>
      <c r="AZ35" s="1187"/>
      <c r="BA35" s="1187"/>
      <c r="BB35" s="1187"/>
      <c r="BC35" s="1187"/>
      <c r="BD35" s="1187"/>
      <c r="BE35" s="1187"/>
      <c r="BF35" s="1187"/>
      <c r="BG35" s="1187"/>
      <c r="BH35" s="1187"/>
      <c r="BI35" s="1187"/>
      <c r="BJ35" s="1187"/>
      <c r="BK35" s="1187"/>
      <c r="BL35" s="1187"/>
      <c r="BM35" s="1187"/>
      <c r="BN35" s="1187"/>
      <c r="BO35" s="1187"/>
      <c r="BP35" s="1187"/>
      <c r="BQ35" s="1187"/>
      <c r="BR35" s="1187"/>
      <c r="BS35" s="1187"/>
      <c r="BT35" s="1187"/>
      <c r="BU35" s="1187"/>
      <c r="BV35" s="1187"/>
      <c r="BW35" s="1187"/>
      <c r="BX35" s="1187"/>
      <c r="BY35" s="1187"/>
      <c r="BZ35" s="1187"/>
      <c r="CA35" s="1187"/>
      <c r="CB35" s="1187"/>
      <c r="CC35" s="1187"/>
      <c r="CD35" s="1187"/>
      <c r="CE35" s="1187"/>
      <c r="CF35" s="1187"/>
      <c r="CG35" s="1187"/>
      <c r="CH35" s="1187"/>
      <c r="CI35" s="1187"/>
      <c r="CJ35" s="1187"/>
      <c r="CK35" s="1187"/>
      <c r="CL35" s="1187"/>
      <c r="CM35" s="1187"/>
      <c r="CN35" s="1187"/>
      <c r="CO35" s="1187"/>
      <c r="CP35" s="1187"/>
      <c r="CQ35" s="1187"/>
      <c r="CR35" s="1187"/>
      <c r="CS35" s="1187"/>
      <c r="CT35" s="1187"/>
      <c r="CU35" s="1187"/>
      <c r="CV35" s="1187"/>
      <c r="CW35" s="1187"/>
      <c r="CX35" s="1187"/>
      <c r="CY35" s="1187"/>
      <c r="CZ35" s="1187"/>
      <c r="DA35" s="1187"/>
      <c r="DB35" s="1187"/>
      <c r="DC35" s="1187"/>
      <c r="DD35" s="1187"/>
      <c r="DE35" s="1187"/>
      <c r="DF35" s="1187"/>
      <c r="DG35" s="1187"/>
      <c r="DH35" s="1187"/>
      <c r="DI35" s="1187"/>
      <c r="DJ35" s="1187"/>
      <c r="DK35" s="1187"/>
      <c r="DL35" s="1187"/>
      <c r="DM35" s="1187"/>
      <c r="DN35" s="1187"/>
      <c r="DO35" s="1187"/>
      <c r="DP35" s="1187"/>
      <c r="DQ35" s="1187"/>
      <c r="DR35" s="1187"/>
      <c r="DS35" s="1187"/>
      <c r="DT35" s="1187"/>
      <c r="DU35" s="1187"/>
      <c r="DV35" s="1187"/>
      <c r="DW35" s="1187"/>
      <c r="DX35" s="1187"/>
      <c r="DY35" s="1187"/>
      <c r="DZ35" s="1187"/>
      <c r="EA35" s="1187"/>
      <c r="EB35" s="1187"/>
      <c r="EC35" s="1187"/>
      <c r="ED35" s="1187"/>
      <c r="EE35" s="1187"/>
      <c r="EF35" s="1187"/>
      <c r="EG35" s="1187"/>
      <c r="EH35" s="1187"/>
      <c r="EI35" s="1187"/>
      <c r="EJ35" s="1187"/>
    </row>
    <row r="38" spans="1:140" ht="3.75" customHeight="1" x14ac:dyDescent="0.25">
      <c r="BZ38" s="364"/>
      <c r="CA38" s="364"/>
    </row>
    <row r="39" spans="1:140" ht="3.75" customHeight="1" x14ac:dyDescent="0.25">
      <c r="A39" s="437"/>
      <c r="B39" s="438"/>
      <c r="C39" s="438"/>
      <c r="D39" s="438"/>
      <c r="E39" s="438"/>
      <c r="F39" s="438"/>
      <c r="G39" s="438"/>
      <c r="H39" s="438"/>
      <c r="I39" s="438"/>
      <c r="J39" s="438"/>
      <c r="K39" s="438"/>
      <c r="L39" s="438"/>
      <c r="M39" s="438"/>
      <c r="N39" s="438"/>
      <c r="O39" s="438"/>
      <c r="P39" s="438"/>
      <c r="Q39" s="438"/>
      <c r="R39" s="438"/>
      <c r="S39" s="438"/>
      <c r="T39" s="438"/>
      <c r="U39" s="438"/>
      <c r="V39" s="438"/>
      <c r="W39" s="438"/>
      <c r="X39" s="438"/>
      <c r="Y39" s="438"/>
      <c r="Z39" s="438"/>
      <c r="AA39" s="438"/>
      <c r="AB39" s="438"/>
      <c r="AC39" s="438"/>
      <c r="AD39" s="438"/>
      <c r="AE39" s="438"/>
      <c r="AF39" s="438"/>
      <c r="AG39" s="438"/>
      <c r="AH39" s="438"/>
      <c r="AI39" s="438"/>
      <c r="AJ39" s="438"/>
      <c r="AK39" s="438"/>
      <c r="AL39" s="438"/>
      <c r="AM39" s="438"/>
      <c r="AN39" s="438"/>
      <c r="AO39" s="438"/>
      <c r="AP39" s="438"/>
      <c r="AQ39" s="438"/>
      <c r="AR39" s="438"/>
      <c r="AS39" s="438"/>
      <c r="AT39" s="438"/>
      <c r="AU39" s="438"/>
      <c r="AV39" s="438"/>
      <c r="AW39" s="438"/>
      <c r="AX39" s="438"/>
      <c r="AY39" s="438"/>
      <c r="AZ39" s="438"/>
      <c r="BA39" s="438"/>
      <c r="BB39" s="438"/>
      <c r="BC39" s="438"/>
      <c r="BD39" s="438"/>
      <c r="BE39" s="438"/>
      <c r="BF39" s="438"/>
      <c r="BG39" s="438"/>
      <c r="BH39" s="438"/>
      <c r="BI39" s="438"/>
      <c r="BJ39" s="438"/>
      <c r="BK39" s="438"/>
      <c r="BL39" s="438"/>
      <c r="BM39" s="438"/>
      <c r="BN39" s="438"/>
      <c r="BO39" s="438"/>
      <c r="BP39" s="438"/>
      <c r="BQ39" s="438"/>
      <c r="BR39" s="438"/>
      <c r="BS39" s="438"/>
      <c r="BT39" s="438"/>
      <c r="BU39" s="438"/>
      <c r="BV39" s="438"/>
      <c r="BW39" s="438"/>
      <c r="BX39" s="438"/>
      <c r="BY39" s="438"/>
      <c r="CB39" s="438"/>
      <c r="CC39" s="489"/>
      <c r="CG39" s="1208" t="s">
        <v>907</v>
      </c>
      <c r="CH39" s="1209"/>
      <c r="CI39" s="1209"/>
      <c r="CJ39" s="1209"/>
      <c r="CK39" s="1209"/>
      <c r="CL39" s="1209"/>
      <c r="CM39" s="1209"/>
      <c r="CN39" s="1209"/>
      <c r="CO39" s="1209"/>
      <c r="CP39" s="1209"/>
      <c r="CQ39" s="1209"/>
      <c r="CR39" s="1209"/>
      <c r="CS39" s="1209"/>
      <c r="CT39" s="1209"/>
      <c r="CU39" s="1209"/>
      <c r="CV39" s="1209"/>
      <c r="CW39" s="1209"/>
      <c r="CX39" s="1209"/>
      <c r="CY39" s="1209"/>
      <c r="CZ39" s="1209"/>
      <c r="DA39" s="1209"/>
      <c r="DB39" s="1209"/>
      <c r="DC39" s="1209"/>
      <c r="DD39" s="1209"/>
      <c r="DE39" s="1209"/>
      <c r="DF39" s="1209"/>
      <c r="DG39" s="1209"/>
      <c r="DH39" s="1209"/>
      <c r="DI39" s="1209"/>
      <c r="DJ39" s="1209"/>
      <c r="DK39" s="1209"/>
      <c r="DL39" s="1209"/>
      <c r="DM39" s="1209"/>
      <c r="DN39" s="1209"/>
      <c r="DO39" s="1209"/>
      <c r="DP39" s="1209"/>
      <c r="DQ39" s="1209"/>
      <c r="DR39" s="1209"/>
      <c r="DS39" s="1209"/>
      <c r="DT39" s="1209"/>
      <c r="DU39" s="1209"/>
      <c r="DV39" s="1209"/>
      <c r="DW39" s="1209"/>
      <c r="DX39" s="1209"/>
      <c r="DY39" s="1209"/>
      <c r="DZ39" s="1209"/>
      <c r="EA39" s="1209"/>
      <c r="EB39" s="1209"/>
      <c r="EC39" s="1209"/>
      <c r="ED39" s="1209"/>
      <c r="EE39" s="1209"/>
      <c r="EF39" s="1209"/>
      <c r="EG39" s="1209"/>
      <c r="EH39" s="1209"/>
      <c r="EI39" s="1209"/>
      <c r="EJ39" s="1210"/>
    </row>
    <row r="40" spans="1:140" ht="3.75" customHeight="1" x14ac:dyDescent="0.25">
      <c r="A40" s="478"/>
      <c r="CC40" s="73"/>
      <c r="CG40" s="1211"/>
      <c r="CH40" s="1077"/>
      <c r="CI40" s="1077"/>
      <c r="CJ40" s="1077"/>
      <c r="CK40" s="1077"/>
      <c r="CL40" s="1077"/>
      <c r="CM40" s="1077"/>
      <c r="CN40" s="1077"/>
      <c r="CO40" s="1077"/>
      <c r="CP40" s="1077"/>
      <c r="CQ40" s="1077"/>
      <c r="CR40" s="1077"/>
      <c r="CS40" s="1077"/>
      <c r="CT40" s="1077"/>
      <c r="CU40" s="1077"/>
      <c r="CV40" s="1077"/>
      <c r="CW40" s="1077"/>
      <c r="CX40" s="1077"/>
      <c r="CY40" s="1077"/>
      <c r="CZ40" s="1077"/>
      <c r="DA40" s="1077"/>
      <c r="DB40" s="1077"/>
      <c r="DC40" s="1077"/>
      <c r="DD40" s="1077"/>
      <c r="DE40" s="1077"/>
      <c r="DF40" s="1077"/>
      <c r="DG40" s="1077"/>
      <c r="DH40" s="1077"/>
      <c r="DI40" s="1077"/>
      <c r="DJ40" s="1077"/>
      <c r="DK40" s="1077"/>
      <c r="DL40" s="1077"/>
      <c r="DM40" s="1077"/>
      <c r="DN40" s="1077"/>
      <c r="DO40" s="1077"/>
      <c r="DP40" s="1077"/>
      <c r="DQ40" s="1077"/>
      <c r="DR40" s="1077"/>
      <c r="DS40" s="1077"/>
      <c r="DT40" s="1077"/>
      <c r="DU40" s="1077"/>
      <c r="DV40" s="1077"/>
      <c r="DW40" s="1077"/>
      <c r="DX40" s="1077"/>
      <c r="DY40" s="1077"/>
      <c r="DZ40" s="1077"/>
      <c r="EA40" s="1077"/>
      <c r="EB40" s="1077"/>
      <c r="EC40" s="1077"/>
      <c r="ED40" s="1077"/>
      <c r="EE40" s="1077"/>
      <c r="EF40" s="1077"/>
      <c r="EG40" s="1077"/>
      <c r="EH40" s="1077"/>
      <c r="EI40" s="1077"/>
      <c r="EJ40" s="1142"/>
    </row>
    <row r="41" spans="1:140" ht="3.75" customHeight="1" x14ac:dyDescent="0.25">
      <c r="A41" s="478"/>
      <c r="C41" s="1103" t="s">
        <v>814</v>
      </c>
      <c r="D41" s="1103"/>
      <c r="E41" s="1103"/>
      <c r="F41" s="1103"/>
      <c r="G41" s="1103"/>
      <c r="H41" s="1103"/>
      <c r="I41" s="1103"/>
      <c r="J41" s="1103"/>
      <c r="K41" s="1103"/>
      <c r="L41" s="1103"/>
      <c r="M41" s="1103"/>
      <c r="N41" s="1103"/>
      <c r="O41" s="1103"/>
      <c r="P41" s="1103"/>
      <c r="Q41" s="1103"/>
      <c r="R41" s="1125" t="s">
        <v>597</v>
      </c>
      <c r="S41" s="1125"/>
      <c r="T41" s="1125"/>
      <c r="U41" s="1125"/>
      <c r="V41" s="1125"/>
      <c r="W41" s="1125"/>
      <c r="X41" s="1125"/>
      <c r="Y41" s="1125"/>
      <c r="Z41" s="1125"/>
      <c r="AA41" s="1125"/>
      <c r="AB41" s="1125"/>
      <c r="AC41" s="1125"/>
      <c r="AD41" s="1125"/>
      <c r="AE41" s="1125"/>
      <c r="AF41" s="1125"/>
      <c r="AG41" s="1125"/>
      <c r="AH41" s="1125"/>
      <c r="AI41" s="1125"/>
      <c r="AJ41" s="1125"/>
      <c r="AK41" s="1125"/>
      <c r="AL41" s="1125"/>
      <c r="AM41" s="1125"/>
      <c r="AN41" s="1125"/>
      <c r="AO41" s="1125"/>
      <c r="AP41" s="1125"/>
      <c r="AQ41" s="1125"/>
      <c r="AR41" s="1125"/>
      <c r="AS41" s="1125"/>
      <c r="CC41" s="73"/>
      <c r="CG41" s="1211"/>
      <c r="CH41" s="1077"/>
      <c r="CI41" s="1077"/>
      <c r="CJ41" s="1077"/>
      <c r="CK41" s="1077"/>
      <c r="CL41" s="1077"/>
      <c r="CM41" s="1077"/>
      <c r="CN41" s="1077"/>
      <c r="CO41" s="1077"/>
      <c r="CP41" s="1077"/>
      <c r="CQ41" s="1077"/>
      <c r="CR41" s="1077"/>
      <c r="CS41" s="1077"/>
      <c r="CT41" s="1077"/>
      <c r="CU41" s="1077"/>
      <c r="CV41" s="1077"/>
      <c r="CW41" s="1077"/>
      <c r="CX41" s="1077"/>
      <c r="CY41" s="1077"/>
      <c r="CZ41" s="1077"/>
      <c r="DA41" s="1077"/>
      <c r="DB41" s="1077"/>
      <c r="DC41" s="1077"/>
      <c r="DD41" s="1077"/>
      <c r="DE41" s="1077"/>
      <c r="DF41" s="1077"/>
      <c r="DG41" s="1077"/>
      <c r="DH41" s="1077"/>
      <c r="DI41" s="1077"/>
      <c r="DJ41" s="1077"/>
      <c r="DK41" s="1077"/>
      <c r="DL41" s="1077"/>
      <c r="DM41" s="1077"/>
      <c r="DN41" s="1077"/>
      <c r="DO41" s="1077"/>
      <c r="DP41" s="1077"/>
      <c r="DQ41" s="1077"/>
      <c r="DR41" s="1077"/>
      <c r="DS41" s="1077"/>
      <c r="DT41" s="1077"/>
      <c r="DU41" s="1077"/>
      <c r="DV41" s="1077"/>
      <c r="DW41" s="1077"/>
      <c r="DX41" s="1077"/>
      <c r="DY41" s="1077"/>
      <c r="DZ41" s="1077"/>
      <c r="EA41" s="1077"/>
      <c r="EB41" s="1077"/>
      <c r="EC41" s="1077"/>
      <c r="ED41" s="1077"/>
      <c r="EE41" s="1077"/>
      <c r="EF41" s="1077"/>
      <c r="EG41" s="1077"/>
      <c r="EH41" s="1077"/>
      <c r="EI41" s="1077"/>
      <c r="EJ41" s="1142"/>
    </row>
    <row r="42" spans="1:140" ht="3.75" customHeight="1" x14ac:dyDescent="0.25">
      <c r="A42" s="478"/>
      <c r="C42" s="1103"/>
      <c r="D42" s="1103"/>
      <c r="E42" s="1103"/>
      <c r="F42" s="1103"/>
      <c r="G42" s="1103"/>
      <c r="H42" s="1103"/>
      <c r="I42" s="1103"/>
      <c r="J42" s="1103"/>
      <c r="K42" s="1103"/>
      <c r="L42" s="1103"/>
      <c r="M42" s="1103"/>
      <c r="N42" s="1103"/>
      <c r="O42" s="1103"/>
      <c r="P42" s="1103"/>
      <c r="Q42" s="1103"/>
      <c r="R42" s="1125"/>
      <c r="S42" s="1125"/>
      <c r="T42" s="1125"/>
      <c r="U42" s="1125"/>
      <c r="V42" s="1125"/>
      <c r="W42" s="1125"/>
      <c r="X42" s="1125"/>
      <c r="Y42" s="1125"/>
      <c r="Z42" s="1125"/>
      <c r="AA42" s="1125"/>
      <c r="AB42" s="1125"/>
      <c r="AC42" s="1125"/>
      <c r="AD42" s="1125"/>
      <c r="AE42" s="1125"/>
      <c r="AF42" s="1125"/>
      <c r="AG42" s="1125"/>
      <c r="AH42" s="1125"/>
      <c r="AI42" s="1125"/>
      <c r="AJ42" s="1125"/>
      <c r="AK42" s="1125"/>
      <c r="AL42" s="1125"/>
      <c r="AM42" s="1125"/>
      <c r="AN42" s="1125"/>
      <c r="AO42" s="1125"/>
      <c r="AP42" s="1125"/>
      <c r="AQ42" s="1125"/>
      <c r="AR42" s="1125"/>
      <c r="AS42" s="1125"/>
      <c r="AY42" s="1103" t="s">
        <v>894</v>
      </c>
      <c r="AZ42" s="1103"/>
      <c r="BA42" s="1103"/>
      <c r="BB42" s="1103"/>
      <c r="BC42" s="1103"/>
      <c r="BD42" s="1103"/>
      <c r="BE42" s="1103"/>
      <c r="BF42" s="1103"/>
      <c r="BG42" s="1103"/>
      <c r="BH42" s="1103"/>
      <c r="BI42" s="1103"/>
      <c r="BJ42" s="1103"/>
      <c r="BK42" s="1103"/>
      <c r="BL42" s="1103"/>
      <c r="BM42" s="1103"/>
      <c r="BN42" s="1103"/>
      <c r="BO42" s="1103"/>
      <c r="BP42" s="1103"/>
      <c r="BQ42" s="1103"/>
      <c r="BR42" s="1103"/>
      <c r="BS42" s="1103"/>
      <c r="BT42" s="1103"/>
      <c r="BU42" s="1103"/>
      <c r="BV42" s="1103"/>
      <c r="BW42" s="1103"/>
      <c r="BX42" s="1103"/>
      <c r="CC42" s="73"/>
      <c r="CG42" s="1211"/>
      <c r="CH42" s="1077"/>
      <c r="CI42" s="1077"/>
      <c r="CJ42" s="1077"/>
      <c r="CK42" s="1077"/>
      <c r="CL42" s="1077"/>
      <c r="CM42" s="1077"/>
      <c r="CN42" s="1077"/>
      <c r="CO42" s="1077"/>
      <c r="CP42" s="1077"/>
      <c r="CQ42" s="1077"/>
      <c r="CR42" s="1077"/>
      <c r="CS42" s="1077"/>
      <c r="CT42" s="1077"/>
      <c r="CU42" s="1077"/>
      <c r="CV42" s="1077"/>
      <c r="CW42" s="1077"/>
      <c r="CX42" s="1077"/>
      <c r="CY42" s="1077"/>
      <c r="CZ42" s="1077"/>
      <c r="DA42" s="1077"/>
      <c r="DB42" s="1077"/>
      <c r="DC42" s="1077"/>
      <c r="DD42" s="1077"/>
      <c r="DE42" s="1077"/>
      <c r="DF42" s="1077"/>
      <c r="DG42" s="1077"/>
      <c r="DH42" s="1077"/>
      <c r="DI42" s="1077"/>
      <c r="DJ42" s="1077"/>
      <c r="DK42" s="1077"/>
      <c r="DL42" s="1077"/>
      <c r="DM42" s="1077"/>
      <c r="DN42" s="1077"/>
      <c r="DO42" s="1077"/>
      <c r="DP42" s="1077"/>
      <c r="DQ42" s="1077"/>
      <c r="DR42" s="1077"/>
      <c r="DS42" s="1077"/>
      <c r="DT42" s="1077"/>
      <c r="DU42" s="1077"/>
      <c r="DV42" s="1077"/>
      <c r="DW42" s="1077"/>
      <c r="DX42" s="1077"/>
      <c r="DY42" s="1077"/>
      <c r="DZ42" s="1077"/>
      <c r="EA42" s="1077"/>
      <c r="EB42" s="1077"/>
      <c r="EC42" s="1077"/>
      <c r="ED42" s="1077"/>
      <c r="EE42" s="1077"/>
      <c r="EF42" s="1077"/>
      <c r="EG42" s="1077"/>
      <c r="EH42" s="1077"/>
      <c r="EI42" s="1077"/>
      <c r="EJ42" s="1142"/>
    </row>
    <row r="43" spans="1:140" ht="3.75" customHeight="1" x14ac:dyDescent="0.25">
      <c r="A43" s="478"/>
      <c r="C43" s="1103"/>
      <c r="D43" s="1103"/>
      <c r="E43" s="1103"/>
      <c r="F43" s="1103"/>
      <c r="G43" s="1103"/>
      <c r="H43" s="1103"/>
      <c r="I43" s="1103"/>
      <c r="J43" s="1103"/>
      <c r="K43" s="1103"/>
      <c r="L43" s="1103"/>
      <c r="M43" s="1103"/>
      <c r="N43" s="1103"/>
      <c r="O43" s="1103"/>
      <c r="P43" s="1103"/>
      <c r="Q43" s="1103"/>
      <c r="R43" s="1188"/>
      <c r="S43" s="1188"/>
      <c r="T43" s="1188"/>
      <c r="U43" s="1188"/>
      <c r="V43" s="1188"/>
      <c r="W43" s="1188"/>
      <c r="X43" s="1188"/>
      <c r="Y43" s="1188"/>
      <c r="Z43" s="1188"/>
      <c r="AA43" s="1188"/>
      <c r="AB43" s="1188"/>
      <c r="AC43" s="1188"/>
      <c r="AD43" s="1188"/>
      <c r="AE43" s="1188"/>
      <c r="AF43" s="1188"/>
      <c r="AG43" s="1188"/>
      <c r="AH43" s="1188"/>
      <c r="AI43" s="1188"/>
      <c r="AJ43" s="1188"/>
      <c r="AK43" s="1188"/>
      <c r="AL43" s="1188"/>
      <c r="AM43" s="1188"/>
      <c r="AN43" s="1188"/>
      <c r="AO43" s="1188"/>
      <c r="AP43" s="1188"/>
      <c r="AQ43" s="1188"/>
      <c r="AR43" s="1188"/>
      <c r="AS43" s="1188"/>
      <c r="AY43" s="1103"/>
      <c r="AZ43" s="1103"/>
      <c r="BA43" s="1103"/>
      <c r="BB43" s="1103"/>
      <c r="BC43" s="1103"/>
      <c r="BD43" s="1103"/>
      <c r="BE43" s="1103"/>
      <c r="BF43" s="1103"/>
      <c r="BG43" s="1103"/>
      <c r="BH43" s="1103"/>
      <c r="BI43" s="1103"/>
      <c r="BJ43" s="1103"/>
      <c r="BK43" s="1103"/>
      <c r="BL43" s="1103"/>
      <c r="BM43" s="1103"/>
      <c r="BN43" s="1103"/>
      <c r="BO43" s="1103"/>
      <c r="BP43" s="1103"/>
      <c r="BQ43" s="1103"/>
      <c r="BR43" s="1103"/>
      <c r="BS43" s="1103"/>
      <c r="BT43" s="1103"/>
      <c r="BU43" s="1103"/>
      <c r="BV43" s="1103"/>
      <c r="BW43" s="1103"/>
      <c r="BX43" s="1103"/>
      <c r="CC43" s="73"/>
      <c r="CG43" s="1211"/>
      <c r="CH43" s="1077"/>
      <c r="CI43" s="1077"/>
      <c r="CJ43" s="1077"/>
      <c r="CK43" s="1077"/>
      <c r="CL43" s="1077"/>
      <c r="CM43" s="1077"/>
      <c r="CN43" s="1077"/>
      <c r="CO43" s="1077"/>
      <c r="CP43" s="1077"/>
      <c r="CQ43" s="1077"/>
      <c r="CR43" s="1077"/>
      <c r="CS43" s="1077"/>
      <c r="CT43" s="1077"/>
      <c r="CU43" s="1077"/>
      <c r="CV43" s="1077"/>
      <c r="CW43" s="1077"/>
      <c r="CX43" s="1077"/>
      <c r="CY43" s="1077"/>
      <c r="CZ43" s="1077"/>
      <c r="DA43" s="1077"/>
      <c r="DB43" s="1077"/>
      <c r="DC43" s="1077"/>
      <c r="DD43" s="1077"/>
      <c r="DE43" s="1077"/>
      <c r="DF43" s="1077"/>
      <c r="DG43" s="1077"/>
      <c r="DH43" s="1077"/>
      <c r="DI43" s="1077"/>
      <c r="DJ43" s="1077"/>
      <c r="DK43" s="1077"/>
      <c r="DL43" s="1077"/>
      <c r="DM43" s="1077"/>
      <c r="DN43" s="1077"/>
      <c r="DO43" s="1077"/>
      <c r="DP43" s="1077"/>
      <c r="DQ43" s="1077"/>
      <c r="DR43" s="1077"/>
      <c r="DS43" s="1077"/>
      <c r="DT43" s="1077"/>
      <c r="DU43" s="1077"/>
      <c r="DV43" s="1077"/>
      <c r="DW43" s="1077"/>
      <c r="DX43" s="1077"/>
      <c r="DY43" s="1077"/>
      <c r="DZ43" s="1077"/>
      <c r="EA43" s="1077"/>
      <c r="EB43" s="1077"/>
      <c r="EC43" s="1077"/>
      <c r="ED43" s="1077"/>
      <c r="EE43" s="1077"/>
      <c r="EF43" s="1077"/>
      <c r="EG43" s="1077"/>
      <c r="EH43" s="1077"/>
      <c r="EI43" s="1077"/>
      <c r="EJ43" s="1142"/>
    </row>
    <row r="44" spans="1:140" ht="3.75" customHeight="1" x14ac:dyDescent="0.25">
      <c r="A44" s="478"/>
      <c r="AY44" s="1103"/>
      <c r="AZ44" s="1103"/>
      <c r="BA44" s="1103"/>
      <c r="BB44" s="1103"/>
      <c r="BC44" s="1103"/>
      <c r="BD44" s="1103"/>
      <c r="BE44" s="1103"/>
      <c r="BF44" s="1103"/>
      <c r="BG44" s="1103"/>
      <c r="BH44" s="1103"/>
      <c r="BI44" s="1103"/>
      <c r="BJ44" s="1103"/>
      <c r="BK44" s="1103"/>
      <c r="BL44" s="1103"/>
      <c r="BM44" s="1103"/>
      <c r="BN44" s="1103"/>
      <c r="BO44" s="1103"/>
      <c r="BP44" s="1103"/>
      <c r="BQ44" s="1103"/>
      <c r="BR44" s="1103"/>
      <c r="BS44" s="1103"/>
      <c r="BT44" s="1103"/>
      <c r="BU44" s="1103"/>
      <c r="BV44" s="1103"/>
      <c r="BW44" s="1103"/>
      <c r="BX44" s="1103"/>
      <c r="CC44" s="73"/>
      <c r="CG44" s="1211"/>
      <c r="CH44" s="1077"/>
      <c r="CI44" s="1077"/>
      <c r="CJ44" s="1077"/>
      <c r="CK44" s="1077"/>
      <c r="CL44" s="1077"/>
      <c r="CM44" s="1077"/>
      <c r="CN44" s="1077"/>
      <c r="CO44" s="1077"/>
      <c r="CP44" s="1077"/>
      <c r="CQ44" s="1077"/>
      <c r="CR44" s="1077"/>
      <c r="CS44" s="1077"/>
      <c r="CT44" s="1077"/>
      <c r="CU44" s="1077"/>
      <c r="CV44" s="1077"/>
      <c r="CW44" s="1077"/>
      <c r="CX44" s="1077"/>
      <c r="CY44" s="1077"/>
      <c r="CZ44" s="1077"/>
      <c r="DA44" s="1077"/>
      <c r="DB44" s="1077"/>
      <c r="DC44" s="1077"/>
      <c r="DD44" s="1077"/>
      <c r="DE44" s="1077"/>
      <c r="DF44" s="1077"/>
      <c r="DG44" s="1077"/>
      <c r="DH44" s="1077"/>
      <c r="DI44" s="1077"/>
      <c r="DJ44" s="1077"/>
      <c r="DK44" s="1077"/>
      <c r="DL44" s="1077"/>
      <c r="DM44" s="1077"/>
      <c r="DN44" s="1077"/>
      <c r="DO44" s="1077"/>
      <c r="DP44" s="1077"/>
      <c r="DQ44" s="1077"/>
      <c r="DR44" s="1077"/>
      <c r="DS44" s="1077"/>
      <c r="DT44" s="1077"/>
      <c r="DU44" s="1077"/>
      <c r="DV44" s="1077"/>
      <c r="DW44" s="1077"/>
      <c r="DX44" s="1077"/>
      <c r="DY44" s="1077"/>
      <c r="DZ44" s="1077"/>
      <c r="EA44" s="1077"/>
      <c r="EB44" s="1077"/>
      <c r="EC44" s="1077"/>
      <c r="ED44" s="1077"/>
      <c r="EE44" s="1077"/>
      <c r="EF44" s="1077"/>
      <c r="EG44" s="1077"/>
      <c r="EH44" s="1077"/>
      <c r="EI44" s="1077"/>
      <c r="EJ44" s="1142"/>
    </row>
    <row r="45" spans="1:140" ht="3.75" customHeight="1" x14ac:dyDescent="0.25">
      <c r="A45" s="478"/>
      <c r="CC45" s="73"/>
      <c r="CG45" s="1211"/>
      <c r="CH45" s="1077"/>
      <c r="CI45" s="1077"/>
      <c r="CJ45" s="1077"/>
      <c r="CK45" s="1077"/>
      <c r="CL45" s="1077"/>
      <c r="CM45" s="1077"/>
      <c r="CN45" s="1077"/>
      <c r="CO45" s="1077"/>
      <c r="CP45" s="1077"/>
      <c r="CQ45" s="1077"/>
      <c r="CR45" s="1077"/>
      <c r="CS45" s="1077"/>
      <c r="CT45" s="1077"/>
      <c r="CU45" s="1077"/>
      <c r="CV45" s="1077"/>
      <c r="CW45" s="1077"/>
      <c r="CX45" s="1077"/>
      <c r="CY45" s="1077"/>
      <c r="CZ45" s="1077"/>
      <c r="DA45" s="1077"/>
      <c r="DB45" s="1077"/>
      <c r="DC45" s="1077"/>
      <c r="DD45" s="1077"/>
      <c r="DE45" s="1077"/>
      <c r="DF45" s="1077"/>
      <c r="DG45" s="1077"/>
      <c r="DH45" s="1077"/>
      <c r="DI45" s="1077"/>
      <c r="DJ45" s="1077"/>
      <c r="DK45" s="1077"/>
      <c r="DL45" s="1077"/>
      <c r="DM45" s="1077"/>
      <c r="DN45" s="1077"/>
      <c r="DO45" s="1077"/>
      <c r="DP45" s="1077"/>
      <c r="DQ45" s="1077"/>
      <c r="DR45" s="1077"/>
      <c r="DS45" s="1077"/>
      <c r="DT45" s="1077"/>
      <c r="DU45" s="1077"/>
      <c r="DV45" s="1077"/>
      <c r="DW45" s="1077"/>
      <c r="DX45" s="1077"/>
      <c r="DY45" s="1077"/>
      <c r="DZ45" s="1077"/>
      <c r="EA45" s="1077"/>
      <c r="EB45" s="1077"/>
      <c r="EC45" s="1077"/>
      <c r="ED45" s="1077"/>
      <c r="EE45" s="1077"/>
      <c r="EF45" s="1077"/>
      <c r="EG45" s="1077"/>
      <c r="EH45" s="1077"/>
      <c r="EI45" s="1077"/>
      <c r="EJ45" s="1142"/>
    </row>
    <row r="46" spans="1:140" ht="3.75" customHeight="1" x14ac:dyDescent="0.25">
      <c r="A46" s="478"/>
      <c r="C46" s="1103" t="s">
        <v>889</v>
      </c>
      <c r="D46" s="1103"/>
      <c r="E46" s="1103"/>
      <c r="F46" s="1103"/>
      <c r="G46" s="1103"/>
      <c r="H46" s="1103"/>
      <c r="I46" s="1103"/>
      <c r="J46" s="1103"/>
      <c r="K46" s="1103"/>
      <c r="L46" s="1103"/>
      <c r="M46" s="1103"/>
      <c r="N46" s="1103"/>
      <c r="O46" s="1103"/>
      <c r="P46" s="1103"/>
      <c r="Q46" s="1103"/>
      <c r="R46" s="1103"/>
      <c r="S46" s="1103"/>
      <c r="U46" s="1125"/>
      <c r="V46" s="1125"/>
      <c r="W46" s="1125"/>
      <c r="X46" s="1125"/>
      <c r="Y46" s="1125"/>
      <c r="Z46" s="1125"/>
      <c r="AA46" s="1125"/>
      <c r="AB46" s="1125"/>
      <c r="AC46" s="1125"/>
      <c r="AD46" s="1125"/>
      <c r="AE46" s="1125"/>
      <c r="AF46" s="1125"/>
      <c r="AG46" s="1125"/>
      <c r="AH46" s="1125"/>
      <c r="AI46" s="1125"/>
      <c r="AJ46" s="1125"/>
      <c r="AK46" s="1125"/>
      <c r="AL46" s="1125"/>
      <c r="AM46" s="1125"/>
      <c r="AN46" s="1125"/>
      <c r="AO46" s="1125"/>
      <c r="AP46" s="1125"/>
      <c r="AQ46" s="1125"/>
      <c r="AR46" s="1125"/>
      <c r="AS46" s="1125"/>
      <c r="AY46" s="1208"/>
      <c r="AZ46" s="1209"/>
      <c r="BA46" s="1210"/>
      <c r="BC46" s="1103" t="s">
        <v>618</v>
      </c>
      <c r="BD46" s="1103"/>
      <c r="BE46" s="1103"/>
      <c r="BF46" s="1103"/>
      <c r="BG46" s="1103"/>
      <c r="BH46" s="1103"/>
      <c r="BI46" s="1103"/>
      <c r="BJ46" s="1103"/>
      <c r="BK46" s="1103"/>
      <c r="BL46" s="1103"/>
      <c r="CC46" s="73"/>
      <c r="CG46" s="1211"/>
      <c r="CH46" s="1077"/>
      <c r="CI46" s="1077"/>
      <c r="CJ46" s="1077"/>
      <c r="CK46" s="1077"/>
      <c r="CL46" s="1077"/>
      <c r="CM46" s="1077"/>
      <c r="CN46" s="1077"/>
      <c r="CO46" s="1077"/>
      <c r="CP46" s="1077"/>
      <c r="CQ46" s="1077"/>
      <c r="CR46" s="1077"/>
      <c r="CS46" s="1077"/>
      <c r="CT46" s="1077"/>
      <c r="CU46" s="1077"/>
      <c r="CV46" s="1077"/>
      <c r="CW46" s="1077"/>
      <c r="CX46" s="1077"/>
      <c r="CY46" s="1077"/>
      <c r="CZ46" s="1077"/>
      <c r="DA46" s="1077"/>
      <c r="DB46" s="1077"/>
      <c r="DC46" s="1077"/>
      <c r="DD46" s="1077"/>
      <c r="DE46" s="1077"/>
      <c r="DF46" s="1077"/>
      <c r="DG46" s="1077"/>
      <c r="DH46" s="1077"/>
      <c r="DI46" s="1077"/>
      <c r="DJ46" s="1077"/>
      <c r="DK46" s="1077"/>
      <c r="DL46" s="1077"/>
      <c r="DM46" s="1077"/>
      <c r="DN46" s="1077"/>
      <c r="DO46" s="1077"/>
      <c r="DP46" s="1077"/>
      <c r="DQ46" s="1077"/>
      <c r="DR46" s="1077"/>
      <c r="DS46" s="1077"/>
      <c r="DT46" s="1077"/>
      <c r="DU46" s="1077"/>
      <c r="DV46" s="1077"/>
      <c r="DW46" s="1077"/>
      <c r="DX46" s="1077"/>
      <c r="DY46" s="1077"/>
      <c r="DZ46" s="1077"/>
      <c r="EA46" s="1077"/>
      <c r="EB46" s="1077"/>
      <c r="EC46" s="1077"/>
      <c r="ED46" s="1077"/>
      <c r="EE46" s="1077"/>
      <c r="EF46" s="1077"/>
      <c r="EG46" s="1077"/>
      <c r="EH46" s="1077"/>
      <c r="EI46" s="1077"/>
      <c r="EJ46" s="1142"/>
    </row>
    <row r="47" spans="1:140" ht="3.75" customHeight="1" x14ac:dyDescent="0.25">
      <c r="A47" s="478"/>
      <c r="C47" s="1103"/>
      <c r="D47" s="1103"/>
      <c r="E47" s="1103"/>
      <c r="F47" s="1103"/>
      <c r="G47" s="1103"/>
      <c r="H47" s="1103"/>
      <c r="I47" s="1103"/>
      <c r="J47" s="1103"/>
      <c r="K47" s="1103"/>
      <c r="L47" s="1103"/>
      <c r="M47" s="1103"/>
      <c r="N47" s="1103"/>
      <c r="O47" s="1103"/>
      <c r="P47" s="1103"/>
      <c r="Q47" s="1103"/>
      <c r="R47" s="1103"/>
      <c r="S47" s="1103"/>
      <c r="U47" s="1125"/>
      <c r="V47" s="1125"/>
      <c r="W47" s="1125"/>
      <c r="X47" s="1125"/>
      <c r="Y47" s="1125"/>
      <c r="Z47" s="1125"/>
      <c r="AA47" s="1125"/>
      <c r="AB47" s="1125"/>
      <c r="AC47" s="1125"/>
      <c r="AD47" s="1125"/>
      <c r="AE47" s="1125"/>
      <c r="AF47" s="1125"/>
      <c r="AG47" s="1125"/>
      <c r="AH47" s="1125"/>
      <c r="AI47" s="1125"/>
      <c r="AJ47" s="1125"/>
      <c r="AK47" s="1125"/>
      <c r="AL47" s="1125"/>
      <c r="AM47" s="1125"/>
      <c r="AN47" s="1125"/>
      <c r="AO47" s="1125"/>
      <c r="AP47" s="1125"/>
      <c r="AQ47" s="1125"/>
      <c r="AR47" s="1125"/>
      <c r="AS47" s="1125"/>
      <c r="AY47" s="1211"/>
      <c r="AZ47" s="1077"/>
      <c r="BA47" s="1142"/>
      <c r="BC47" s="1103"/>
      <c r="BD47" s="1103"/>
      <c r="BE47" s="1103"/>
      <c r="BF47" s="1103"/>
      <c r="BG47" s="1103"/>
      <c r="BH47" s="1103"/>
      <c r="BI47" s="1103"/>
      <c r="BJ47" s="1103"/>
      <c r="BK47" s="1103"/>
      <c r="BL47" s="1103"/>
      <c r="CC47" s="73"/>
      <c r="CG47" s="1211"/>
      <c r="CH47" s="1077"/>
      <c r="CI47" s="1077"/>
      <c r="CJ47" s="1077"/>
      <c r="CK47" s="1077"/>
      <c r="CL47" s="1077"/>
      <c r="CM47" s="1077"/>
      <c r="CN47" s="1077"/>
      <c r="CO47" s="1077"/>
      <c r="CP47" s="1077"/>
      <c r="CQ47" s="1077"/>
      <c r="CR47" s="1077"/>
      <c r="CS47" s="1077"/>
      <c r="CT47" s="1077"/>
      <c r="CU47" s="1077"/>
      <c r="CV47" s="1077"/>
      <c r="CW47" s="1077"/>
      <c r="CX47" s="1077"/>
      <c r="CY47" s="1077"/>
      <c r="CZ47" s="1077"/>
      <c r="DA47" s="1077"/>
      <c r="DB47" s="1077"/>
      <c r="DC47" s="1077"/>
      <c r="DD47" s="1077"/>
      <c r="DE47" s="1077"/>
      <c r="DF47" s="1077"/>
      <c r="DG47" s="1077"/>
      <c r="DH47" s="1077"/>
      <c r="DI47" s="1077"/>
      <c r="DJ47" s="1077"/>
      <c r="DK47" s="1077"/>
      <c r="DL47" s="1077"/>
      <c r="DM47" s="1077"/>
      <c r="DN47" s="1077"/>
      <c r="DO47" s="1077"/>
      <c r="DP47" s="1077"/>
      <c r="DQ47" s="1077"/>
      <c r="DR47" s="1077"/>
      <c r="DS47" s="1077"/>
      <c r="DT47" s="1077"/>
      <c r="DU47" s="1077"/>
      <c r="DV47" s="1077"/>
      <c r="DW47" s="1077"/>
      <c r="DX47" s="1077"/>
      <c r="DY47" s="1077"/>
      <c r="DZ47" s="1077"/>
      <c r="EA47" s="1077"/>
      <c r="EB47" s="1077"/>
      <c r="EC47" s="1077"/>
      <c r="ED47" s="1077"/>
      <c r="EE47" s="1077"/>
      <c r="EF47" s="1077"/>
      <c r="EG47" s="1077"/>
      <c r="EH47" s="1077"/>
      <c r="EI47" s="1077"/>
      <c r="EJ47" s="1142"/>
    </row>
    <row r="48" spans="1:140" ht="3.75" customHeight="1" x14ac:dyDescent="0.25">
      <c r="A48" s="478"/>
      <c r="C48" s="1103"/>
      <c r="D48" s="1103"/>
      <c r="E48" s="1103"/>
      <c r="F48" s="1103"/>
      <c r="G48" s="1103"/>
      <c r="H48" s="1103"/>
      <c r="I48" s="1103"/>
      <c r="J48" s="1103"/>
      <c r="K48" s="1103"/>
      <c r="L48" s="1103"/>
      <c r="M48" s="1103"/>
      <c r="N48" s="1103"/>
      <c r="O48" s="1103"/>
      <c r="P48" s="1103"/>
      <c r="Q48" s="1103"/>
      <c r="R48" s="1103"/>
      <c r="S48" s="1103"/>
      <c r="U48" s="1188"/>
      <c r="V48" s="1188"/>
      <c r="W48" s="1188"/>
      <c r="X48" s="1188"/>
      <c r="Y48" s="1188"/>
      <c r="Z48" s="1188"/>
      <c r="AA48" s="1188"/>
      <c r="AB48" s="1188"/>
      <c r="AC48" s="1188"/>
      <c r="AD48" s="1188"/>
      <c r="AE48" s="1188"/>
      <c r="AF48" s="1188"/>
      <c r="AG48" s="1188"/>
      <c r="AH48" s="1188"/>
      <c r="AI48" s="1188"/>
      <c r="AJ48" s="1188"/>
      <c r="AK48" s="1188"/>
      <c r="AL48" s="1188"/>
      <c r="AM48" s="1188"/>
      <c r="AN48" s="1188"/>
      <c r="AO48" s="1188"/>
      <c r="AP48" s="1188"/>
      <c r="AQ48" s="1188"/>
      <c r="AR48" s="1188"/>
      <c r="AS48" s="1188"/>
      <c r="AY48" s="1143"/>
      <c r="AZ48" s="1144"/>
      <c r="BA48" s="1145"/>
      <c r="BC48" s="1103"/>
      <c r="BD48" s="1103"/>
      <c r="BE48" s="1103"/>
      <c r="BF48" s="1103"/>
      <c r="BG48" s="1103"/>
      <c r="BH48" s="1103"/>
      <c r="BI48" s="1103"/>
      <c r="BJ48" s="1103"/>
      <c r="BK48" s="1103"/>
      <c r="BL48" s="1103"/>
      <c r="CC48" s="73"/>
      <c r="CG48" s="1211"/>
      <c r="CH48" s="1077"/>
      <c r="CI48" s="1077"/>
      <c r="CJ48" s="1077"/>
      <c r="CK48" s="1077"/>
      <c r="CL48" s="1077"/>
      <c r="CM48" s="1077"/>
      <c r="CN48" s="1077"/>
      <c r="CO48" s="1077"/>
      <c r="CP48" s="1077"/>
      <c r="CQ48" s="1077"/>
      <c r="CR48" s="1077"/>
      <c r="CS48" s="1077"/>
      <c r="CT48" s="1077"/>
      <c r="CU48" s="1077"/>
      <c r="CV48" s="1077"/>
      <c r="CW48" s="1077"/>
      <c r="CX48" s="1077"/>
      <c r="CY48" s="1077"/>
      <c r="CZ48" s="1077"/>
      <c r="DA48" s="1077"/>
      <c r="DB48" s="1077"/>
      <c r="DC48" s="1077"/>
      <c r="DD48" s="1077"/>
      <c r="DE48" s="1077"/>
      <c r="DF48" s="1077"/>
      <c r="DG48" s="1077"/>
      <c r="DH48" s="1077"/>
      <c r="DI48" s="1077"/>
      <c r="DJ48" s="1077"/>
      <c r="DK48" s="1077"/>
      <c r="DL48" s="1077"/>
      <c r="DM48" s="1077"/>
      <c r="DN48" s="1077"/>
      <c r="DO48" s="1077"/>
      <c r="DP48" s="1077"/>
      <c r="DQ48" s="1077"/>
      <c r="DR48" s="1077"/>
      <c r="DS48" s="1077"/>
      <c r="DT48" s="1077"/>
      <c r="DU48" s="1077"/>
      <c r="DV48" s="1077"/>
      <c r="DW48" s="1077"/>
      <c r="DX48" s="1077"/>
      <c r="DY48" s="1077"/>
      <c r="DZ48" s="1077"/>
      <c r="EA48" s="1077"/>
      <c r="EB48" s="1077"/>
      <c r="EC48" s="1077"/>
      <c r="ED48" s="1077"/>
      <c r="EE48" s="1077"/>
      <c r="EF48" s="1077"/>
      <c r="EG48" s="1077"/>
      <c r="EH48" s="1077"/>
      <c r="EI48" s="1077"/>
      <c r="EJ48" s="1142"/>
    </row>
    <row r="49" spans="1:140" ht="3.75" customHeight="1" x14ac:dyDescent="0.25">
      <c r="A49" s="478"/>
      <c r="CC49" s="73"/>
      <c r="CG49" s="1211"/>
      <c r="CH49" s="1077"/>
      <c r="CI49" s="1077"/>
      <c r="CJ49" s="1077"/>
      <c r="CK49" s="1077"/>
      <c r="CL49" s="1077"/>
      <c r="CM49" s="1077"/>
      <c r="CN49" s="1077"/>
      <c r="CO49" s="1077"/>
      <c r="CP49" s="1077"/>
      <c r="CQ49" s="1077"/>
      <c r="CR49" s="1077"/>
      <c r="CS49" s="1077"/>
      <c r="CT49" s="1077"/>
      <c r="CU49" s="1077"/>
      <c r="CV49" s="1077"/>
      <c r="CW49" s="1077"/>
      <c r="CX49" s="1077"/>
      <c r="CY49" s="1077"/>
      <c r="CZ49" s="1077"/>
      <c r="DA49" s="1077"/>
      <c r="DB49" s="1077"/>
      <c r="DC49" s="1077"/>
      <c r="DD49" s="1077"/>
      <c r="DE49" s="1077"/>
      <c r="DF49" s="1077"/>
      <c r="DG49" s="1077"/>
      <c r="DH49" s="1077"/>
      <c r="DI49" s="1077"/>
      <c r="DJ49" s="1077"/>
      <c r="DK49" s="1077"/>
      <c r="DL49" s="1077"/>
      <c r="DM49" s="1077"/>
      <c r="DN49" s="1077"/>
      <c r="DO49" s="1077"/>
      <c r="DP49" s="1077"/>
      <c r="DQ49" s="1077"/>
      <c r="DR49" s="1077"/>
      <c r="DS49" s="1077"/>
      <c r="DT49" s="1077"/>
      <c r="DU49" s="1077"/>
      <c r="DV49" s="1077"/>
      <c r="DW49" s="1077"/>
      <c r="DX49" s="1077"/>
      <c r="DY49" s="1077"/>
      <c r="DZ49" s="1077"/>
      <c r="EA49" s="1077"/>
      <c r="EB49" s="1077"/>
      <c r="EC49" s="1077"/>
      <c r="ED49" s="1077"/>
      <c r="EE49" s="1077"/>
      <c r="EF49" s="1077"/>
      <c r="EG49" s="1077"/>
      <c r="EH49" s="1077"/>
      <c r="EI49" s="1077"/>
      <c r="EJ49" s="1142"/>
    </row>
    <row r="50" spans="1:140" ht="3.75" customHeight="1" x14ac:dyDescent="0.25">
      <c r="A50" s="478"/>
      <c r="AY50" s="1208" t="s">
        <v>655</v>
      </c>
      <c r="AZ50" s="1209"/>
      <c r="BA50" s="1210"/>
      <c r="BC50" s="1103" t="s">
        <v>895</v>
      </c>
      <c r="BD50" s="1103"/>
      <c r="BE50" s="1103"/>
      <c r="BF50" s="1103"/>
      <c r="BG50" s="1103"/>
      <c r="BH50" s="1103"/>
      <c r="BI50" s="1103"/>
      <c r="BJ50" s="1103"/>
      <c r="BK50" s="1103"/>
      <c r="BL50" s="1103"/>
      <c r="BM50" s="1103"/>
      <c r="BN50" s="1103"/>
      <c r="BO50" s="1103"/>
      <c r="BP50" s="1103"/>
      <c r="BQ50" s="1103"/>
      <c r="BR50" s="1103"/>
      <c r="BS50" s="1103"/>
      <c r="BT50" s="1103"/>
      <c r="BU50" s="1103"/>
      <c r="BV50" s="1103"/>
      <c r="BW50" s="1103"/>
      <c r="BX50" s="1103"/>
      <c r="BY50" s="1103"/>
      <c r="BZ50" s="1103"/>
      <c r="CC50" s="73"/>
      <c r="CG50" s="1211"/>
      <c r="CH50" s="1077"/>
      <c r="CI50" s="1077"/>
      <c r="CJ50" s="1077"/>
      <c r="CK50" s="1077"/>
      <c r="CL50" s="1077"/>
      <c r="CM50" s="1077"/>
      <c r="CN50" s="1077"/>
      <c r="CO50" s="1077"/>
      <c r="CP50" s="1077"/>
      <c r="CQ50" s="1077"/>
      <c r="CR50" s="1077"/>
      <c r="CS50" s="1077"/>
      <c r="CT50" s="1077"/>
      <c r="CU50" s="1077"/>
      <c r="CV50" s="1077"/>
      <c r="CW50" s="1077"/>
      <c r="CX50" s="1077"/>
      <c r="CY50" s="1077"/>
      <c r="CZ50" s="1077"/>
      <c r="DA50" s="1077"/>
      <c r="DB50" s="1077"/>
      <c r="DC50" s="1077"/>
      <c r="DD50" s="1077"/>
      <c r="DE50" s="1077"/>
      <c r="DF50" s="1077"/>
      <c r="DG50" s="1077"/>
      <c r="DH50" s="1077"/>
      <c r="DI50" s="1077"/>
      <c r="DJ50" s="1077"/>
      <c r="DK50" s="1077"/>
      <c r="DL50" s="1077"/>
      <c r="DM50" s="1077"/>
      <c r="DN50" s="1077"/>
      <c r="DO50" s="1077"/>
      <c r="DP50" s="1077"/>
      <c r="DQ50" s="1077"/>
      <c r="DR50" s="1077"/>
      <c r="DS50" s="1077"/>
      <c r="DT50" s="1077"/>
      <c r="DU50" s="1077"/>
      <c r="DV50" s="1077"/>
      <c r="DW50" s="1077"/>
      <c r="DX50" s="1077"/>
      <c r="DY50" s="1077"/>
      <c r="DZ50" s="1077"/>
      <c r="EA50" s="1077"/>
      <c r="EB50" s="1077"/>
      <c r="EC50" s="1077"/>
      <c r="ED50" s="1077"/>
      <c r="EE50" s="1077"/>
      <c r="EF50" s="1077"/>
      <c r="EG50" s="1077"/>
      <c r="EH50" s="1077"/>
      <c r="EI50" s="1077"/>
      <c r="EJ50" s="1142"/>
    </row>
    <row r="51" spans="1:140" ht="3.75" customHeight="1" x14ac:dyDescent="0.25">
      <c r="A51" s="478"/>
      <c r="C51" s="1086" t="s">
        <v>890</v>
      </c>
      <c r="D51" s="1086"/>
      <c r="E51" s="1086"/>
      <c r="F51" s="1086"/>
      <c r="G51" s="1086"/>
      <c r="H51" s="1086"/>
      <c r="I51" s="1086"/>
      <c r="J51" s="1086"/>
      <c r="K51" s="1086"/>
      <c r="L51" s="1086"/>
      <c r="M51" s="1086"/>
      <c r="N51" s="1086"/>
      <c r="O51" s="1086"/>
      <c r="P51" s="1086"/>
      <c r="Q51" s="1086"/>
      <c r="R51" s="1086"/>
      <c r="S51" s="1086"/>
      <c r="U51" s="1125" t="s">
        <v>597</v>
      </c>
      <c r="V51" s="1125"/>
      <c r="W51" s="1125"/>
      <c r="X51" s="1125"/>
      <c r="Y51" s="1125"/>
      <c r="Z51" s="1125"/>
      <c r="AA51" s="1125"/>
      <c r="AB51" s="1125"/>
      <c r="AC51" s="1125"/>
      <c r="AD51" s="1125"/>
      <c r="AE51" s="1125"/>
      <c r="AF51" s="1125"/>
      <c r="AG51" s="1125"/>
      <c r="AH51" s="1125"/>
      <c r="AI51" s="1125"/>
      <c r="AJ51" s="1125"/>
      <c r="AK51" s="1125"/>
      <c r="AL51" s="1125"/>
      <c r="AM51" s="1125"/>
      <c r="AN51" s="1125"/>
      <c r="AO51" s="1125"/>
      <c r="AP51" s="1125"/>
      <c r="AQ51" s="1125"/>
      <c r="AR51" s="1125"/>
      <c r="AS51" s="1125"/>
      <c r="AY51" s="1211"/>
      <c r="AZ51" s="1077"/>
      <c r="BA51" s="1142"/>
      <c r="BC51" s="1103"/>
      <c r="BD51" s="1103"/>
      <c r="BE51" s="1103"/>
      <c r="BF51" s="1103"/>
      <c r="BG51" s="1103"/>
      <c r="BH51" s="1103"/>
      <c r="BI51" s="1103"/>
      <c r="BJ51" s="1103"/>
      <c r="BK51" s="1103"/>
      <c r="BL51" s="1103"/>
      <c r="BM51" s="1103"/>
      <c r="BN51" s="1103"/>
      <c r="BO51" s="1103"/>
      <c r="BP51" s="1103"/>
      <c r="BQ51" s="1103"/>
      <c r="BR51" s="1103"/>
      <c r="BS51" s="1103"/>
      <c r="BT51" s="1103"/>
      <c r="BU51" s="1103"/>
      <c r="BV51" s="1103"/>
      <c r="BW51" s="1103"/>
      <c r="BX51" s="1103"/>
      <c r="BY51" s="1103"/>
      <c r="BZ51" s="1103"/>
      <c r="CC51" s="73"/>
      <c r="CG51" s="1211"/>
      <c r="CH51" s="1077"/>
      <c r="CI51" s="1077"/>
      <c r="CJ51" s="1077"/>
      <c r="CK51" s="1077"/>
      <c r="CL51" s="1077"/>
      <c r="CM51" s="1077"/>
      <c r="CN51" s="1077"/>
      <c r="CO51" s="1077"/>
      <c r="CP51" s="1077"/>
      <c r="CQ51" s="1077"/>
      <c r="CR51" s="1077"/>
      <c r="CS51" s="1077"/>
      <c r="CT51" s="1077"/>
      <c r="CU51" s="1077"/>
      <c r="CV51" s="1077"/>
      <c r="CW51" s="1077"/>
      <c r="CX51" s="1077"/>
      <c r="CY51" s="1077"/>
      <c r="CZ51" s="1077"/>
      <c r="DA51" s="1077"/>
      <c r="DB51" s="1077"/>
      <c r="DC51" s="1077"/>
      <c r="DD51" s="1077"/>
      <c r="DE51" s="1077"/>
      <c r="DF51" s="1077"/>
      <c r="DG51" s="1077"/>
      <c r="DH51" s="1077"/>
      <c r="DI51" s="1077"/>
      <c r="DJ51" s="1077"/>
      <c r="DK51" s="1077"/>
      <c r="DL51" s="1077"/>
      <c r="DM51" s="1077"/>
      <c r="DN51" s="1077"/>
      <c r="DO51" s="1077"/>
      <c r="DP51" s="1077"/>
      <c r="DQ51" s="1077"/>
      <c r="DR51" s="1077"/>
      <c r="DS51" s="1077"/>
      <c r="DT51" s="1077"/>
      <c r="DU51" s="1077"/>
      <c r="DV51" s="1077"/>
      <c r="DW51" s="1077"/>
      <c r="DX51" s="1077"/>
      <c r="DY51" s="1077"/>
      <c r="DZ51" s="1077"/>
      <c r="EA51" s="1077"/>
      <c r="EB51" s="1077"/>
      <c r="EC51" s="1077"/>
      <c r="ED51" s="1077"/>
      <c r="EE51" s="1077"/>
      <c r="EF51" s="1077"/>
      <c r="EG51" s="1077"/>
      <c r="EH51" s="1077"/>
      <c r="EI51" s="1077"/>
      <c r="EJ51" s="1142"/>
    </row>
    <row r="52" spans="1:140" ht="3.75" customHeight="1" x14ac:dyDescent="0.25">
      <c r="A52" s="478"/>
      <c r="C52" s="1086"/>
      <c r="D52" s="1086"/>
      <c r="E52" s="1086"/>
      <c r="F52" s="1086"/>
      <c r="G52" s="1086"/>
      <c r="H52" s="1086"/>
      <c r="I52" s="1086"/>
      <c r="J52" s="1086"/>
      <c r="K52" s="1086"/>
      <c r="L52" s="1086"/>
      <c r="M52" s="1086"/>
      <c r="N52" s="1086"/>
      <c r="O52" s="1086"/>
      <c r="P52" s="1086"/>
      <c r="Q52" s="1086"/>
      <c r="R52" s="1086"/>
      <c r="S52" s="1086"/>
      <c r="U52" s="1125"/>
      <c r="V52" s="1125"/>
      <c r="W52" s="1125"/>
      <c r="X52" s="1125"/>
      <c r="Y52" s="1125"/>
      <c r="Z52" s="1125"/>
      <c r="AA52" s="1125"/>
      <c r="AB52" s="1125"/>
      <c r="AC52" s="1125"/>
      <c r="AD52" s="1125"/>
      <c r="AE52" s="1125"/>
      <c r="AF52" s="1125"/>
      <c r="AG52" s="1125"/>
      <c r="AH52" s="1125"/>
      <c r="AI52" s="1125"/>
      <c r="AJ52" s="1125"/>
      <c r="AK52" s="1125"/>
      <c r="AL52" s="1125"/>
      <c r="AM52" s="1125"/>
      <c r="AN52" s="1125"/>
      <c r="AO52" s="1125"/>
      <c r="AP52" s="1125"/>
      <c r="AQ52" s="1125"/>
      <c r="AR52" s="1125"/>
      <c r="AS52" s="1125"/>
      <c r="AY52" s="1143"/>
      <c r="AZ52" s="1144"/>
      <c r="BA52" s="1145"/>
      <c r="BC52" s="1103"/>
      <c r="BD52" s="1103"/>
      <c r="BE52" s="1103"/>
      <c r="BF52" s="1103"/>
      <c r="BG52" s="1103"/>
      <c r="BH52" s="1103"/>
      <c r="BI52" s="1103"/>
      <c r="BJ52" s="1103"/>
      <c r="BK52" s="1103"/>
      <c r="BL52" s="1103"/>
      <c r="BM52" s="1103"/>
      <c r="BN52" s="1103"/>
      <c r="BO52" s="1103"/>
      <c r="BP52" s="1103"/>
      <c r="BQ52" s="1103"/>
      <c r="BR52" s="1103"/>
      <c r="BS52" s="1103"/>
      <c r="BT52" s="1103"/>
      <c r="BU52" s="1103"/>
      <c r="BV52" s="1103"/>
      <c r="BW52" s="1103"/>
      <c r="BX52" s="1103"/>
      <c r="BY52" s="1103"/>
      <c r="BZ52" s="1103"/>
      <c r="CC52" s="73"/>
      <c r="CG52" s="1211"/>
      <c r="CH52" s="1077"/>
      <c r="CI52" s="1077"/>
      <c r="CJ52" s="1077"/>
      <c r="CK52" s="1077"/>
      <c r="CL52" s="1077"/>
      <c r="CM52" s="1077"/>
      <c r="CN52" s="1077"/>
      <c r="CO52" s="1077"/>
      <c r="CP52" s="1077"/>
      <c r="CQ52" s="1077"/>
      <c r="CR52" s="1077"/>
      <c r="CS52" s="1077"/>
      <c r="CT52" s="1077"/>
      <c r="CU52" s="1077"/>
      <c r="CV52" s="1077"/>
      <c r="CW52" s="1077"/>
      <c r="CX52" s="1077"/>
      <c r="CY52" s="1077"/>
      <c r="CZ52" s="1077"/>
      <c r="DA52" s="1077"/>
      <c r="DB52" s="1077"/>
      <c r="DC52" s="1077"/>
      <c r="DD52" s="1077"/>
      <c r="DE52" s="1077"/>
      <c r="DF52" s="1077"/>
      <c r="DG52" s="1077"/>
      <c r="DH52" s="1077"/>
      <c r="DI52" s="1077"/>
      <c r="DJ52" s="1077"/>
      <c r="DK52" s="1077"/>
      <c r="DL52" s="1077"/>
      <c r="DM52" s="1077"/>
      <c r="DN52" s="1077"/>
      <c r="DO52" s="1077"/>
      <c r="DP52" s="1077"/>
      <c r="DQ52" s="1077"/>
      <c r="DR52" s="1077"/>
      <c r="DS52" s="1077"/>
      <c r="DT52" s="1077"/>
      <c r="DU52" s="1077"/>
      <c r="DV52" s="1077"/>
      <c r="DW52" s="1077"/>
      <c r="DX52" s="1077"/>
      <c r="DY52" s="1077"/>
      <c r="DZ52" s="1077"/>
      <c r="EA52" s="1077"/>
      <c r="EB52" s="1077"/>
      <c r="EC52" s="1077"/>
      <c r="ED52" s="1077"/>
      <c r="EE52" s="1077"/>
      <c r="EF52" s="1077"/>
      <c r="EG52" s="1077"/>
      <c r="EH52" s="1077"/>
      <c r="EI52" s="1077"/>
      <c r="EJ52" s="1142"/>
    </row>
    <row r="53" spans="1:140" ht="3.75" customHeight="1" x14ac:dyDescent="0.25">
      <c r="A53" s="478"/>
      <c r="C53" s="1086"/>
      <c r="D53" s="1086"/>
      <c r="E53" s="1086"/>
      <c r="F53" s="1086"/>
      <c r="G53" s="1086"/>
      <c r="H53" s="1086"/>
      <c r="I53" s="1086"/>
      <c r="J53" s="1086"/>
      <c r="K53" s="1086"/>
      <c r="L53" s="1086"/>
      <c r="M53" s="1086"/>
      <c r="N53" s="1086"/>
      <c r="O53" s="1086"/>
      <c r="P53" s="1086"/>
      <c r="Q53" s="1086"/>
      <c r="R53" s="1086"/>
      <c r="S53" s="1086"/>
      <c r="U53" s="1188"/>
      <c r="V53" s="1188"/>
      <c r="W53" s="1188"/>
      <c r="X53" s="1188"/>
      <c r="Y53" s="1188"/>
      <c r="Z53" s="1188"/>
      <c r="AA53" s="1188"/>
      <c r="AB53" s="1188"/>
      <c r="AC53" s="1188"/>
      <c r="AD53" s="1188"/>
      <c r="AE53" s="1188"/>
      <c r="AF53" s="1188"/>
      <c r="AG53" s="1188"/>
      <c r="AH53" s="1188"/>
      <c r="AI53" s="1188"/>
      <c r="AJ53" s="1188"/>
      <c r="AK53" s="1188"/>
      <c r="AL53" s="1188"/>
      <c r="AM53" s="1188"/>
      <c r="AN53" s="1188"/>
      <c r="AO53" s="1188"/>
      <c r="AP53" s="1188"/>
      <c r="AQ53" s="1188"/>
      <c r="AR53" s="1188"/>
      <c r="AS53" s="1188"/>
      <c r="CC53" s="73"/>
      <c r="CG53" s="1211"/>
      <c r="CH53" s="1077"/>
      <c r="CI53" s="1077"/>
      <c r="CJ53" s="1077"/>
      <c r="CK53" s="1077"/>
      <c r="CL53" s="1077"/>
      <c r="CM53" s="1077"/>
      <c r="CN53" s="1077"/>
      <c r="CO53" s="1077"/>
      <c r="CP53" s="1077"/>
      <c r="CQ53" s="1077"/>
      <c r="CR53" s="1077"/>
      <c r="CS53" s="1077"/>
      <c r="CT53" s="1077"/>
      <c r="CU53" s="1077"/>
      <c r="CV53" s="1077"/>
      <c r="CW53" s="1077"/>
      <c r="CX53" s="1077"/>
      <c r="CY53" s="1077"/>
      <c r="CZ53" s="1077"/>
      <c r="DA53" s="1077"/>
      <c r="DB53" s="1077"/>
      <c r="DC53" s="1077"/>
      <c r="DD53" s="1077"/>
      <c r="DE53" s="1077"/>
      <c r="DF53" s="1077"/>
      <c r="DG53" s="1077"/>
      <c r="DH53" s="1077"/>
      <c r="DI53" s="1077"/>
      <c r="DJ53" s="1077"/>
      <c r="DK53" s="1077"/>
      <c r="DL53" s="1077"/>
      <c r="DM53" s="1077"/>
      <c r="DN53" s="1077"/>
      <c r="DO53" s="1077"/>
      <c r="DP53" s="1077"/>
      <c r="DQ53" s="1077"/>
      <c r="DR53" s="1077"/>
      <c r="DS53" s="1077"/>
      <c r="DT53" s="1077"/>
      <c r="DU53" s="1077"/>
      <c r="DV53" s="1077"/>
      <c r="DW53" s="1077"/>
      <c r="DX53" s="1077"/>
      <c r="DY53" s="1077"/>
      <c r="DZ53" s="1077"/>
      <c r="EA53" s="1077"/>
      <c r="EB53" s="1077"/>
      <c r="EC53" s="1077"/>
      <c r="ED53" s="1077"/>
      <c r="EE53" s="1077"/>
      <c r="EF53" s="1077"/>
      <c r="EG53" s="1077"/>
      <c r="EH53" s="1077"/>
      <c r="EI53" s="1077"/>
      <c r="EJ53" s="1142"/>
    </row>
    <row r="54" spans="1:140" ht="3.75" customHeight="1" x14ac:dyDescent="0.25">
      <c r="A54" s="478"/>
      <c r="CC54" s="73"/>
      <c r="CG54" s="1211"/>
      <c r="CH54" s="1077"/>
      <c r="CI54" s="1077"/>
      <c r="CJ54" s="1077"/>
      <c r="CK54" s="1077"/>
      <c r="CL54" s="1077"/>
      <c r="CM54" s="1077"/>
      <c r="CN54" s="1077"/>
      <c r="CO54" s="1077"/>
      <c r="CP54" s="1077"/>
      <c r="CQ54" s="1077"/>
      <c r="CR54" s="1077"/>
      <c r="CS54" s="1077"/>
      <c r="CT54" s="1077"/>
      <c r="CU54" s="1077"/>
      <c r="CV54" s="1077"/>
      <c r="CW54" s="1077"/>
      <c r="CX54" s="1077"/>
      <c r="CY54" s="1077"/>
      <c r="CZ54" s="1077"/>
      <c r="DA54" s="1077"/>
      <c r="DB54" s="1077"/>
      <c r="DC54" s="1077"/>
      <c r="DD54" s="1077"/>
      <c r="DE54" s="1077"/>
      <c r="DF54" s="1077"/>
      <c r="DG54" s="1077"/>
      <c r="DH54" s="1077"/>
      <c r="DI54" s="1077"/>
      <c r="DJ54" s="1077"/>
      <c r="DK54" s="1077"/>
      <c r="DL54" s="1077"/>
      <c r="DM54" s="1077"/>
      <c r="DN54" s="1077"/>
      <c r="DO54" s="1077"/>
      <c r="DP54" s="1077"/>
      <c r="DQ54" s="1077"/>
      <c r="DR54" s="1077"/>
      <c r="DS54" s="1077"/>
      <c r="DT54" s="1077"/>
      <c r="DU54" s="1077"/>
      <c r="DV54" s="1077"/>
      <c r="DW54" s="1077"/>
      <c r="DX54" s="1077"/>
      <c r="DY54" s="1077"/>
      <c r="DZ54" s="1077"/>
      <c r="EA54" s="1077"/>
      <c r="EB54" s="1077"/>
      <c r="EC54" s="1077"/>
      <c r="ED54" s="1077"/>
      <c r="EE54" s="1077"/>
      <c r="EF54" s="1077"/>
      <c r="EG54" s="1077"/>
      <c r="EH54" s="1077"/>
      <c r="EI54" s="1077"/>
      <c r="EJ54" s="1142"/>
    </row>
    <row r="55" spans="1:140" ht="3.75" customHeight="1" x14ac:dyDescent="0.25">
      <c r="A55" s="478"/>
      <c r="B55" s="364"/>
      <c r="C55" s="364"/>
      <c r="D55" s="364"/>
      <c r="E55" s="364"/>
      <c r="F55" s="364"/>
      <c r="G55" s="364"/>
      <c r="H55" s="364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4"/>
      <c r="X55" s="364"/>
      <c r="Y55" s="364"/>
      <c r="Z55" s="364"/>
      <c r="AA55" s="364"/>
      <c r="AB55" s="364"/>
      <c r="AC55" s="364"/>
      <c r="AD55" s="364"/>
      <c r="AE55" s="364"/>
      <c r="AF55" s="364"/>
      <c r="AG55" s="364"/>
      <c r="AH55" s="364"/>
      <c r="AI55" s="364"/>
      <c r="AJ55" s="364"/>
      <c r="AK55" s="364"/>
      <c r="AL55" s="364"/>
      <c r="AM55" s="364"/>
      <c r="AN55" s="364"/>
      <c r="AO55" s="364"/>
      <c r="AP55" s="364"/>
      <c r="AQ55" s="364"/>
      <c r="AR55" s="364"/>
      <c r="AS55" s="364"/>
      <c r="AT55" s="364"/>
      <c r="AU55" s="364"/>
      <c r="AV55" s="364"/>
      <c r="AW55" s="364"/>
      <c r="AX55" s="364"/>
      <c r="AY55" s="364"/>
      <c r="AZ55" s="364"/>
      <c r="BA55" s="364"/>
      <c r="BB55" s="364"/>
      <c r="BC55" s="364"/>
      <c r="BD55" s="364"/>
      <c r="BE55" s="364"/>
      <c r="BF55" s="364"/>
      <c r="BG55" s="364"/>
      <c r="BH55" s="364"/>
      <c r="BI55" s="364"/>
      <c r="BJ55" s="364"/>
      <c r="BK55" s="364"/>
      <c r="BL55" s="364"/>
      <c r="BM55" s="364"/>
      <c r="BN55" s="364"/>
      <c r="BO55" s="364"/>
      <c r="BP55" s="364"/>
      <c r="BQ55" s="364"/>
      <c r="BR55" s="364"/>
      <c r="BS55" s="364"/>
      <c r="BT55" s="364"/>
      <c r="BU55" s="364"/>
      <c r="BV55" s="364"/>
      <c r="BW55" s="364"/>
      <c r="BX55" s="364"/>
      <c r="BY55" s="364"/>
      <c r="BZ55" s="364"/>
      <c r="CA55" s="364"/>
      <c r="CB55" s="364"/>
      <c r="CC55" s="73"/>
      <c r="CG55" s="1211"/>
      <c r="CH55" s="1077"/>
      <c r="CI55" s="1077"/>
      <c r="CJ55" s="1077"/>
      <c r="CK55" s="1077"/>
      <c r="CL55" s="1077"/>
      <c r="CM55" s="1077"/>
      <c r="CN55" s="1077"/>
      <c r="CO55" s="1077"/>
      <c r="CP55" s="1077"/>
      <c r="CQ55" s="1077"/>
      <c r="CR55" s="1077"/>
      <c r="CS55" s="1077"/>
      <c r="CT55" s="1077"/>
      <c r="CU55" s="1077"/>
      <c r="CV55" s="1077"/>
      <c r="CW55" s="1077"/>
      <c r="CX55" s="1077"/>
      <c r="CY55" s="1077"/>
      <c r="CZ55" s="1077"/>
      <c r="DA55" s="1077"/>
      <c r="DB55" s="1077"/>
      <c r="DC55" s="1077"/>
      <c r="DD55" s="1077"/>
      <c r="DE55" s="1077"/>
      <c r="DF55" s="1077"/>
      <c r="DG55" s="1077"/>
      <c r="DH55" s="1077"/>
      <c r="DI55" s="1077"/>
      <c r="DJ55" s="1077"/>
      <c r="DK55" s="1077"/>
      <c r="DL55" s="1077"/>
      <c r="DM55" s="1077"/>
      <c r="DN55" s="1077"/>
      <c r="DO55" s="1077"/>
      <c r="DP55" s="1077"/>
      <c r="DQ55" s="1077"/>
      <c r="DR55" s="1077"/>
      <c r="DS55" s="1077"/>
      <c r="DT55" s="1077"/>
      <c r="DU55" s="1077"/>
      <c r="DV55" s="1077"/>
      <c r="DW55" s="1077"/>
      <c r="DX55" s="1077"/>
      <c r="DY55" s="1077"/>
      <c r="DZ55" s="1077"/>
      <c r="EA55" s="1077"/>
      <c r="EB55" s="1077"/>
      <c r="EC55" s="1077"/>
      <c r="ED55" s="1077"/>
      <c r="EE55" s="1077"/>
      <c r="EF55" s="1077"/>
      <c r="EG55" s="1077"/>
      <c r="EH55" s="1077"/>
      <c r="EI55" s="1077"/>
      <c r="EJ55" s="1142"/>
    </row>
    <row r="56" spans="1:140" ht="3.75" customHeight="1" x14ac:dyDescent="0.25">
      <c r="A56" s="478"/>
      <c r="CC56" s="73"/>
      <c r="CG56" s="1211"/>
      <c r="CH56" s="1077"/>
      <c r="CI56" s="1077"/>
      <c r="CJ56" s="1077"/>
      <c r="CK56" s="1077"/>
      <c r="CL56" s="1077"/>
      <c r="CM56" s="1077"/>
      <c r="CN56" s="1077"/>
      <c r="CO56" s="1077"/>
      <c r="CP56" s="1077"/>
      <c r="CQ56" s="1077"/>
      <c r="CR56" s="1077"/>
      <c r="CS56" s="1077"/>
      <c r="CT56" s="1077"/>
      <c r="CU56" s="1077"/>
      <c r="CV56" s="1077"/>
      <c r="CW56" s="1077"/>
      <c r="CX56" s="1077"/>
      <c r="CY56" s="1077"/>
      <c r="CZ56" s="1077"/>
      <c r="DA56" s="1077"/>
      <c r="DB56" s="1077"/>
      <c r="DC56" s="1077"/>
      <c r="DD56" s="1077"/>
      <c r="DE56" s="1077"/>
      <c r="DF56" s="1077"/>
      <c r="DG56" s="1077"/>
      <c r="DH56" s="1077"/>
      <c r="DI56" s="1077"/>
      <c r="DJ56" s="1077"/>
      <c r="DK56" s="1077"/>
      <c r="DL56" s="1077"/>
      <c r="DM56" s="1077"/>
      <c r="DN56" s="1077"/>
      <c r="DO56" s="1077"/>
      <c r="DP56" s="1077"/>
      <c r="DQ56" s="1077"/>
      <c r="DR56" s="1077"/>
      <c r="DS56" s="1077"/>
      <c r="DT56" s="1077"/>
      <c r="DU56" s="1077"/>
      <c r="DV56" s="1077"/>
      <c r="DW56" s="1077"/>
      <c r="DX56" s="1077"/>
      <c r="DY56" s="1077"/>
      <c r="DZ56" s="1077"/>
      <c r="EA56" s="1077"/>
      <c r="EB56" s="1077"/>
      <c r="EC56" s="1077"/>
      <c r="ED56" s="1077"/>
      <c r="EE56" s="1077"/>
      <c r="EF56" s="1077"/>
      <c r="EG56" s="1077"/>
      <c r="EH56" s="1077"/>
      <c r="EI56" s="1077"/>
      <c r="EJ56" s="1142"/>
    </row>
    <row r="57" spans="1:140" ht="3.75" customHeight="1" x14ac:dyDescent="0.25">
      <c r="A57" s="478"/>
      <c r="CC57" s="73"/>
      <c r="CG57" s="1211"/>
      <c r="CH57" s="1077"/>
      <c r="CI57" s="1077"/>
      <c r="CJ57" s="1077"/>
      <c r="CK57" s="1077"/>
      <c r="CL57" s="1077"/>
      <c r="CM57" s="1077"/>
      <c r="CN57" s="1077"/>
      <c r="CO57" s="1077"/>
      <c r="CP57" s="1077"/>
      <c r="CQ57" s="1077"/>
      <c r="CR57" s="1077"/>
      <c r="CS57" s="1077"/>
      <c r="CT57" s="1077"/>
      <c r="CU57" s="1077"/>
      <c r="CV57" s="1077"/>
      <c r="CW57" s="1077"/>
      <c r="CX57" s="1077"/>
      <c r="CY57" s="1077"/>
      <c r="CZ57" s="1077"/>
      <c r="DA57" s="1077"/>
      <c r="DB57" s="1077"/>
      <c r="DC57" s="1077"/>
      <c r="DD57" s="1077"/>
      <c r="DE57" s="1077"/>
      <c r="DF57" s="1077"/>
      <c r="DG57" s="1077"/>
      <c r="DH57" s="1077"/>
      <c r="DI57" s="1077"/>
      <c r="DJ57" s="1077"/>
      <c r="DK57" s="1077"/>
      <c r="DL57" s="1077"/>
      <c r="DM57" s="1077"/>
      <c r="DN57" s="1077"/>
      <c r="DO57" s="1077"/>
      <c r="DP57" s="1077"/>
      <c r="DQ57" s="1077"/>
      <c r="DR57" s="1077"/>
      <c r="DS57" s="1077"/>
      <c r="DT57" s="1077"/>
      <c r="DU57" s="1077"/>
      <c r="DV57" s="1077"/>
      <c r="DW57" s="1077"/>
      <c r="DX57" s="1077"/>
      <c r="DY57" s="1077"/>
      <c r="DZ57" s="1077"/>
      <c r="EA57" s="1077"/>
      <c r="EB57" s="1077"/>
      <c r="EC57" s="1077"/>
      <c r="ED57" s="1077"/>
      <c r="EE57" s="1077"/>
      <c r="EF57" s="1077"/>
      <c r="EG57" s="1077"/>
      <c r="EH57" s="1077"/>
      <c r="EI57" s="1077"/>
      <c r="EJ57" s="1142"/>
    </row>
    <row r="58" spans="1:140" ht="3.75" customHeight="1" x14ac:dyDescent="0.25">
      <c r="A58" s="478"/>
      <c r="C58" s="1208"/>
      <c r="D58" s="1209"/>
      <c r="E58" s="1210"/>
      <c r="G58" s="1103" t="s">
        <v>896</v>
      </c>
      <c r="H58" s="1103"/>
      <c r="I58" s="1103"/>
      <c r="J58" s="1103"/>
      <c r="K58" s="1103"/>
      <c r="L58" s="1103"/>
      <c r="M58" s="1103"/>
      <c r="O58" s="1208" t="s">
        <v>655</v>
      </c>
      <c r="P58" s="1209"/>
      <c r="Q58" s="1210"/>
      <c r="S58" s="1103" t="s">
        <v>897</v>
      </c>
      <c r="T58" s="1103"/>
      <c r="U58" s="1103"/>
      <c r="V58" s="1103"/>
      <c r="W58" s="1103"/>
      <c r="X58" s="1103"/>
      <c r="Y58" s="1103"/>
      <c r="Z58" s="1103"/>
      <c r="AA58" s="1103"/>
      <c r="AB58" s="1103"/>
      <c r="AC58" s="1103"/>
      <c r="AD58" s="1103"/>
      <c r="AE58" s="1103"/>
      <c r="AF58" s="1103"/>
      <c r="AG58" s="1103"/>
      <c r="AH58" s="1103"/>
      <c r="AI58" s="1103"/>
      <c r="AJ58" s="1103"/>
      <c r="AK58" s="1103"/>
      <c r="AL58" s="1103"/>
      <c r="AM58" s="1103"/>
      <c r="AN58" s="1103"/>
      <c r="AO58" s="1103"/>
      <c r="AP58" s="1103"/>
      <c r="AQ58" s="1103"/>
      <c r="AR58" s="1103"/>
      <c r="AS58" s="1103"/>
      <c r="AT58" s="1103"/>
      <c r="AU58" s="1103"/>
      <c r="AV58" s="1103"/>
      <c r="AW58" s="1103"/>
      <c r="AX58" s="1103"/>
      <c r="AY58" s="1103"/>
      <c r="AZ58" s="1103"/>
      <c r="BA58" s="1103"/>
      <c r="BB58" s="1103"/>
      <c r="BC58" s="1103"/>
      <c r="BD58" s="1103"/>
      <c r="BE58" s="1103"/>
      <c r="BF58" s="1103"/>
      <c r="BG58" s="1103"/>
      <c r="BH58" s="1103"/>
      <c r="BI58" s="1103"/>
      <c r="BJ58" s="1103"/>
      <c r="BK58" s="1103"/>
      <c r="BL58" s="1103"/>
      <c r="BM58" s="1103"/>
      <c r="BN58" s="1103"/>
      <c r="BO58" s="1103"/>
      <c r="BP58" s="1103"/>
      <c r="BQ58" s="1103"/>
      <c r="BR58" s="1103"/>
      <c r="BS58" s="1103"/>
      <c r="BT58" s="1103"/>
      <c r="BU58" s="1103"/>
      <c r="BV58" s="1103"/>
      <c r="BW58" s="1103"/>
      <c r="BX58" s="1103"/>
      <c r="BY58" s="1103"/>
      <c r="BZ58" s="1103"/>
      <c r="CA58" s="1103"/>
      <c r="CB58" s="1103"/>
      <c r="CC58" s="73"/>
      <c r="CG58" s="1211"/>
      <c r="CH58" s="1077"/>
      <c r="CI58" s="1077"/>
      <c r="CJ58" s="1077"/>
      <c r="CK58" s="1077"/>
      <c r="CL58" s="1077"/>
      <c r="CM58" s="1077"/>
      <c r="CN58" s="1077"/>
      <c r="CO58" s="1077"/>
      <c r="CP58" s="1077"/>
      <c r="CQ58" s="1077"/>
      <c r="CR58" s="1077"/>
      <c r="CS58" s="1077"/>
      <c r="CT58" s="1077"/>
      <c r="CU58" s="1077"/>
      <c r="CV58" s="1077"/>
      <c r="CW58" s="1077"/>
      <c r="CX58" s="1077"/>
      <c r="CY58" s="1077"/>
      <c r="CZ58" s="1077"/>
      <c r="DA58" s="1077"/>
      <c r="DB58" s="1077"/>
      <c r="DC58" s="1077"/>
      <c r="DD58" s="1077"/>
      <c r="DE58" s="1077"/>
      <c r="DF58" s="1077"/>
      <c r="DG58" s="1077"/>
      <c r="DH58" s="1077"/>
      <c r="DI58" s="1077"/>
      <c r="DJ58" s="1077"/>
      <c r="DK58" s="1077"/>
      <c r="DL58" s="1077"/>
      <c r="DM58" s="1077"/>
      <c r="DN58" s="1077"/>
      <c r="DO58" s="1077"/>
      <c r="DP58" s="1077"/>
      <c r="DQ58" s="1077"/>
      <c r="DR58" s="1077"/>
      <c r="DS58" s="1077"/>
      <c r="DT58" s="1077"/>
      <c r="DU58" s="1077"/>
      <c r="DV58" s="1077"/>
      <c r="DW58" s="1077"/>
      <c r="DX58" s="1077"/>
      <c r="DY58" s="1077"/>
      <c r="DZ58" s="1077"/>
      <c r="EA58" s="1077"/>
      <c r="EB58" s="1077"/>
      <c r="EC58" s="1077"/>
      <c r="ED58" s="1077"/>
      <c r="EE58" s="1077"/>
      <c r="EF58" s="1077"/>
      <c r="EG58" s="1077"/>
      <c r="EH58" s="1077"/>
      <c r="EI58" s="1077"/>
      <c r="EJ58" s="1142"/>
    </row>
    <row r="59" spans="1:140" ht="3.75" customHeight="1" x14ac:dyDescent="0.25">
      <c r="A59" s="478"/>
      <c r="C59" s="1211"/>
      <c r="D59" s="1077"/>
      <c r="E59" s="1142"/>
      <c r="G59" s="1103"/>
      <c r="H59" s="1103"/>
      <c r="I59" s="1103"/>
      <c r="J59" s="1103"/>
      <c r="K59" s="1103"/>
      <c r="L59" s="1103"/>
      <c r="M59" s="1103"/>
      <c r="O59" s="1211"/>
      <c r="P59" s="1077"/>
      <c r="Q59" s="1142"/>
      <c r="S59" s="1103"/>
      <c r="T59" s="1103"/>
      <c r="U59" s="1103"/>
      <c r="V59" s="1103"/>
      <c r="W59" s="1103"/>
      <c r="X59" s="1103"/>
      <c r="Y59" s="1103"/>
      <c r="Z59" s="1103"/>
      <c r="AA59" s="1103"/>
      <c r="AB59" s="1103"/>
      <c r="AC59" s="1103"/>
      <c r="AD59" s="1103"/>
      <c r="AE59" s="1103"/>
      <c r="AF59" s="1103"/>
      <c r="AG59" s="1103"/>
      <c r="AH59" s="1103"/>
      <c r="AI59" s="1103"/>
      <c r="AJ59" s="1103"/>
      <c r="AK59" s="1103"/>
      <c r="AL59" s="1103"/>
      <c r="AM59" s="1103"/>
      <c r="AN59" s="1103"/>
      <c r="AO59" s="1103"/>
      <c r="AP59" s="1103"/>
      <c r="AQ59" s="1103"/>
      <c r="AR59" s="1103"/>
      <c r="AS59" s="1103"/>
      <c r="AT59" s="1103"/>
      <c r="AU59" s="1103"/>
      <c r="AV59" s="1103"/>
      <c r="AW59" s="1103"/>
      <c r="AX59" s="1103"/>
      <c r="AY59" s="1103"/>
      <c r="AZ59" s="1103"/>
      <c r="BA59" s="1103"/>
      <c r="BB59" s="1103"/>
      <c r="BC59" s="1103"/>
      <c r="BD59" s="1103"/>
      <c r="BE59" s="1103"/>
      <c r="BF59" s="1103"/>
      <c r="BG59" s="1103"/>
      <c r="BH59" s="1103"/>
      <c r="BI59" s="1103"/>
      <c r="BJ59" s="1103"/>
      <c r="BK59" s="1103"/>
      <c r="BL59" s="1103"/>
      <c r="BM59" s="1103"/>
      <c r="BN59" s="1103"/>
      <c r="BO59" s="1103"/>
      <c r="BP59" s="1103"/>
      <c r="BQ59" s="1103"/>
      <c r="BR59" s="1103"/>
      <c r="BS59" s="1103"/>
      <c r="BT59" s="1103"/>
      <c r="BU59" s="1103"/>
      <c r="BV59" s="1103"/>
      <c r="BW59" s="1103"/>
      <c r="BX59" s="1103"/>
      <c r="BY59" s="1103"/>
      <c r="BZ59" s="1103"/>
      <c r="CA59" s="1103"/>
      <c r="CB59" s="1103"/>
      <c r="CC59" s="73"/>
      <c r="CG59" s="1211"/>
      <c r="CH59" s="1077"/>
      <c r="CI59" s="1077"/>
      <c r="CJ59" s="1077"/>
      <c r="CK59" s="1077"/>
      <c r="CL59" s="1077"/>
      <c r="CM59" s="1077"/>
      <c r="CN59" s="1077"/>
      <c r="CO59" s="1077"/>
      <c r="CP59" s="1077"/>
      <c r="CQ59" s="1077"/>
      <c r="CR59" s="1077"/>
      <c r="CS59" s="1077"/>
      <c r="CT59" s="1077"/>
      <c r="CU59" s="1077"/>
      <c r="CV59" s="1077"/>
      <c r="CW59" s="1077"/>
      <c r="CX59" s="1077"/>
      <c r="CY59" s="1077"/>
      <c r="CZ59" s="1077"/>
      <c r="DA59" s="1077"/>
      <c r="DB59" s="1077"/>
      <c r="DC59" s="1077"/>
      <c r="DD59" s="1077"/>
      <c r="DE59" s="1077"/>
      <c r="DF59" s="1077"/>
      <c r="DG59" s="1077"/>
      <c r="DH59" s="1077"/>
      <c r="DI59" s="1077"/>
      <c r="DJ59" s="1077"/>
      <c r="DK59" s="1077"/>
      <c r="DL59" s="1077"/>
      <c r="DM59" s="1077"/>
      <c r="DN59" s="1077"/>
      <c r="DO59" s="1077"/>
      <c r="DP59" s="1077"/>
      <c r="DQ59" s="1077"/>
      <c r="DR59" s="1077"/>
      <c r="DS59" s="1077"/>
      <c r="DT59" s="1077"/>
      <c r="DU59" s="1077"/>
      <c r="DV59" s="1077"/>
      <c r="DW59" s="1077"/>
      <c r="DX59" s="1077"/>
      <c r="DY59" s="1077"/>
      <c r="DZ59" s="1077"/>
      <c r="EA59" s="1077"/>
      <c r="EB59" s="1077"/>
      <c r="EC59" s="1077"/>
      <c r="ED59" s="1077"/>
      <c r="EE59" s="1077"/>
      <c r="EF59" s="1077"/>
      <c r="EG59" s="1077"/>
      <c r="EH59" s="1077"/>
      <c r="EI59" s="1077"/>
      <c r="EJ59" s="1142"/>
    </row>
    <row r="60" spans="1:140" ht="3.75" customHeight="1" x14ac:dyDescent="0.25">
      <c r="A60" s="478"/>
      <c r="C60" s="1143"/>
      <c r="D60" s="1144"/>
      <c r="E60" s="1145"/>
      <c r="G60" s="1103"/>
      <c r="H60" s="1103"/>
      <c r="I60" s="1103"/>
      <c r="J60" s="1103"/>
      <c r="K60" s="1103"/>
      <c r="L60" s="1103"/>
      <c r="M60" s="1103"/>
      <c r="O60" s="1143"/>
      <c r="P60" s="1144"/>
      <c r="Q60" s="1145"/>
      <c r="S60" s="1103"/>
      <c r="T60" s="1103"/>
      <c r="U60" s="1103"/>
      <c r="V60" s="1103"/>
      <c r="W60" s="1103"/>
      <c r="X60" s="1103"/>
      <c r="Y60" s="1103"/>
      <c r="Z60" s="1103"/>
      <c r="AA60" s="1103"/>
      <c r="AB60" s="1103"/>
      <c r="AC60" s="1103"/>
      <c r="AD60" s="1103"/>
      <c r="AE60" s="1103"/>
      <c r="AF60" s="1103"/>
      <c r="AG60" s="1103"/>
      <c r="AH60" s="1103"/>
      <c r="AI60" s="1103"/>
      <c r="AJ60" s="1103"/>
      <c r="AK60" s="1103"/>
      <c r="AL60" s="1103"/>
      <c r="AM60" s="1103"/>
      <c r="AN60" s="1103"/>
      <c r="AO60" s="1103"/>
      <c r="AP60" s="1103"/>
      <c r="AQ60" s="1103"/>
      <c r="AR60" s="1103"/>
      <c r="AS60" s="1103"/>
      <c r="AT60" s="1103"/>
      <c r="AU60" s="1103"/>
      <c r="AV60" s="1103"/>
      <c r="AW60" s="1103"/>
      <c r="AX60" s="1103"/>
      <c r="AY60" s="1103"/>
      <c r="AZ60" s="1103"/>
      <c r="BA60" s="1103"/>
      <c r="BB60" s="1103"/>
      <c r="BC60" s="1103"/>
      <c r="BD60" s="1103"/>
      <c r="BE60" s="1103"/>
      <c r="BF60" s="1103"/>
      <c r="BG60" s="1103"/>
      <c r="BH60" s="1103"/>
      <c r="BI60" s="1103"/>
      <c r="BJ60" s="1103"/>
      <c r="BK60" s="1103"/>
      <c r="BL60" s="1103"/>
      <c r="BM60" s="1103"/>
      <c r="BN60" s="1103"/>
      <c r="BO60" s="1103"/>
      <c r="BP60" s="1103"/>
      <c r="BQ60" s="1103"/>
      <c r="BR60" s="1103"/>
      <c r="BS60" s="1103"/>
      <c r="BT60" s="1103"/>
      <c r="BU60" s="1103"/>
      <c r="BV60" s="1103"/>
      <c r="BW60" s="1103"/>
      <c r="BX60" s="1103"/>
      <c r="BY60" s="1103"/>
      <c r="BZ60" s="1103"/>
      <c r="CA60" s="1103"/>
      <c r="CB60" s="1103"/>
      <c r="CC60" s="73"/>
      <c r="CG60" s="1211"/>
      <c r="CH60" s="1077"/>
      <c r="CI60" s="1077"/>
      <c r="CJ60" s="1077"/>
      <c r="CK60" s="1077"/>
      <c r="CL60" s="1077"/>
      <c r="CM60" s="1077"/>
      <c r="CN60" s="1077"/>
      <c r="CO60" s="1077"/>
      <c r="CP60" s="1077"/>
      <c r="CQ60" s="1077"/>
      <c r="CR60" s="1077"/>
      <c r="CS60" s="1077"/>
      <c r="CT60" s="1077"/>
      <c r="CU60" s="1077"/>
      <c r="CV60" s="1077"/>
      <c r="CW60" s="1077"/>
      <c r="CX60" s="1077"/>
      <c r="CY60" s="1077"/>
      <c r="CZ60" s="1077"/>
      <c r="DA60" s="1077"/>
      <c r="DB60" s="1077"/>
      <c r="DC60" s="1077"/>
      <c r="DD60" s="1077"/>
      <c r="DE60" s="1077"/>
      <c r="DF60" s="1077"/>
      <c r="DG60" s="1077"/>
      <c r="DH60" s="1077"/>
      <c r="DI60" s="1077"/>
      <c r="DJ60" s="1077"/>
      <c r="DK60" s="1077"/>
      <c r="DL60" s="1077"/>
      <c r="DM60" s="1077"/>
      <c r="DN60" s="1077"/>
      <c r="DO60" s="1077"/>
      <c r="DP60" s="1077"/>
      <c r="DQ60" s="1077"/>
      <c r="DR60" s="1077"/>
      <c r="DS60" s="1077"/>
      <c r="DT60" s="1077"/>
      <c r="DU60" s="1077"/>
      <c r="DV60" s="1077"/>
      <c r="DW60" s="1077"/>
      <c r="DX60" s="1077"/>
      <c r="DY60" s="1077"/>
      <c r="DZ60" s="1077"/>
      <c r="EA60" s="1077"/>
      <c r="EB60" s="1077"/>
      <c r="EC60" s="1077"/>
      <c r="ED60" s="1077"/>
      <c r="EE60" s="1077"/>
      <c r="EF60" s="1077"/>
      <c r="EG60" s="1077"/>
      <c r="EH60" s="1077"/>
      <c r="EI60" s="1077"/>
      <c r="EJ60" s="1142"/>
    </row>
    <row r="61" spans="1:140" ht="3.75" customHeight="1" x14ac:dyDescent="0.25">
      <c r="A61" s="478"/>
      <c r="CC61" s="73"/>
      <c r="CG61" s="1211"/>
      <c r="CH61" s="1077"/>
      <c r="CI61" s="1077"/>
      <c r="CJ61" s="1077"/>
      <c r="CK61" s="1077"/>
      <c r="CL61" s="1077"/>
      <c r="CM61" s="1077"/>
      <c r="CN61" s="1077"/>
      <c r="CO61" s="1077"/>
      <c r="CP61" s="1077"/>
      <c r="CQ61" s="1077"/>
      <c r="CR61" s="1077"/>
      <c r="CS61" s="1077"/>
      <c r="CT61" s="1077"/>
      <c r="CU61" s="1077"/>
      <c r="CV61" s="1077"/>
      <c r="CW61" s="1077"/>
      <c r="CX61" s="1077"/>
      <c r="CY61" s="1077"/>
      <c r="CZ61" s="1077"/>
      <c r="DA61" s="1077"/>
      <c r="DB61" s="1077"/>
      <c r="DC61" s="1077"/>
      <c r="DD61" s="1077"/>
      <c r="DE61" s="1077"/>
      <c r="DF61" s="1077"/>
      <c r="DG61" s="1077"/>
      <c r="DH61" s="1077"/>
      <c r="DI61" s="1077"/>
      <c r="DJ61" s="1077"/>
      <c r="DK61" s="1077"/>
      <c r="DL61" s="1077"/>
      <c r="DM61" s="1077"/>
      <c r="DN61" s="1077"/>
      <c r="DO61" s="1077"/>
      <c r="DP61" s="1077"/>
      <c r="DQ61" s="1077"/>
      <c r="DR61" s="1077"/>
      <c r="DS61" s="1077"/>
      <c r="DT61" s="1077"/>
      <c r="DU61" s="1077"/>
      <c r="DV61" s="1077"/>
      <c r="DW61" s="1077"/>
      <c r="DX61" s="1077"/>
      <c r="DY61" s="1077"/>
      <c r="DZ61" s="1077"/>
      <c r="EA61" s="1077"/>
      <c r="EB61" s="1077"/>
      <c r="EC61" s="1077"/>
      <c r="ED61" s="1077"/>
      <c r="EE61" s="1077"/>
      <c r="EF61" s="1077"/>
      <c r="EG61" s="1077"/>
      <c r="EH61" s="1077"/>
      <c r="EI61" s="1077"/>
      <c r="EJ61" s="1142"/>
    </row>
    <row r="62" spans="1:140" ht="3.75" customHeight="1" x14ac:dyDescent="0.25">
      <c r="A62" s="478"/>
      <c r="AE62" s="417"/>
      <c r="CC62" s="73"/>
      <c r="CG62" s="1211"/>
      <c r="CH62" s="1077"/>
      <c r="CI62" s="1077"/>
      <c r="CJ62" s="1077"/>
      <c r="CK62" s="1077"/>
      <c r="CL62" s="1077"/>
      <c r="CM62" s="1077"/>
      <c r="CN62" s="1077"/>
      <c r="CO62" s="1077"/>
      <c r="CP62" s="1077"/>
      <c r="CQ62" s="1077"/>
      <c r="CR62" s="1077"/>
      <c r="CS62" s="1077"/>
      <c r="CT62" s="1077"/>
      <c r="CU62" s="1077"/>
      <c r="CV62" s="1077"/>
      <c r="CW62" s="1077"/>
      <c r="CX62" s="1077"/>
      <c r="CY62" s="1077"/>
      <c r="CZ62" s="1077"/>
      <c r="DA62" s="1077"/>
      <c r="DB62" s="1077"/>
      <c r="DC62" s="1077"/>
      <c r="DD62" s="1077"/>
      <c r="DE62" s="1077"/>
      <c r="DF62" s="1077"/>
      <c r="DG62" s="1077"/>
      <c r="DH62" s="1077"/>
      <c r="DI62" s="1077"/>
      <c r="DJ62" s="1077"/>
      <c r="DK62" s="1077"/>
      <c r="DL62" s="1077"/>
      <c r="DM62" s="1077"/>
      <c r="DN62" s="1077"/>
      <c r="DO62" s="1077"/>
      <c r="DP62" s="1077"/>
      <c r="DQ62" s="1077"/>
      <c r="DR62" s="1077"/>
      <c r="DS62" s="1077"/>
      <c r="DT62" s="1077"/>
      <c r="DU62" s="1077"/>
      <c r="DV62" s="1077"/>
      <c r="DW62" s="1077"/>
      <c r="DX62" s="1077"/>
      <c r="DY62" s="1077"/>
      <c r="DZ62" s="1077"/>
      <c r="EA62" s="1077"/>
      <c r="EB62" s="1077"/>
      <c r="EC62" s="1077"/>
      <c r="ED62" s="1077"/>
      <c r="EE62" s="1077"/>
      <c r="EF62" s="1077"/>
      <c r="EG62" s="1077"/>
      <c r="EH62" s="1077"/>
      <c r="EI62" s="1077"/>
      <c r="EJ62" s="1142"/>
    </row>
    <row r="63" spans="1:140" ht="3.75" customHeight="1" x14ac:dyDescent="0.25">
      <c r="A63" s="478"/>
      <c r="R63" s="1077" t="s">
        <v>898</v>
      </c>
      <c r="S63" s="1077"/>
      <c r="T63" s="1077"/>
      <c r="U63" s="1077"/>
      <c r="V63" s="1077"/>
      <c r="W63" s="1077"/>
      <c r="X63" s="1077"/>
      <c r="Y63" s="1077"/>
      <c r="Z63" s="1077"/>
      <c r="AA63" s="1077"/>
      <c r="AB63" s="1077"/>
      <c r="AC63" s="1077"/>
      <c r="AD63" s="1077"/>
      <c r="AE63" s="1077"/>
      <c r="AF63" s="1077"/>
      <c r="AG63" s="1077"/>
      <c r="AH63" s="1077"/>
      <c r="AI63" s="1077"/>
      <c r="AJ63" s="1077"/>
      <c r="AK63" s="1077"/>
      <c r="AL63" s="1077"/>
      <c r="AM63" s="361"/>
      <c r="AN63" s="631"/>
      <c r="AO63" s="631"/>
      <c r="AP63" s="631"/>
      <c r="AQ63" s="631"/>
      <c r="AR63" s="631"/>
      <c r="AS63" s="631"/>
      <c r="AT63" s="631"/>
      <c r="AU63" s="631"/>
      <c r="AV63" s="631"/>
      <c r="AW63" s="631"/>
      <c r="AX63" s="631"/>
      <c r="AY63" s="631"/>
      <c r="AZ63" s="631"/>
      <c r="BA63" s="631"/>
      <c r="BB63" s="631"/>
      <c r="BC63" s="631"/>
      <c r="BD63" s="631"/>
      <c r="BE63" s="631"/>
      <c r="BF63" s="631"/>
      <c r="BG63" s="631"/>
      <c r="BH63" s="631"/>
      <c r="BI63" s="631"/>
      <c r="BJ63" s="631"/>
      <c r="BK63" s="631"/>
      <c r="BL63" s="631"/>
      <c r="BM63" s="631"/>
      <c r="BN63" s="631"/>
      <c r="BO63" s="631"/>
      <c r="BP63" s="631"/>
      <c r="BQ63" s="631"/>
      <c r="BR63" s="631"/>
      <c r="BS63" s="631"/>
      <c r="BT63" s="631"/>
      <c r="BU63" s="631"/>
      <c r="BV63" s="631"/>
      <c r="BW63" s="631"/>
      <c r="BX63" s="631"/>
      <c r="BY63" s="631"/>
      <c r="BZ63" s="631"/>
      <c r="CC63" s="73"/>
      <c r="CG63" s="1211"/>
      <c r="CH63" s="1077"/>
      <c r="CI63" s="1077"/>
      <c r="CJ63" s="1077"/>
      <c r="CK63" s="1077"/>
      <c r="CL63" s="1077"/>
      <c r="CM63" s="1077"/>
      <c r="CN63" s="1077"/>
      <c r="CO63" s="1077"/>
      <c r="CP63" s="1077"/>
      <c r="CQ63" s="1077"/>
      <c r="CR63" s="1077"/>
      <c r="CS63" s="1077"/>
      <c r="CT63" s="1077"/>
      <c r="CU63" s="1077"/>
      <c r="CV63" s="1077"/>
      <c r="CW63" s="1077"/>
      <c r="CX63" s="1077"/>
      <c r="CY63" s="1077"/>
      <c r="CZ63" s="1077"/>
      <c r="DA63" s="1077"/>
      <c r="DB63" s="1077"/>
      <c r="DC63" s="1077"/>
      <c r="DD63" s="1077"/>
      <c r="DE63" s="1077"/>
      <c r="DF63" s="1077"/>
      <c r="DG63" s="1077"/>
      <c r="DH63" s="1077"/>
      <c r="DI63" s="1077"/>
      <c r="DJ63" s="1077"/>
      <c r="DK63" s="1077"/>
      <c r="DL63" s="1077"/>
      <c r="DM63" s="1077"/>
      <c r="DN63" s="1077"/>
      <c r="DO63" s="1077"/>
      <c r="DP63" s="1077"/>
      <c r="DQ63" s="1077"/>
      <c r="DR63" s="1077"/>
      <c r="DS63" s="1077"/>
      <c r="DT63" s="1077"/>
      <c r="DU63" s="1077"/>
      <c r="DV63" s="1077"/>
      <c r="DW63" s="1077"/>
      <c r="DX63" s="1077"/>
      <c r="DY63" s="1077"/>
      <c r="DZ63" s="1077"/>
      <c r="EA63" s="1077"/>
      <c r="EB63" s="1077"/>
      <c r="EC63" s="1077"/>
      <c r="ED63" s="1077"/>
      <c r="EE63" s="1077"/>
      <c r="EF63" s="1077"/>
      <c r="EG63" s="1077"/>
      <c r="EH63" s="1077"/>
      <c r="EI63" s="1077"/>
      <c r="EJ63" s="1142"/>
    </row>
    <row r="64" spans="1:140" ht="3.75" customHeight="1" x14ac:dyDescent="0.25">
      <c r="A64" s="478"/>
      <c r="R64" s="1077"/>
      <c r="S64" s="1077"/>
      <c r="T64" s="1077"/>
      <c r="U64" s="1077"/>
      <c r="V64" s="1077"/>
      <c r="W64" s="1077"/>
      <c r="X64" s="1077"/>
      <c r="Y64" s="1077"/>
      <c r="Z64" s="1077"/>
      <c r="AA64" s="1077"/>
      <c r="AB64" s="1077"/>
      <c r="AC64" s="1077"/>
      <c r="AD64" s="1077"/>
      <c r="AE64" s="1077"/>
      <c r="AF64" s="1077"/>
      <c r="AG64" s="1077"/>
      <c r="AH64" s="1077"/>
      <c r="AI64" s="1077"/>
      <c r="AJ64" s="1077"/>
      <c r="AK64" s="1077"/>
      <c r="AL64" s="1077"/>
      <c r="AM64" s="361"/>
      <c r="AN64" s="631"/>
      <c r="AO64" s="631"/>
      <c r="AP64" s="631"/>
      <c r="AQ64" s="631"/>
      <c r="AR64" s="631"/>
      <c r="AS64" s="631"/>
      <c r="AT64" s="631"/>
      <c r="AU64" s="631"/>
      <c r="AV64" s="631"/>
      <c r="AW64" s="631"/>
      <c r="AX64" s="631"/>
      <c r="AY64" s="631"/>
      <c r="AZ64" s="631"/>
      <c r="BA64" s="631"/>
      <c r="BB64" s="631"/>
      <c r="BC64" s="631"/>
      <c r="BD64" s="631"/>
      <c r="BE64" s="631"/>
      <c r="BF64" s="631"/>
      <c r="BG64" s="631"/>
      <c r="BH64" s="631"/>
      <c r="BI64" s="631"/>
      <c r="BJ64" s="631"/>
      <c r="BK64" s="631"/>
      <c r="BL64" s="631"/>
      <c r="BM64" s="631"/>
      <c r="BN64" s="631"/>
      <c r="BO64" s="631"/>
      <c r="BP64" s="631"/>
      <c r="BQ64" s="631"/>
      <c r="BR64" s="631"/>
      <c r="BS64" s="631"/>
      <c r="BT64" s="631"/>
      <c r="BU64" s="631"/>
      <c r="BV64" s="631"/>
      <c r="BW64" s="631"/>
      <c r="BX64" s="631"/>
      <c r="BY64" s="631"/>
      <c r="BZ64" s="631"/>
      <c r="CC64" s="73"/>
      <c r="CG64" s="1211"/>
      <c r="CH64" s="1077"/>
      <c r="CI64" s="1077"/>
      <c r="CJ64" s="1077"/>
      <c r="CK64" s="1077"/>
      <c r="CL64" s="1077"/>
      <c r="CM64" s="1077"/>
      <c r="CN64" s="1077"/>
      <c r="CO64" s="1077"/>
      <c r="CP64" s="1077"/>
      <c r="CQ64" s="1077"/>
      <c r="CR64" s="1077"/>
      <c r="CS64" s="1077"/>
      <c r="CT64" s="1077"/>
      <c r="CU64" s="1077"/>
      <c r="CV64" s="1077"/>
      <c r="CW64" s="1077"/>
      <c r="CX64" s="1077"/>
      <c r="CY64" s="1077"/>
      <c r="CZ64" s="1077"/>
      <c r="DA64" s="1077"/>
      <c r="DB64" s="1077"/>
      <c r="DC64" s="1077"/>
      <c r="DD64" s="1077"/>
      <c r="DE64" s="1077"/>
      <c r="DF64" s="1077"/>
      <c r="DG64" s="1077"/>
      <c r="DH64" s="1077"/>
      <c r="DI64" s="1077"/>
      <c r="DJ64" s="1077"/>
      <c r="DK64" s="1077"/>
      <c r="DL64" s="1077"/>
      <c r="DM64" s="1077"/>
      <c r="DN64" s="1077"/>
      <c r="DO64" s="1077"/>
      <c r="DP64" s="1077"/>
      <c r="DQ64" s="1077"/>
      <c r="DR64" s="1077"/>
      <c r="DS64" s="1077"/>
      <c r="DT64" s="1077"/>
      <c r="DU64" s="1077"/>
      <c r="DV64" s="1077"/>
      <c r="DW64" s="1077"/>
      <c r="DX64" s="1077"/>
      <c r="DY64" s="1077"/>
      <c r="DZ64" s="1077"/>
      <c r="EA64" s="1077"/>
      <c r="EB64" s="1077"/>
      <c r="EC64" s="1077"/>
      <c r="ED64" s="1077"/>
      <c r="EE64" s="1077"/>
      <c r="EF64" s="1077"/>
      <c r="EG64" s="1077"/>
      <c r="EH64" s="1077"/>
      <c r="EI64" s="1077"/>
      <c r="EJ64" s="1142"/>
    </row>
    <row r="65" spans="1:140" ht="3.75" customHeight="1" x14ac:dyDescent="0.25">
      <c r="A65" s="478"/>
      <c r="R65" s="1077"/>
      <c r="S65" s="1077"/>
      <c r="T65" s="1077"/>
      <c r="U65" s="1077"/>
      <c r="V65" s="1077"/>
      <c r="W65" s="1077"/>
      <c r="X65" s="1077"/>
      <c r="Y65" s="1077"/>
      <c r="Z65" s="1077"/>
      <c r="AA65" s="1077"/>
      <c r="AB65" s="1077"/>
      <c r="AC65" s="1077"/>
      <c r="AD65" s="1077"/>
      <c r="AE65" s="1077"/>
      <c r="AF65" s="1077"/>
      <c r="AG65" s="1077"/>
      <c r="AH65" s="1077"/>
      <c r="AI65" s="1077"/>
      <c r="AJ65" s="1077"/>
      <c r="AK65" s="1077"/>
      <c r="AL65" s="1077"/>
      <c r="AM65" s="361"/>
      <c r="AN65" s="1084"/>
      <c r="AO65" s="1084"/>
      <c r="AP65" s="1084"/>
      <c r="AQ65" s="1084"/>
      <c r="AR65" s="1084"/>
      <c r="AS65" s="1084"/>
      <c r="AT65" s="1084"/>
      <c r="AU65" s="1084"/>
      <c r="AV65" s="1084"/>
      <c r="AW65" s="1084"/>
      <c r="AX65" s="1084"/>
      <c r="AY65" s="1084"/>
      <c r="AZ65" s="1084"/>
      <c r="BA65" s="1084"/>
      <c r="BB65" s="1084"/>
      <c r="BC65" s="1084"/>
      <c r="BD65" s="1084"/>
      <c r="BE65" s="1084"/>
      <c r="BF65" s="1084"/>
      <c r="BG65" s="1084"/>
      <c r="BH65" s="1084"/>
      <c r="BI65" s="1084"/>
      <c r="BJ65" s="1084"/>
      <c r="BK65" s="1084"/>
      <c r="BL65" s="1084"/>
      <c r="BM65" s="1084"/>
      <c r="BN65" s="1084"/>
      <c r="BO65" s="1084"/>
      <c r="BP65" s="1084"/>
      <c r="BQ65" s="1084"/>
      <c r="BR65" s="1084"/>
      <c r="BS65" s="1084"/>
      <c r="BT65" s="1084"/>
      <c r="BU65" s="1084"/>
      <c r="BV65" s="1084"/>
      <c r="BW65" s="1084"/>
      <c r="BX65" s="1084"/>
      <c r="BY65" s="1084"/>
      <c r="BZ65" s="1084"/>
      <c r="CC65" s="73"/>
      <c r="CG65" s="1211"/>
      <c r="CH65" s="1077"/>
      <c r="CI65" s="1077"/>
      <c r="CJ65" s="1077"/>
      <c r="CK65" s="1077"/>
      <c r="CL65" s="1077"/>
      <c r="CM65" s="1077"/>
      <c r="CN65" s="1077"/>
      <c r="CO65" s="1077"/>
      <c r="CP65" s="1077"/>
      <c r="CQ65" s="1077"/>
      <c r="CR65" s="1077"/>
      <c r="CS65" s="1077"/>
      <c r="CT65" s="1077"/>
      <c r="CU65" s="1077"/>
      <c r="CV65" s="1077"/>
      <c r="CW65" s="1077"/>
      <c r="CX65" s="1077"/>
      <c r="CY65" s="1077"/>
      <c r="CZ65" s="1077"/>
      <c r="DA65" s="1077"/>
      <c r="DB65" s="1077"/>
      <c r="DC65" s="1077"/>
      <c r="DD65" s="1077"/>
      <c r="DE65" s="1077"/>
      <c r="DF65" s="1077"/>
      <c r="DG65" s="1077"/>
      <c r="DH65" s="1077"/>
      <c r="DI65" s="1077"/>
      <c r="DJ65" s="1077"/>
      <c r="DK65" s="1077"/>
      <c r="DL65" s="1077"/>
      <c r="DM65" s="1077"/>
      <c r="DN65" s="1077"/>
      <c r="DO65" s="1077"/>
      <c r="DP65" s="1077"/>
      <c r="DQ65" s="1077"/>
      <c r="DR65" s="1077"/>
      <c r="DS65" s="1077"/>
      <c r="DT65" s="1077"/>
      <c r="DU65" s="1077"/>
      <c r="DV65" s="1077"/>
      <c r="DW65" s="1077"/>
      <c r="DX65" s="1077"/>
      <c r="DY65" s="1077"/>
      <c r="DZ65" s="1077"/>
      <c r="EA65" s="1077"/>
      <c r="EB65" s="1077"/>
      <c r="EC65" s="1077"/>
      <c r="ED65" s="1077"/>
      <c r="EE65" s="1077"/>
      <c r="EF65" s="1077"/>
      <c r="EG65" s="1077"/>
      <c r="EH65" s="1077"/>
      <c r="EI65" s="1077"/>
      <c r="EJ65" s="1142"/>
    </row>
    <row r="66" spans="1:140" ht="3.75" customHeight="1" x14ac:dyDescent="0.25">
      <c r="A66" s="478"/>
      <c r="CC66" s="73"/>
      <c r="CG66" s="1211"/>
      <c r="CH66" s="1077"/>
      <c r="CI66" s="1077"/>
      <c r="CJ66" s="1077"/>
      <c r="CK66" s="1077"/>
      <c r="CL66" s="1077"/>
      <c r="CM66" s="1077"/>
      <c r="CN66" s="1077"/>
      <c r="CO66" s="1077"/>
      <c r="CP66" s="1077"/>
      <c r="CQ66" s="1077"/>
      <c r="CR66" s="1077"/>
      <c r="CS66" s="1077"/>
      <c r="CT66" s="1077"/>
      <c r="CU66" s="1077"/>
      <c r="CV66" s="1077"/>
      <c r="CW66" s="1077"/>
      <c r="CX66" s="1077"/>
      <c r="CY66" s="1077"/>
      <c r="CZ66" s="1077"/>
      <c r="DA66" s="1077"/>
      <c r="DB66" s="1077"/>
      <c r="DC66" s="1077"/>
      <c r="DD66" s="1077"/>
      <c r="DE66" s="1077"/>
      <c r="DF66" s="1077"/>
      <c r="DG66" s="1077"/>
      <c r="DH66" s="1077"/>
      <c r="DI66" s="1077"/>
      <c r="DJ66" s="1077"/>
      <c r="DK66" s="1077"/>
      <c r="DL66" s="1077"/>
      <c r="DM66" s="1077"/>
      <c r="DN66" s="1077"/>
      <c r="DO66" s="1077"/>
      <c r="DP66" s="1077"/>
      <c r="DQ66" s="1077"/>
      <c r="DR66" s="1077"/>
      <c r="DS66" s="1077"/>
      <c r="DT66" s="1077"/>
      <c r="DU66" s="1077"/>
      <c r="DV66" s="1077"/>
      <c r="DW66" s="1077"/>
      <c r="DX66" s="1077"/>
      <c r="DY66" s="1077"/>
      <c r="DZ66" s="1077"/>
      <c r="EA66" s="1077"/>
      <c r="EB66" s="1077"/>
      <c r="EC66" s="1077"/>
      <c r="ED66" s="1077"/>
      <c r="EE66" s="1077"/>
      <c r="EF66" s="1077"/>
      <c r="EG66" s="1077"/>
      <c r="EH66" s="1077"/>
      <c r="EI66" s="1077"/>
      <c r="EJ66" s="1142"/>
    </row>
    <row r="67" spans="1:140" ht="3.75" customHeight="1" x14ac:dyDescent="0.25">
      <c r="A67" s="478"/>
      <c r="CC67" s="73"/>
      <c r="CG67" s="1211"/>
      <c r="CH67" s="1077"/>
      <c r="CI67" s="1077"/>
      <c r="CJ67" s="1077"/>
      <c r="CK67" s="1077"/>
      <c r="CL67" s="1077"/>
      <c r="CM67" s="1077"/>
      <c r="CN67" s="1077"/>
      <c r="CO67" s="1077"/>
      <c r="CP67" s="1077"/>
      <c r="CQ67" s="1077"/>
      <c r="CR67" s="1077"/>
      <c r="CS67" s="1077"/>
      <c r="CT67" s="1077"/>
      <c r="CU67" s="1077"/>
      <c r="CV67" s="1077"/>
      <c r="CW67" s="1077"/>
      <c r="CX67" s="1077"/>
      <c r="CY67" s="1077"/>
      <c r="CZ67" s="1077"/>
      <c r="DA67" s="1077"/>
      <c r="DB67" s="1077"/>
      <c r="DC67" s="1077"/>
      <c r="DD67" s="1077"/>
      <c r="DE67" s="1077"/>
      <c r="DF67" s="1077"/>
      <c r="DG67" s="1077"/>
      <c r="DH67" s="1077"/>
      <c r="DI67" s="1077"/>
      <c r="DJ67" s="1077"/>
      <c r="DK67" s="1077"/>
      <c r="DL67" s="1077"/>
      <c r="DM67" s="1077"/>
      <c r="DN67" s="1077"/>
      <c r="DO67" s="1077"/>
      <c r="DP67" s="1077"/>
      <c r="DQ67" s="1077"/>
      <c r="DR67" s="1077"/>
      <c r="DS67" s="1077"/>
      <c r="DT67" s="1077"/>
      <c r="DU67" s="1077"/>
      <c r="DV67" s="1077"/>
      <c r="DW67" s="1077"/>
      <c r="DX67" s="1077"/>
      <c r="DY67" s="1077"/>
      <c r="DZ67" s="1077"/>
      <c r="EA67" s="1077"/>
      <c r="EB67" s="1077"/>
      <c r="EC67" s="1077"/>
      <c r="ED67" s="1077"/>
      <c r="EE67" s="1077"/>
      <c r="EF67" s="1077"/>
      <c r="EG67" s="1077"/>
      <c r="EH67" s="1077"/>
      <c r="EI67" s="1077"/>
      <c r="EJ67" s="1142"/>
    </row>
    <row r="68" spans="1:140" ht="3.75" customHeight="1" x14ac:dyDescent="0.25">
      <c r="A68" s="478"/>
      <c r="C68" s="1208" t="s">
        <v>655</v>
      </c>
      <c r="D68" s="1209"/>
      <c r="E68" s="1210"/>
      <c r="G68" s="1077" t="s">
        <v>899</v>
      </c>
      <c r="H68" s="1077"/>
      <c r="I68" s="1077"/>
      <c r="J68" s="1077"/>
      <c r="K68" s="1077"/>
      <c r="L68" s="1077"/>
      <c r="M68" s="1077"/>
      <c r="N68" s="1077"/>
      <c r="O68" s="1077"/>
      <c r="P68" s="1077"/>
      <c r="Q68" s="1077"/>
      <c r="R68" s="1077"/>
      <c r="S68" s="1077"/>
      <c r="T68" s="1077"/>
      <c r="U68" s="1077"/>
      <c r="V68" s="1077"/>
      <c r="W68" s="1077"/>
      <c r="X68" s="1077"/>
      <c r="Y68" s="1077"/>
      <c r="Z68" s="1077"/>
      <c r="AA68" s="1077"/>
      <c r="AB68" s="1077"/>
      <c r="AC68" s="1077"/>
      <c r="AD68" s="1077"/>
      <c r="AE68" s="361"/>
      <c r="AF68" s="631" t="str">
        <f>IF(AS68="Celadon", 'Data Conversions'!K24, IF(AS68="Mysterious", 'Data Conversions'!K25, IF(AS68="Willow", 'Data Conversions'!K26, "")))</f>
        <v/>
      </c>
      <c r="AG68" s="631"/>
      <c r="AH68" s="631"/>
      <c r="AI68" s="631"/>
      <c r="AJ68" s="631"/>
      <c r="AK68" s="631"/>
      <c r="AL68" s="631"/>
      <c r="AM68" s="631"/>
      <c r="AO68" s="1212" t="s">
        <v>900</v>
      </c>
      <c r="AP68" s="1212"/>
      <c r="AQ68" s="1212"/>
      <c r="AS68" s="1125" t="str">
        <f>IF(AN63="", "", AN63)</f>
        <v/>
      </c>
      <c r="AT68" s="1125"/>
      <c r="AU68" s="1125"/>
      <c r="AV68" s="1125"/>
      <c r="AW68" s="1125"/>
      <c r="AX68" s="1125"/>
      <c r="AY68" s="1125"/>
      <c r="AZ68" s="1125"/>
      <c r="BA68" s="1125"/>
      <c r="BB68" s="1125"/>
      <c r="BC68" s="1125"/>
      <c r="BD68" s="1125"/>
      <c r="BE68" s="1125"/>
      <c r="BF68" s="1125"/>
      <c r="BG68" s="1125"/>
      <c r="BH68" s="1125"/>
      <c r="BI68" s="1125"/>
      <c r="BJ68" s="1125"/>
      <c r="BK68" s="1125"/>
      <c r="BL68" s="1125"/>
      <c r="BM68" s="1125"/>
      <c r="BN68" s="1125"/>
      <c r="BO68" s="1125"/>
      <c r="BP68" s="1125"/>
      <c r="BQ68" s="1125"/>
      <c r="BR68" s="1125"/>
      <c r="BS68" s="1125"/>
      <c r="BT68" s="1125"/>
      <c r="BU68" s="1125"/>
      <c r="BV68" s="1125"/>
      <c r="BW68" s="1125"/>
      <c r="BX68" s="1125"/>
      <c r="BY68" s="1125"/>
      <c r="BZ68" s="1125"/>
      <c r="CC68" s="73"/>
      <c r="CG68" s="1211"/>
      <c r="CH68" s="1077"/>
      <c r="CI68" s="1077"/>
      <c r="CJ68" s="1077"/>
      <c r="CK68" s="1077"/>
      <c r="CL68" s="1077"/>
      <c r="CM68" s="1077"/>
      <c r="CN68" s="1077"/>
      <c r="CO68" s="1077"/>
      <c r="CP68" s="1077"/>
      <c r="CQ68" s="1077"/>
      <c r="CR68" s="1077"/>
      <c r="CS68" s="1077"/>
      <c r="CT68" s="1077"/>
      <c r="CU68" s="1077"/>
      <c r="CV68" s="1077"/>
      <c r="CW68" s="1077"/>
      <c r="CX68" s="1077"/>
      <c r="CY68" s="1077"/>
      <c r="CZ68" s="1077"/>
      <c r="DA68" s="1077"/>
      <c r="DB68" s="1077"/>
      <c r="DC68" s="1077"/>
      <c r="DD68" s="1077"/>
      <c r="DE68" s="1077"/>
      <c r="DF68" s="1077"/>
      <c r="DG68" s="1077"/>
      <c r="DH68" s="1077"/>
      <c r="DI68" s="1077"/>
      <c r="DJ68" s="1077"/>
      <c r="DK68" s="1077"/>
      <c r="DL68" s="1077"/>
      <c r="DM68" s="1077"/>
      <c r="DN68" s="1077"/>
      <c r="DO68" s="1077"/>
      <c r="DP68" s="1077"/>
      <c r="DQ68" s="1077"/>
      <c r="DR68" s="1077"/>
      <c r="DS68" s="1077"/>
      <c r="DT68" s="1077"/>
      <c r="DU68" s="1077"/>
      <c r="DV68" s="1077"/>
      <c r="DW68" s="1077"/>
      <c r="DX68" s="1077"/>
      <c r="DY68" s="1077"/>
      <c r="DZ68" s="1077"/>
      <c r="EA68" s="1077"/>
      <c r="EB68" s="1077"/>
      <c r="EC68" s="1077"/>
      <c r="ED68" s="1077"/>
      <c r="EE68" s="1077"/>
      <c r="EF68" s="1077"/>
      <c r="EG68" s="1077"/>
      <c r="EH68" s="1077"/>
      <c r="EI68" s="1077"/>
      <c r="EJ68" s="1142"/>
    </row>
    <row r="69" spans="1:140" ht="3.75" customHeight="1" x14ac:dyDescent="0.25">
      <c r="A69" s="478"/>
      <c r="C69" s="1211"/>
      <c r="D69" s="1077"/>
      <c r="E69" s="1142"/>
      <c r="G69" s="1077"/>
      <c r="H69" s="1077"/>
      <c r="I69" s="1077"/>
      <c r="J69" s="1077"/>
      <c r="K69" s="1077"/>
      <c r="L69" s="1077"/>
      <c r="M69" s="1077"/>
      <c r="N69" s="1077"/>
      <c r="O69" s="1077"/>
      <c r="P69" s="1077"/>
      <c r="Q69" s="1077"/>
      <c r="R69" s="1077"/>
      <c r="S69" s="1077"/>
      <c r="T69" s="1077"/>
      <c r="U69" s="1077"/>
      <c r="V69" s="1077"/>
      <c r="W69" s="1077"/>
      <c r="X69" s="1077"/>
      <c r="Y69" s="1077"/>
      <c r="Z69" s="1077"/>
      <c r="AA69" s="1077"/>
      <c r="AB69" s="1077"/>
      <c r="AC69" s="1077"/>
      <c r="AD69" s="1077"/>
      <c r="AE69" s="361"/>
      <c r="AF69" s="631"/>
      <c r="AG69" s="631"/>
      <c r="AH69" s="631"/>
      <c r="AI69" s="631"/>
      <c r="AJ69" s="631"/>
      <c r="AK69" s="631"/>
      <c r="AL69" s="631"/>
      <c r="AM69" s="631"/>
      <c r="AO69" s="1212"/>
      <c r="AP69" s="1212"/>
      <c r="AQ69" s="1212"/>
      <c r="AS69" s="1125"/>
      <c r="AT69" s="1125"/>
      <c r="AU69" s="1125"/>
      <c r="AV69" s="1125"/>
      <c r="AW69" s="1125"/>
      <c r="AX69" s="1125"/>
      <c r="AY69" s="1125"/>
      <c r="AZ69" s="1125"/>
      <c r="BA69" s="1125"/>
      <c r="BB69" s="1125"/>
      <c r="BC69" s="1125"/>
      <c r="BD69" s="1125"/>
      <c r="BE69" s="1125"/>
      <c r="BF69" s="1125"/>
      <c r="BG69" s="1125"/>
      <c r="BH69" s="1125"/>
      <c r="BI69" s="1125"/>
      <c r="BJ69" s="1125"/>
      <c r="BK69" s="1125"/>
      <c r="BL69" s="1125"/>
      <c r="BM69" s="1125"/>
      <c r="BN69" s="1125"/>
      <c r="BO69" s="1125"/>
      <c r="BP69" s="1125"/>
      <c r="BQ69" s="1125"/>
      <c r="BR69" s="1125"/>
      <c r="BS69" s="1125"/>
      <c r="BT69" s="1125"/>
      <c r="BU69" s="1125"/>
      <c r="BV69" s="1125"/>
      <c r="BW69" s="1125"/>
      <c r="BX69" s="1125"/>
      <c r="BY69" s="1125"/>
      <c r="BZ69" s="1125"/>
      <c r="CC69" s="73"/>
      <c r="CG69" s="1211"/>
      <c r="CH69" s="1077"/>
      <c r="CI69" s="1077"/>
      <c r="CJ69" s="1077"/>
      <c r="CK69" s="1077"/>
      <c r="CL69" s="1077"/>
      <c r="CM69" s="1077"/>
      <c r="CN69" s="1077"/>
      <c r="CO69" s="1077"/>
      <c r="CP69" s="1077"/>
      <c r="CQ69" s="1077"/>
      <c r="CR69" s="1077"/>
      <c r="CS69" s="1077"/>
      <c r="CT69" s="1077"/>
      <c r="CU69" s="1077"/>
      <c r="CV69" s="1077"/>
      <c r="CW69" s="1077"/>
      <c r="CX69" s="1077"/>
      <c r="CY69" s="1077"/>
      <c r="CZ69" s="1077"/>
      <c r="DA69" s="1077"/>
      <c r="DB69" s="1077"/>
      <c r="DC69" s="1077"/>
      <c r="DD69" s="1077"/>
      <c r="DE69" s="1077"/>
      <c r="DF69" s="1077"/>
      <c r="DG69" s="1077"/>
      <c r="DH69" s="1077"/>
      <c r="DI69" s="1077"/>
      <c r="DJ69" s="1077"/>
      <c r="DK69" s="1077"/>
      <c r="DL69" s="1077"/>
      <c r="DM69" s="1077"/>
      <c r="DN69" s="1077"/>
      <c r="DO69" s="1077"/>
      <c r="DP69" s="1077"/>
      <c r="DQ69" s="1077"/>
      <c r="DR69" s="1077"/>
      <c r="DS69" s="1077"/>
      <c r="DT69" s="1077"/>
      <c r="DU69" s="1077"/>
      <c r="DV69" s="1077"/>
      <c r="DW69" s="1077"/>
      <c r="DX69" s="1077"/>
      <c r="DY69" s="1077"/>
      <c r="DZ69" s="1077"/>
      <c r="EA69" s="1077"/>
      <c r="EB69" s="1077"/>
      <c r="EC69" s="1077"/>
      <c r="ED69" s="1077"/>
      <c r="EE69" s="1077"/>
      <c r="EF69" s="1077"/>
      <c r="EG69" s="1077"/>
      <c r="EH69" s="1077"/>
      <c r="EI69" s="1077"/>
      <c r="EJ69" s="1142"/>
    </row>
    <row r="70" spans="1:140" ht="3.75" customHeight="1" x14ac:dyDescent="0.25">
      <c r="A70" s="478"/>
      <c r="C70" s="1143"/>
      <c r="D70" s="1144"/>
      <c r="E70" s="1145"/>
      <c r="G70" s="1077"/>
      <c r="H70" s="1077"/>
      <c r="I70" s="1077"/>
      <c r="J70" s="1077"/>
      <c r="K70" s="1077"/>
      <c r="L70" s="1077"/>
      <c r="M70" s="1077"/>
      <c r="N70" s="1077"/>
      <c r="O70" s="1077"/>
      <c r="P70" s="1077"/>
      <c r="Q70" s="1077"/>
      <c r="R70" s="1077"/>
      <c r="S70" s="1077"/>
      <c r="T70" s="1077"/>
      <c r="U70" s="1077"/>
      <c r="V70" s="1077"/>
      <c r="W70" s="1077"/>
      <c r="X70" s="1077"/>
      <c r="Y70" s="1077"/>
      <c r="Z70" s="1077"/>
      <c r="AA70" s="1077"/>
      <c r="AB70" s="1077"/>
      <c r="AC70" s="1077"/>
      <c r="AD70" s="1077"/>
      <c r="AE70" s="361"/>
      <c r="AF70" s="1084"/>
      <c r="AG70" s="1084"/>
      <c r="AH70" s="1084"/>
      <c r="AI70" s="1084"/>
      <c r="AJ70" s="1084"/>
      <c r="AK70" s="1084"/>
      <c r="AL70" s="1084"/>
      <c r="AM70" s="1084"/>
      <c r="AO70" s="1212"/>
      <c r="AP70" s="1212"/>
      <c r="AQ70" s="1212"/>
      <c r="AS70" s="1188"/>
      <c r="AT70" s="1188"/>
      <c r="AU70" s="1188"/>
      <c r="AV70" s="1188"/>
      <c r="AW70" s="1188"/>
      <c r="AX70" s="1188"/>
      <c r="AY70" s="1188"/>
      <c r="AZ70" s="1188"/>
      <c r="BA70" s="1188"/>
      <c r="BB70" s="1188"/>
      <c r="BC70" s="1188"/>
      <c r="BD70" s="1188"/>
      <c r="BE70" s="1188"/>
      <c r="BF70" s="1188"/>
      <c r="BG70" s="1188"/>
      <c r="BH70" s="1188"/>
      <c r="BI70" s="1188"/>
      <c r="BJ70" s="1188"/>
      <c r="BK70" s="1188"/>
      <c r="BL70" s="1188"/>
      <c r="BM70" s="1188"/>
      <c r="BN70" s="1188"/>
      <c r="BO70" s="1188"/>
      <c r="BP70" s="1188"/>
      <c r="BQ70" s="1188"/>
      <c r="BR70" s="1188"/>
      <c r="BS70" s="1188"/>
      <c r="BT70" s="1188"/>
      <c r="BU70" s="1188"/>
      <c r="BV70" s="1188"/>
      <c r="BW70" s="1188"/>
      <c r="BX70" s="1188"/>
      <c r="BY70" s="1188"/>
      <c r="BZ70" s="1188"/>
      <c r="CC70" s="73"/>
      <c r="CG70" s="1211"/>
      <c r="CH70" s="1077"/>
      <c r="CI70" s="1077"/>
      <c r="CJ70" s="1077"/>
      <c r="CK70" s="1077"/>
      <c r="CL70" s="1077"/>
      <c r="CM70" s="1077"/>
      <c r="CN70" s="1077"/>
      <c r="CO70" s="1077"/>
      <c r="CP70" s="1077"/>
      <c r="CQ70" s="1077"/>
      <c r="CR70" s="1077"/>
      <c r="CS70" s="1077"/>
      <c r="CT70" s="1077"/>
      <c r="CU70" s="1077"/>
      <c r="CV70" s="1077"/>
      <c r="CW70" s="1077"/>
      <c r="CX70" s="1077"/>
      <c r="CY70" s="1077"/>
      <c r="CZ70" s="1077"/>
      <c r="DA70" s="1077"/>
      <c r="DB70" s="1077"/>
      <c r="DC70" s="1077"/>
      <c r="DD70" s="1077"/>
      <c r="DE70" s="1077"/>
      <c r="DF70" s="1077"/>
      <c r="DG70" s="1077"/>
      <c r="DH70" s="1077"/>
      <c r="DI70" s="1077"/>
      <c r="DJ70" s="1077"/>
      <c r="DK70" s="1077"/>
      <c r="DL70" s="1077"/>
      <c r="DM70" s="1077"/>
      <c r="DN70" s="1077"/>
      <c r="DO70" s="1077"/>
      <c r="DP70" s="1077"/>
      <c r="DQ70" s="1077"/>
      <c r="DR70" s="1077"/>
      <c r="DS70" s="1077"/>
      <c r="DT70" s="1077"/>
      <c r="DU70" s="1077"/>
      <c r="DV70" s="1077"/>
      <c r="DW70" s="1077"/>
      <c r="DX70" s="1077"/>
      <c r="DY70" s="1077"/>
      <c r="DZ70" s="1077"/>
      <c r="EA70" s="1077"/>
      <c r="EB70" s="1077"/>
      <c r="EC70" s="1077"/>
      <c r="ED70" s="1077"/>
      <c r="EE70" s="1077"/>
      <c r="EF70" s="1077"/>
      <c r="EG70" s="1077"/>
      <c r="EH70" s="1077"/>
      <c r="EI70" s="1077"/>
      <c r="EJ70" s="1142"/>
    </row>
    <row r="71" spans="1:140" ht="3.75" customHeight="1" x14ac:dyDescent="0.25">
      <c r="A71" s="478"/>
      <c r="CC71" s="73"/>
      <c r="CG71" s="1211"/>
      <c r="CH71" s="1077"/>
      <c r="CI71" s="1077"/>
      <c r="CJ71" s="1077"/>
      <c r="CK71" s="1077"/>
      <c r="CL71" s="1077"/>
      <c r="CM71" s="1077"/>
      <c r="CN71" s="1077"/>
      <c r="CO71" s="1077"/>
      <c r="CP71" s="1077"/>
      <c r="CQ71" s="1077"/>
      <c r="CR71" s="1077"/>
      <c r="CS71" s="1077"/>
      <c r="CT71" s="1077"/>
      <c r="CU71" s="1077"/>
      <c r="CV71" s="1077"/>
      <c r="CW71" s="1077"/>
      <c r="CX71" s="1077"/>
      <c r="CY71" s="1077"/>
      <c r="CZ71" s="1077"/>
      <c r="DA71" s="1077"/>
      <c r="DB71" s="1077"/>
      <c r="DC71" s="1077"/>
      <c r="DD71" s="1077"/>
      <c r="DE71" s="1077"/>
      <c r="DF71" s="1077"/>
      <c r="DG71" s="1077"/>
      <c r="DH71" s="1077"/>
      <c r="DI71" s="1077"/>
      <c r="DJ71" s="1077"/>
      <c r="DK71" s="1077"/>
      <c r="DL71" s="1077"/>
      <c r="DM71" s="1077"/>
      <c r="DN71" s="1077"/>
      <c r="DO71" s="1077"/>
      <c r="DP71" s="1077"/>
      <c r="DQ71" s="1077"/>
      <c r="DR71" s="1077"/>
      <c r="DS71" s="1077"/>
      <c r="DT71" s="1077"/>
      <c r="DU71" s="1077"/>
      <c r="DV71" s="1077"/>
      <c r="DW71" s="1077"/>
      <c r="DX71" s="1077"/>
      <c r="DY71" s="1077"/>
      <c r="DZ71" s="1077"/>
      <c r="EA71" s="1077"/>
      <c r="EB71" s="1077"/>
      <c r="EC71" s="1077"/>
      <c r="ED71" s="1077"/>
      <c r="EE71" s="1077"/>
      <c r="EF71" s="1077"/>
      <c r="EG71" s="1077"/>
      <c r="EH71" s="1077"/>
      <c r="EI71" s="1077"/>
      <c r="EJ71" s="1142"/>
    </row>
    <row r="72" spans="1:140" ht="3.75" customHeight="1" x14ac:dyDescent="0.25">
      <c r="A72" s="478"/>
      <c r="CC72" s="73"/>
      <c r="CG72" s="1211"/>
      <c r="CH72" s="1077"/>
      <c r="CI72" s="1077"/>
      <c r="CJ72" s="1077"/>
      <c r="CK72" s="1077"/>
      <c r="CL72" s="1077"/>
      <c r="CM72" s="1077"/>
      <c r="CN72" s="1077"/>
      <c r="CO72" s="1077"/>
      <c r="CP72" s="1077"/>
      <c r="CQ72" s="1077"/>
      <c r="CR72" s="1077"/>
      <c r="CS72" s="1077"/>
      <c r="CT72" s="1077"/>
      <c r="CU72" s="1077"/>
      <c r="CV72" s="1077"/>
      <c r="CW72" s="1077"/>
      <c r="CX72" s="1077"/>
      <c r="CY72" s="1077"/>
      <c r="CZ72" s="1077"/>
      <c r="DA72" s="1077"/>
      <c r="DB72" s="1077"/>
      <c r="DC72" s="1077"/>
      <c r="DD72" s="1077"/>
      <c r="DE72" s="1077"/>
      <c r="DF72" s="1077"/>
      <c r="DG72" s="1077"/>
      <c r="DH72" s="1077"/>
      <c r="DI72" s="1077"/>
      <c r="DJ72" s="1077"/>
      <c r="DK72" s="1077"/>
      <c r="DL72" s="1077"/>
      <c r="DM72" s="1077"/>
      <c r="DN72" s="1077"/>
      <c r="DO72" s="1077"/>
      <c r="DP72" s="1077"/>
      <c r="DQ72" s="1077"/>
      <c r="DR72" s="1077"/>
      <c r="DS72" s="1077"/>
      <c r="DT72" s="1077"/>
      <c r="DU72" s="1077"/>
      <c r="DV72" s="1077"/>
      <c r="DW72" s="1077"/>
      <c r="DX72" s="1077"/>
      <c r="DY72" s="1077"/>
      <c r="DZ72" s="1077"/>
      <c r="EA72" s="1077"/>
      <c r="EB72" s="1077"/>
      <c r="EC72" s="1077"/>
      <c r="ED72" s="1077"/>
      <c r="EE72" s="1077"/>
      <c r="EF72" s="1077"/>
      <c r="EG72" s="1077"/>
      <c r="EH72" s="1077"/>
      <c r="EI72" s="1077"/>
      <c r="EJ72" s="1142"/>
    </row>
    <row r="73" spans="1:140" ht="3.75" customHeight="1" x14ac:dyDescent="0.25">
      <c r="A73" s="393"/>
      <c r="B73" s="364"/>
      <c r="C73" s="364"/>
      <c r="D73" s="364"/>
      <c r="E73" s="364"/>
      <c r="F73" s="364"/>
      <c r="G73" s="364"/>
      <c r="H73" s="364"/>
      <c r="I73" s="364"/>
      <c r="J73" s="364"/>
      <c r="K73" s="364"/>
      <c r="L73" s="364"/>
      <c r="M73" s="364"/>
      <c r="N73" s="364"/>
      <c r="O73" s="364"/>
      <c r="P73" s="364"/>
      <c r="Q73" s="364"/>
      <c r="R73" s="364"/>
      <c r="S73" s="364"/>
      <c r="T73" s="364"/>
      <c r="U73" s="364"/>
      <c r="V73" s="364"/>
      <c r="W73" s="364"/>
      <c r="X73" s="364"/>
      <c r="Y73" s="364"/>
      <c r="Z73" s="364"/>
      <c r="AA73" s="364"/>
      <c r="AB73" s="364"/>
      <c r="AC73" s="364"/>
      <c r="AD73" s="364"/>
      <c r="AE73" s="364"/>
      <c r="AF73" s="364"/>
      <c r="AG73" s="364"/>
      <c r="AH73" s="364"/>
      <c r="AI73" s="364"/>
      <c r="AJ73" s="364"/>
      <c r="AK73" s="364"/>
      <c r="AL73" s="364"/>
      <c r="AM73" s="364"/>
      <c r="AN73" s="364"/>
      <c r="AO73" s="364"/>
      <c r="AP73" s="364"/>
      <c r="AQ73" s="364"/>
      <c r="AR73" s="364"/>
      <c r="AS73" s="364"/>
      <c r="AT73" s="364"/>
      <c r="AU73" s="364"/>
      <c r="AV73" s="364"/>
      <c r="AW73" s="364"/>
      <c r="AX73" s="364"/>
      <c r="AY73" s="364"/>
      <c r="AZ73" s="364"/>
      <c r="BA73" s="364"/>
      <c r="BB73" s="364"/>
      <c r="BC73" s="364"/>
      <c r="BD73" s="364"/>
      <c r="BE73" s="364"/>
      <c r="BF73" s="364"/>
      <c r="BG73" s="364"/>
      <c r="BH73" s="364"/>
      <c r="BI73" s="364"/>
      <c r="BJ73" s="364"/>
      <c r="BK73" s="364"/>
      <c r="BL73" s="364"/>
      <c r="BM73" s="364"/>
      <c r="BN73" s="364"/>
      <c r="BO73" s="364"/>
      <c r="BP73" s="364"/>
      <c r="BQ73" s="364"/>
      <c r="BR73" s="364"/>
      <c r="BS73" s="364"/>
      <c r="BT73" s="364"/>
      <c r="BU73" s="364"/>
      <c r="BV73" s="364"/>
      <c r="BW73" s="364"/>
      <c r="BX73" s="364"/>
      <c r="BY73" s="364"/>
      <c r="BZ73" s="364"/>
      <c r="CA73" s="364"/>
      <c r="CB73" s="364"/>
      <c r="CC73" s="440"/>
      <c r="CG73" s="1143"/>
      <c r="CH73" s="1144"/>
      <c r="CI73" s="1144"/>
      <c r="CJ73" s="1144"/>
      <c r="CK73" s="1144"/>
      <c r="CL73" s="1144"/>
      <c r="CM73" s="1144"/>
      <c r="CN73" s="1144"/>
      <c r="CO73" s="1144"/>
      <c r="CP73" s="1144"/>
      <c r="CQ73" s="1144"/>
      <c r="CR73" s="1144"/>
      <c r="CS73" s="1144"/>
      <c r="CT73" s="1144"/>
      <c r="CU73" s="1144"/>
      <c r="CV73" s="1144"/>
      <c r="CW73" s="1144"/>
      <c r="CX73" s="1144"/>
      <c r="CY73" s="1144"/>
      <c r="CZ73" s="1144"/>
      <c r="DA73" s="1144"/>
      <c r="DB73" s="1144"/>
      <c r="DC73" s="1144"/>
      <c r="DD73" s="1144"/>
      <c r="DE73" s="1144"/>
      <c r="DF73" s="1144"/>
      <c r="DG73" s="1144"/>
      <c r="DH73" s="1144"/>
      <c r="DI73" s="1144"/>
      <c r="DJ73" s="1144"/>
      <c r="DK73" s="1144"/>
      <c r="DL73" s="1144"/>
      <c r="DM73" s="1144"/>
      <c r="DN73" s="1144"/>
      <c r="DO73" s="1144"/>
      <c r="DP73" s="1144"/>
      <c r="DQ73" s="1144"/>
      <c r="DR73" s="1144"/>
      <c r="DS73" s="1144"/>
      <c r="DT73" s="1144"/>
      <c r="DU73" s="1144"/>
      <c r="DV73" s="1144"/>
      <c r="DW73" s="1144"/>
      <c r="DX73" s="1144"/>
      <c r="DY73" s="1144"/>
      <c r="DZ73" s="1144"/>
      <c r="EA73" s="1144"/>
      <c r="EB73" s="1144"/>
      <c r="EC73" s="1144"/>
      <c r="ED73" s="1144"/>
      <c r="EE73" s="1144"/>
      <c r="EF73" s="1144"/>
      <c r="EG73" s="1144"/>
      <c r="EH73" s="1144"/>
      <c r="EI73" s="1144"/>
      <c r="EJ73" s="1145"/>
    </row>
    <row r="77" spans="1:140" ht="3.75" customHeight="1" x14ac:dyDescent="0.25">
      <c r="A77" s="1098" t="s">
        <v>908</v>
      </c>
      <c r="B77" s="1098"/>
      <c r="C77" s="1098"/>
      <c r="D77" s="1098"/>
      <c r="E77" s="1098"/>
      <c r="F77" s="1098"/>
      <c r="G77" s="1098"/>
      <c r="H77" s="1098"/>
      <c r="I77" s="1098"/>
      <c r="J77" s="1098"/>
      <c r="K77" s="1098"/>
      <c r="L77" s="1098"/>
      <c r="M77" s="1098"/>
      <c r="N77" s="1098"/>
      <c r="O77" s="1098"/>
      <c r="P77" s="1098"/>
      <c r="Q77" s="1098"/>
      <c r="R77" s="1098"/>
      <c r="S77" s="1098"/>
      <c r="T77" s="1098"/>
      <c r="U77" s="1098"/>
      <c r="V77" s="1098"/>
      <c r="W77" s="1098"/>
      <c r="X77" s="1098"/>
      <c r="Y77" s="1098"/>
      <c r="Z77" s="1098"/>
      <c r="AA77" s="1098"/>
      <c r="AB77" s="1098"/>
      <c r="AC77" s="1098"/>
      <c r="AD77" s="1098"/>
      <c r="AE77" s="1098"/>
      <c r="AF77" s="1098"/>
      <c r="AG77" s="1098"/>
      <c r="AH77" s="1098"/>
      <c r="AI77" s="1098"/>
      <c r="AJ77" s="1098"/>
      <c r="AK77" s="1098"/>
      <c r="AL77" s="1098"/>
      <c r="AM77" s="1098"/>
      <c r="AN77" s="1098"/>
      <c r="AO77" s="1098"/>
      <c r="AP77" s="1098"/>
      <c r="AQ77" s="1098"/>
      <c r="AR77" s="1098"/>
      <c r="AS77" s="1098"/>
      <c r="AT77" s="1098"/>
      <c r="AU77" s="1098"/>
      <c r="AV77" s="1098"/>
      <c r="AW77" s="1098"/>
      <c r="AX77" s="1098"/>
      <c r="AY77" s="1098"/>
      <c r="AZ77" s="1098"/>
      <c r="BA77" s="1098"/>
      <c r="BB77" s="1098"/>
      <c r="BC77" s="1098"/>
      <c r="BD77" s="1098"/>
      <c r="BE77" s="1098"/>
      <c r="BF77" s="1098"/>
      <c r="BG77" s="1098"/>
      <c r="BH77" s="1098"/>
      <c r="BI77" s="1098"/>
      <c r="BJ77" s="1098"/>
      <c r="BK77" s="1098"/>
      <c r="BM77" s="1077" t="s">
        <v>909</v>
      </c>
      <c r="BN77" s="1077"/>
      <c r="BO77" s="1077"/>
      <c r="BP77" s="1077"/>
      <c r="BQ77" s="1077"/>
      <c r="BR77" s="1208"/>
      <c r="BS77" s="1209"/>
      <c r="BT77" s="1210"/>
      <c r="BU77" s="1098" t="s">
        <v>910</v>
      </c>
      <c r="BV77" s="1098"/>
      <c r="BW77" s="1098"/>
      <c r="BX77" s="1098"/>
      <c r="BY77" s="1098"/>
      <c r="BZ77" s="1098"/>
      <c r="CA77" s="1098"/>
      <c r="CB77" s="1098"/>
      <c r="CC77" s="1098"/>
      <c r="CD77" s="1098"/>
      <c r="CE77" s="1098"/>
      <c r="CF77" s="1098"/>
      <c r="CG77" s="1098"/>
      <c r="CH77" s="1098"/>
      <c r="CI77" s="1098"/>
      <c r="CJ77" s="1098"/>
      <c r="CK77" s="1098"/>
      <c r="CL77" s="1098"/>
      <c r="CM77" s="1098"/>
      <c r="CN77" s="1098"/>
      <c r="CO77" s="1098"/>
      <c r="CP77" s="1098"/>
      <c r="CQ77" s="1098"/>
      <c r="CR77" s="1098"/>
      <c r="CS77" s="1098"/>
      <c r="CT77" s="1098"/>
      <c r="CU77" s="1098"/>
      <c r="CV77" s="1098"/>
    </row>
    <row r="78" spans="1:140" ht="3.75" customHeight="1" x14ac:dyDescent="0.25">
      <c r="A78" s="1098"/>
      <c r="B78" s="1098"/>
      <c r="C78" s="1098"/>
      <c r="D78" s="1098"/>
      <c r="E78" s="1098"/>
      <c r="F78" s="1098"/>
      <c r="G78" s="1098"/>
      <c r="H78" s="1098"/>
      <c r="I78" s="1098"/>
      <c r="J78" s="1098"/>
      <c r="K78" s="1098"/>
      <c r="L78" s="1098"/>
      <c r="M78" s="1098"/>
      <c r="N78" s="1098"/>
      <c r="O78" s="1098"/>
      <c r="P78" s="1098"/>
      <c r="Q78" s="1098"/>
      <c r="R78" s="1098"/>
      <c r="S78" s="1098"/>
      <c r="T78" s="1098"/>
      <c r="U78" s="1098"/>
      <c r="V78" s="1098"/>
      <c r="W78" s="1098"/>
      <c r="X78" s="1098"/>
      <c r="Y78" s="1098"/>
      <c r="Z78" s="1098"/>
      <c r="AA78" s="1098"/>
      <c r="AB78" s="1098"/>
      <c r="AC78" s="1098"/>
      <c r="AD78" s="1098"/>
      <c r="AE78" s="1098"/>
      <c r="AF78" s="1098"/>
      <c r="AG78" s="1098"/>
      <c r="AH78" s="1098"/>
      <c r="AI78" s="1098"/>
      <c r="AJ78" s="1098"/>
      <c r="AK78" s="1098"/>
      <c r="AL78" s="1098"/>
      <c r="AM78" s="1098"/>
      <c r="AN78" s="1098"/>
      <c r="AO78" s="1098"/>
      <c r="AP78" s="1098"/>
      <c r="AQ78" s="1098"/>
      <c r="AR78" s="1098"/>
      <c r="AS78" s="1098"/>
      <c r="AT78" s="1098"/>
      <c r="AU78" s="1098"/>
      <c r="AV78" s="1098"/>
      <c r="AW78" s="1098"/>
      <c r="AX78" s="1098"/>
      <c r="AY78" s="1098"/>
      <c r="AZ78" s="1098"/>
      <c r="BA78" s="1098"/>
      <c r="BB78" s="1098"/>
      <c r="BC78" s="1098"/>
      <c r="BD78" s="1098"/>
      <c r="BE78" s="1098"/>
      <c r="BF78" s="1098"/>
      <c r="BG78" s="1098"/>
      <c r="BH78" s="1098"/>
      <c r="BI78" s="1098"/>
      <c r="BJ78" s="1098"/>
      <c r="BK78" s="1098"/>
      <c r="BM78" s="1077"/>
      <c r="BN78" s="1077"/>
      <c r="BO78" s="1077"/>
      <c r="BP78" s="1077"/>
      <c r="BQ78" s="1077"/>
      <c r="BR78" s="1211"/>
      <c r="BS78" s="1077"/>
      <c r="BT78" s="1142"/>
      <c r="BU78" s="1098"/>
      <c r="BV78" s="1098"/>
      <c r="BW78" s="1098"/>
      <c r="BX78" s="1098"/>
      <c r="BY78" s="1098"/>
      <c r="BZ78" s="1098"/>
      <c r="CA78" s="1098"/>
      <c r="CB78" s="1098"/>
      <c r="CC78" s="1098"/>
      <c r="CD78" s="1098"/>
      <c r="CE78" s="1098"/>
      <c r="CF78" s="1098"/>
      <c r="CG78" s="1098"/>
      <c r="CH78" s="1098"/>
      <c r="CI78" s="1098"/>
      <c r="CJ78" s="1098"/>
      <c r="CK78" s="1098"/>
      <c r="CL78" s="1098"/>
      <c r="CM78" s="1098"/>
      <c r="CN78" s="1098"/>
      <c r="CO78" s="1098"/>
      <c r="CP78" s="1098"/>
      <c r="CQ78" s="1098"/>
      <c r="CR78" s="1098"/>
      <c r="CS78" s="1098"/>
      <c r="CT78" s="1098"/>
      <c r="CU78" s="1098"/>
      <c r="CV78" s="1098"/>
    </row>
    <row r="79" spans="1:140" ht="3.75" customHeight="1" x14ac:dyDescent="0.25">
      <c r="A79" s="1098"/>
      <c r="B79" s="1098"/>
      <c r="C79" s="1098"/>
      <c r="D79" s="1098"/>
      <c r="E79" s="1098"/>
      <c r="F79" s="1098"/>
      <c r="G79" s="1098"/>
      <c r="H79" s="1098"/>
      <c r="I79" s="1098"/>
      <c r="J79" s="1098"/>
      <c r="K79" s="1098"/>
      <c r="L79" s="1098"/>
      <c r="M79" s="1098"/>
      <c r="N79" s="1098"/>
      <c r="O79" s="1098"/>
      <c r="P79" s="1098"/>
      <c r="Q79" s="1098"/>
      <c r="R79" s="1098"/>
      <c r="S79" s="1098"/>
      <c r="T79" s="1098"/>
      <c r="U79" s="1098"/>
      <c r="V79" s="1098"/>
      <c r="W79" s="1098"/>
      <c r="X79" s="1098"/>
      <c r="Y79" s="1098"/>
      <c r="Z79" s="1098"/>
      <c r="AA79" s="1098"/>
      <c r="AB79" s="1098"/>
      <c r="AC79" s="1098"/>
      <c r="AD79" s="1098"/>
      <c r="AE79" s="1098"/>
      <c r="AF79" s="1098"/>
      <c r="AG79" s="1098"/>
      <c r="AH79" s="1098"/>
      <c r="AI79" s="1098"/>
      <c r="AJ79" s="1098"/>
      <c r="AK79" s="1098"/>
      <c r="AL79" s="1098"/>
      <c r="AM79" s="1098"/>
      <c r="AN79" s="1098"/>
      <c r="AO79" s="1098"/>
      <c r="AP79" s="1098"/>
      <c r="AQ79" s="1098"/>
      <c r="AR79" s="1098"/>
      <c r="AS79" s="1098"/>
      <c r="AT79" s="1098"/>
      <c r="AU79" s="1098"/>
      <c r="AV79" s="1098"/>
      <c r="AW79" s="1098"/>
      <c r="AX79" s="1098"/>
      <c r="AY79" s="1098"/>
      <c r="AZ79" s="1098"/>
      <c r="BA79" s="1098"/>
      <c r="BB79" s="1098"/>
      <c r="BC79" s="1098"/>
      <c r="BD79" s="1098"/>
      <c r="BE79" s="1098"/>
      <c r="BF79" s="1098"/>
      <c r="BG79" s="1098"/>
      <c r="BH79" s="1098"/>
      <c r="BI79" s="1098"/>
      <c r="BJ79" s="1098"/>
      <c r="BK79" s="1098"/>
      <c r="BM79" s="1077"/>
      <c r="BN79" s="1077"/>
      <c r="BO79" s="1077"/>
      <c r="BP79" s="1077"/>
      <c r="BQ79" s="1077"/>
      <c r="BR79" s="1143"/>
      <c r="BS79" s="1144"/>
      <c r="BT79" s="1145"/>
      <c r="BU79" s="1098"/>
      <c r="BV79" s="1098"/>
      <c r="BW79" s="1098"/>
      <c r="BX79" s="1098"/>
      <c r="BY79" s="1098"/>
      <c r="BZ79" s="1098"/>
      <c r="CA79" s="1098"/>
      <c r="CB79" s="1098"/>
      <c r="CC79" s="1098"/>
      <c r="CD79" s="1098"/>
      <c r="CE79" s="1098"/>
      <c r="CF79" s="1098"/>
      <c r="CG79" s="1098"/>
      <c r="CH79" s="1098"/>
      <c r="CI79" s="1098"/>
      <c r="CJ79" s="1098"/>
      <c r="CK79" s="1098"/>
      <c r="CL79" s="1098"/>
      <c r="CM79" s="1098"/>
      <c r="CN79" s="1098"/>
      <c r="CO79" s="1098"/>
      <c r="CP79" s="1098"/>
      <c r="CQ79" s="1098"/>
      <c r="CR79" s="1098"/>
      <c r="CS79" s="1098"/>
      <c r="CT79" s="1098"/>
      <c r="CU79" s="1098"/>
      <c r="CV79" s="1098"/>
    </row>
  </sheetData>
  <mergeCells count="56">
    <mergeCell ref="CG39:EJ73"/>
    <mergeCell ref="A77:BK79"/>
    <mergeCell ref="BM77:BQ79"/>
    <mergeCell ref="BR77:BT79"/>
    <mergeCell ref="BU77:CV79"/>
    <mergeCell ref="R63:AL65"/>
    <mergeCell ref="AN63:BZ65"/>
    <mergeCell ref="C68:E70"/>
    <mergeCell ref="G68:AD70"/>
    <mergeCell ref="AF68:AM70"/>
    <mergeCell ref="AO68:AQ70"/>
    <mergeCell ref="AS68:BZ70"/>
    <mergeCell ref="G58:M60"/>
    <mergeCell ref="S58:CB60"/>
    <mergeCell ref="O58:Q60"/>
    <mergeCell ref="C58:E60"/>
    <mergeCell ref="AY42:BX44"/>
    <mergeCell ref="AY46:BA48"/>
    <mergeCell ref="BC46:BL48"/>
    <mergeCell ref="BC50:BZ52"/>
    <mergeCell ref="AY50:BA52"/>
    <mergeCell ref="C46:S48"/>
    <mergeCell ref="C51:S53"/>
    <mergeCell ref="U46:AS48"/>
    <mergeCell ref="U51:AS53"/>
    <mergeCell ref="DV1:EJ3"/>
    <mergeCell ref="DQ28:DW30"/>
    <mergeCell ref="DX28:EA30"/>
    <mergeCell ref="EC28:EE30"/>
    <mergeCell ref="C41:Q43"/>
    <mergeCell ref="R41:AS43"/>
    <mergeCell ref="A15:AH17"/>
    <mergeCell ref="A23:U25"/>
    <mergeCell ref="DR1:DT3"/>
    <mergeCell ref="DR5:DT7"/>
    <mergeCell ref="A9:W11"/>
    <mergeCell ref="A12:Z14"/>
    <mergeCell ref="AM1:CZ19"/>
    <mergeCell ref="DE15:EJ17"/>
    <mergeCell ref="DJ12:EJ14"/>
    <mergeCell ref="DM9:EJ11"/>
    <mergeCell ref="DU5:EJ7"/>
    <mergeCell ref="A20:EJ20"/>
    <mergeCell ref="W23:CA25"/>
    <mergeCell ref="CD23:CI25"/>
    <mergeCell ref="CK23:CV25"/>
    <mergeCell ref="A35:EJ35"/>
    <mergeCell ref="A28:I30"/>
    <mergeCell ref="L28:AI30"/>
    <mergeCell ref="AL28:AS30"/>
    <mergeCell ref="BO28:BU30"/>
    <mergeCell ref="DP23:EJ25"/>
    <mergeCell ref="CZ23:DN25"/>
    <mergeCell ref="EG28:EJ30"/>
    <mergeCell ref="AT28:BL30"/>
    <mergeCell ref="BV28:DP30"/>
  </mergeCells>
  <printOptions horizontalCentered="1"/>
  <pageMargins left="0.25" right="0.25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Make Selection" xr:uid="{D200397A-F13D-400E-8BAD-FF300CE837A4}">
          <x14:formula1>
            <xm:f>'Data Conversions'!$J$8:$J$10</xm:f>
          </x14:formula1>
          <xm:sqref>R41:AS43</xm:sqref>
        </x14:dataValidation>
        <x14:dataValidation type="list" allowBlank="1" showInputMessage="1" showErrorMessage="1" prompt="Make Selection" xr:uid="{DED722D7-E886-41DC-B798-6AE477BC259C}">
          <x14:formula1>
            <xm:f>'Data Conversions'!$J$12:$J$15</xm:f>
          </x14:formula1>
          <xm:sqref>U46:AS48</xm:sqref>
        </x14:dataValidation>
        <x14:dataValidation type="list" allowBlank="1" showInputMessage="1" showErrorMessage="1" prompt="Make Selection" xr:uid="{E4779C38-25B9-4791-8C56-79339F274C1D}">
          <x14:formula1>
            <xm:f>'Data Conversions'!$J$17:$J$22</xm:f>
          </x14:formula1>
          <xm:sqref>U51:AS53</xm:sqref>
        </x14:dataValidation>
        <x14:dataValidation type="list" allowBlank="1" showInputMessage="1" showErrorMessage="1" prompt="Make Selection" xr:uid="{9BA7271A-8694-4C3F-94F7-92B78E37EE64}">
          <x14:formula1>
            <xm:f>'Data Conversions'!$J$24:$J$26</xm:f>
          </x14:formula1>
          <xm:sqref>AN63:BZ65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6C31-3C0A-4FD5-8152-844A8DFAD93B}">
  <sheetPr codeName="Sheet2"/>
  <dimension ref="A1:X97"/>
  <sheetViews>
    <sheetView showZeros="0" workbookViewId="0">
      <pane ySplit="2" topLeftCell="A21" activePane="bottomLeft" state="frozen"/>
      <selection pane="bottomLeft" activeCell="F31" sqref="F31"/>
    </sheetView>
  </sheetViews>
  <sheetFormatPr defaultColWidth="9.140625" defaultRowHeight="15" x14ac:dyDescent="0.25"/>
  <cols>
    <col min="1" max="1" width="6.42578125" style="428" customWidth="1"/>
    <col min="2" max="2" width="9.28515625" style="429" bestFit="1" customWidth="1"/>
    <col min="3" max="3" width="6.5703125" style="432" bestFit="1" customWidth="1"/>
    <col min="4" max="4" width="6.42578125" style="358" customWidth="1"/>
    <col min="5" max="5" width="9.28515625" style="486" customWidth="1"/>
    <col min="6" max="6" width="9.140625" style="487"/>
    <col min="7" max="9" width="9.28515625" customWidth="1"/>
    <col min="10" max="11" width="9.140625" style="410"/>
    <col min="12" max="12" width="5.42578125" style="411" bestFit="1" customWidth="1"/>
    <col min="13" max="14" width="9.140625" customWidth="1"/>
  </cols>
  <sheetData>
    <row r="1" spans="1:14" x14ac:dyDescent="0.25">
      <c r="A1" s="1213" t="s">
        <v>780</v>
      </c>
      <c r="B1" s="1214"/>
      <c r="D1" s="1215" t="s">
        <v>783</v>
      </c>
      <c r="E1" s="1216"/>
      <c r="G1" s="466"/>
      <c r="J1"/>
      <c r="L1" s="410"/>
      <c r="M1" s="411"/>
    </row>
    <row r="2" spans="1:14" x14ac:dyDescent="0.25">
      <c r="A2" s="423" t="s">
        <v>778</v>
      </c>
      <c r="B2" s="424" t="s">
        <v>781</v>
      </c>
      <c r="C2" s="433" t="s">
        <v>788</v>
      </c>
      <c r="D2" s="421" t="s">
        <v>778</v>
      </c>
      <c r="E2" s="479" t="s">
        <v>781</v>
      </c>
      <c r="F2" s="488"/>
      <c r="G2" s="467"/>
      <c r="H2" s="364"/>
      <c r="I2" s="364"/>
      <c r="J2" s="364"/>
      <c r="K2" s="468"/>
      <c r="L2" s="468"/>
      <c r="M2" s="469"/>
      <c r="N2" s="364"/>
    </row>
    <row r="3" spans="1:14" x14ac:dyDescent="0.25">
      <c r="A3" s="470">
        <v>3028</v>
      </c>
      <c r="B3" s="471">
        <v>119.1875</v>
      </c>
      <c r="C3" s="472">
        <v>95</v>
      </c>
      <c r="D3" s="473">
        <f t="shared" ref="D3:D66" si="0">D4+32</f>
        <v>3018</v>
      </c>
      <c r="E3" s="480">
        <f t="shared" ref="E3:E66" si="1">D3/25.4</f>
        <v>118.81889763779529</v>
      </c>
      <c r="G3" s="466"/>
      <c r="J3"/>
      <c r="L3" s="410"/>
      <c r="M3" s="411"/>
      <c r="N3" s="474"/>
    </row>
    <row r="4" spans="1:14" x14ac:dyDescent="0.25">
      <c r="A4" s="427">
        <v>2996</v>
      </c>
      <c r="B4" s="423">
        <v>117.9375</v>
      </c>
      <c r="C4" s="435">
        <v>94</v>
      </c>
      <c r="D4" s="421">
        <f t="shared" si="0"/>
        <v>2986</v>
      </c>
      <c r="E4" s="479">
        <f t="shared" si="1"/>
        <v>117.55905511811024</v>
      </c>
      <c r="G4" s="466"/>
      <c r="J4"/>
      <c r="L4" s="410"/>
      <c r="M4" s="411"/>
      <c r="N4" s="474"/>
    </row>
    <row r="5" spans="1:14" x14ac:dyDescent="0.25">
      <c r="A5" s="427">
        <v>2964</v>
      </c>
      <c r="B5" s="423">
        <v>116.6875</v>
      </c>
      <c r="C5" s="435">
        <v>93</v>
      </c>
      <c r="D5" s="421">
        <f t="shared" si="0"/>
        <v>2954</v>
      </c>
      <c r="E5" s="479">
        <f t="shared" si="1"/>
        <v>116.2992125984252</v>
      </c>
      <c r="G5" s="466"/>
      <c r="J5"/>
      <c r="L5" s="410"/>
      <c r="M5" s="411"/>
      <c r="N5" s="474"/>
    </row>
    <row r="6" spans="1:14" x14ac:dyDescent="0.25">
      <c r="A6" s="427">
        <v>2932</v>
      </c>
      <c r="B6" s="423">
        <v>115.4375</v>
      </c>
      <c r="C6" s="435">
        <v>92</v>
      </c>
      <c r="D6" s="421">
        <f t="shared" si="0"/>
        <v>2922</v>
      </c>
      <c r="E6" s="479">
        <f t="shared" si="1"/>
        <v>115.03937007874016</v>
      </c>
      <c r="G6" s="466"/>
      <c r="J6"/>
      <c r="L6" s="410"/>
      <c r="M6" s="411"/>
      <c r="N6" s="474"/>
    </row>
    <row r="7" spans="1:14" x14ac:dyDescent="0.25">
      <c r="A7" s="427">
        <v>2900</v>
      </c>
      <c r="B7" s="423">
        <v>114.1875</v>
      </c>
      <c r="C7" s="435">
        <v>91</v>
      </c>
      <c r="D7" s="421">
        <f t="shared" si="0"/>
        <v>2890</v>
      </c>
      <c r="E7" s="481">
        <f t="shared" si="1"/>
        <v>113.77952755905513</v>
      </c>
      <c r="G7" s="466"/>
      <c r="J7"/>
      <c r="L7" s="410"/>
      <c r="M7" s="411"/>
      <c r="N7" s="474"/>
    </row>
    <row r="8" spans="1:14" x14ac:dyDescent="0.25">
      <c r="A8" s="427">
        <v>2868</v>
      </c>
      <c r="B8" s="423">
        <v>112.9375</v>
      </c>
      <c r="C8" s="435">
        <v>90</v>
      </c>
      <c r="D8" s="421">
        <f t="shared" si="0"/>
        <v>2858</v>
      </c>
      <c r="E8" s="482">
        <f t="shared" si="1"/>
        <v>112.51968503937009</v>
      </c>
      <c r="G8" s="466"/>
      <c r="J8"/>
      <c r="L8" s="410"/>
      <c r="M8" s="411"/>
      <c r="N8" s="474"/>
    </row>
    <row r="9" spans="1:14" x14ac:dyDescent="0.25">
      <c r="A9" s="427">
        <v>2836</v>
      </c>
      <c r="B9" s="423">
        <v>111.625</v>
      </c>
      <c r="C9" s="435">
        <v>89</v>
      </c>
      <c r="D9" s="421">
        <f t="shared" si="0"/>
        <v>2826</v>
      </c>
      <c r="E9" s="481">
        <f t="shared" si="1"/>
        <v>111.25984251968505</v>
      </c>
      <c r="G9" s="466"/>
      <c r="J9"/>
      <c r="L9" s="410"/>
      <c r="M9" s="411"/>
      <c r="N9" s="474"/>
    </row>
    <row r="10" spans="1:14" x14ac:dyDescent="0.25">
      <c r="A10" s="427">
        <v>2804</v>
      </c>
      <c r="B10" s="423">
        <v>110.375</v>
      </c>
      <c r="C10" s="435">
        <v>88</v>
      </c>
      <c r="D10" s="421">
        <f t="shared" si="0"/>
        <v>2794</v>
      </c>
      <c r="E10" s="479">
        <f t="shared" si="1"/>
        <v>110</v>
      </c>
      <c r="G10" s="466"/>
      <c r="J10"/>
      <c r="L10" s="410"/>
      <c r="M10" s="411"/>
      <c r="N10" s="474"/>
    </row>
    <row r="11" spans="1:14" x14ac:dyDescent="0.25">
      <c r="A11" s="427">
        <v>2772</v>
      </c>
      <c r="B11" s="423">
        <v>109.125</v>
      </c>
      <c r="C11" s="435">
        <v>87</v>
      </c>
      <c r="D11" s="421">
        <f t="shared" si="0"/>
        <v>2762</v>
      </c>
      <c r="E11" s="481">
        <f t="shared" si="1"/>
        <v>108.74015748031496</v>
      </c>
      <c r="G11" s="466"/>
      <c r="J11"/>
      <c r="L11" s="410"/>
      <c r="M11" s="411"/>
      <c r="N11" s="474"/>
    </row>
    <row r="12" spans="1:14" x14ac:dyDescent="0.25">
      <c r="A12" s="427">
        <v>2740</v>
      </c>
      <c r="B12" s="423">
        <v>107.875</v>
      </c>
      <c r="C12" s="435">
        <v>86</v>
      </c>
      <c r="D12" s="421">
        <f t="shared" si="0"/>
        <v>2730</v>
      </c>
      <c r="E12" s="482">
        <f t="shared" si="1"/>
        <v>107.48031496062993</v>
      </c>
      <c r="G12" s="466"/>
      <c r="J12"/>
      <c r="L12" s="410"/>
      <c r="M12" s="411"/>
      <c r="N12" s="474"/>
    </row>
    <row r="13" spans="1:14" x14ac:dyDescent="0.25">
      <c r="A13" s="427">
        <v>2708</v>
      </c>
      <c r="B13" s="423">
        <v>106.625</v>
      </c>
      <c r="C13" s="435">
        <v>85</v>
      </c>
      <c r="D13" s="421">
        <f t="shared" si="0"/>
        <v>2698</v>
      </c>
      <c r="E13" s="481">
        <f t="shared" si="1"/>
        <v>106.22047244094489</v>
      </c>
      <c r="G13" s="466"/>
      <c r="J13"/>
      <c r="L13" s="410"/>
      <c r="M13" s="411"/>
      <c r="N13" s="474"/>
    </row>
    <row r="14" spans="1:14" x14ac:dyDescent="0.25">
      <c r="A14" s="427">
        <v>2676</v>
      </c>
      <c r="B14" s="423">
        <v>105.375</v>
      </c>
      <c r="C14" s="435">
        <v>84</v>
      </c>
      <c r="D14" s="421">
        <f t="shared" si="0"/>
        <v>2666</v>
      </c>
      <c r="E14" s="479">
        <f t="shared" si="1"/>
        <v>104.96062992125985</v>
      </c>
      <c r="G14" s="466"/>
      <c r="J14"/>
      <c r="L14" s="410"/>
      <c r="M14" s="411"/>
      <c r="N14" s="474"/>
    </row>
    <row r="15" spans="1:14" x14ac:dyDescent="0.25">
      <c r="A15" s="427">
        <v>2644</v>
      </c>
      <c r="B15" s="423">
        <v>104.125</v>
      </c>
      <c r="C15" s="435">
        <v>83</v>
      </c>
      <c r="D15" s="421">
        <f t="shared" si="0"/>
        <v>2634</v>
      </c>
      <c r="E15" s="479">
        <f t="shared" si="1"/>
        <v>103.70078740157481</v>
      </c>
      <c r="G15" s="466"/>
      <c r="J15"/>
      <c r="L15" s="410"/>
      <c r="M15" s="411"/>
      <c r="N15" s="474"/>
    </row>
    <row r="16" spans="1:14" x14ac:dyDescent="0.25">
      <c r="A16" s="427">
        <v>2612</v>
      </c>
      <c r="B16" s="423">
        <v>102.8125</v>
      </c>
      <c r="C16" s="435">
        <v>82</v>
      </c>
      <c r="D16" s="421">
        <f t="shared" si="0"/>
        <v>2602</v>
      </c>
      <c r="E16" s="479">
        <f t="shared" si="1"/>
        <v>102.44094488188976</v>
      </c>
      <c r="G16" s="466"/>
      <c r="J16"/>
      <c r="L16" s="410"/>
      <c r="M16" s="411"/>
      <c r="N16" s="474"/>
    </row>
    <row r="17" spans="1:24" x14ac:dyDescent="0.25">
      <c r="A17" s="427">
        <v>2580</v>
      </c>
      <c r="B17" s="423">
        <v>101.5625</v>
      </c>
      <c r="C17" s="435">
        <v>81</v>
      </c>
      <c r="D17" s="421">
        <f t="shared" si="0"/>
        <v>2570</v>
      </c>
      <c r="E17" s="479">
        <f t="shared" si="1"/>
        <v>101.18110236220473</v>
      </c>
      <c r="G17" s="466"/>
      <c r="J17"/>
      <c r="L17" s="410"/>
      <c r="M17" s="411"/>
      <c r="N17" s="474"/>
    </row>
    <row r="18" spans="1:24" x14ac:dyDescent="0.25">
      <c r="A18" s="427">
        <v>2548</v>
      </c>
      <c r="B18" s="423">
        <v>100.3125</v>
      </c>
      <c r="C18" s="435">
        <v>80</v>
      </c>
      <c r="D18" s="421">
        <f t="shared" si="0"/>
        <v>2538</v>
      </c>
      <c r="E18" s="479">
        <f t="shared" si="1"/>
        <v>99.921259842519689</v>
      </c>
      <c r="G18" s="466"/>
      <c r="J18"/>
      <c r="L18" s="410"/>
      <c r="M18" s="411"/>
      <c r="N18" s="474"/>
    </row>
    <row r="19" spans="1:24" x14ac:dyDescent="0.25">
      <c r="A19" s="427">
        <v>2516</v>
      </c>
      <c r="B19" s="423">
        <v>99.0625</v>
      </c>
      <c r="C19" s="435">
        <v>79</v>
      </c>
      <c r="D19" s="421">
        <f t="shared" si="0"/>
        <v>2506</v>
      </c>
      <c r="E19" s="479">
        <f t="shared" si="1"/>
        <v>98.661417322834652</v>
      </c>
      <c r="G19" s="466"/>
      <c r="J19"/>
      <c r="L19" s="410"/>
      <c r="M19" s="411"/>
      <c r="N19" s="474"/>
    </row>
    <row r="20" spans="1:24" x14ac:dyDescent="0.25">
      <c r="A20" s="427">
        <v>2484</v>
      </c>
      <c r="B20" s="423">
        <v>97.8125</v>
      </c>
      <c r="C20" s="435">
        <v>78</v>
      </c>
      <c r="D20" s="421">
        <f t="shared" si="0"/>
        <v>2474</v>
      </c>
      <c r="E20" s="483">
        <f t="shared" si="1"/>
        <v>97.401574803149614</v>
      </c>
      <c r="G20" s="466"/>
      <c r="M20" s="410"/>
      <c r="N20" s="474"/>
      <c r="X20" s="466"/>
    </row>
    <row r="21" spans="1:24" x14ac:dyDescent="0.25">
      <c r="A21" s="427">
        <v>2452</v>
      </c>
      <c r="B21" s="423">
        <v>96.5625</v>
      </c>
      <c r="C21" s="435">
        <v>77</v>
      </c>
      <c r="D21" s="421">
        <f t="shared" si="0"/>
        <v>2442</v>
      </c>
      <c r="E21" s="483">
        <f t="shared" si="1"/>
        <v>96.141732283464577</v>
      </c>
      <c r="G21" s="466"/>
      <c r="I21" s="407" t="s">
        <v>777</v>
      </c>
      <c r="J21" s="408" t="s">
        <v>777</v>
      </c>
      <c r="K21" s="409" t="s">
        <v>778</v>
      </c>
      <c r="L21" s="409" t="s">
        <v>778</v>
      </c>
      <c r="M21" s="410"/>
      <c r="N21" s="474"/>
      <c r="X21" s="466"/>
    </row>
    <row r="22" spans="1:24" x14ac:dyDescent="0.25">
      <c r="A22" s="425">
        <v>2420</v>
      </c>
      <c r="B22" s="426">
        <v>95.25</v>
      </c>
      <c r="C22" s="434">
        <v>76</v>
      </c>
      <c r="D22" s="475">
        <f t="shared" si="0"/>
        <v>2410</v>
      </c>
      <c r="E22" s="484">
        <f t="shared" si="1"/>
        <v>94.881889763779526</v>
      </c>
      <c r="G22" s="466"/>
      <c r="I22" s="412">
        <v>6.25E-2</v>
      </c>
      <c r="J22" s="413">
        <v>6.25E-2</v>
      </c>
      <c r="K22" s="413">
        <v>1.5874999999999999</v>
      </c>
      <c r="L22" s="414">
        <v>1.5874999999999999</v>
      </c>
      <c r="M22" s="410"/>
      <c r="X22" s="466"/>
    </row>
    <row r="23" spans="1:24" x14ac:dyDescent="0.25">
      <c r="A23" s="427">
        <v>2388</v>
      </c>
      <c r="B23" s="423">
        <v>94</v>
      </c>
      <c r="C23" s="435">
        <v>75</v>
      </c>
      <c r="D23" s="421">
        <f t="shared" si="0"/>
        <v>2378</v>
      </c>
      <c r="E23" s="483">
        <f t="shared" si="1"/>
        <v>93.622047244094489</v>
      </c>
      <c r="G23" s="466"/>
      <c r="I23" s="412">
        <v>0.125</v>
      </c>
      <c r="J23" s="413">
        <v>0.125</v>
      </c>
      <c r="K23" s="413">
        <v>3.1749999999999998</v>
      </c>
      <c r="L23" s="414">
        <v>3.1749999999999998</v>
      </c>
      <c r="M23" s="410"/>
      <c r="X23" s="466"/>
    </row>
    <row r="24" spans="1:24" x14ac:dyDescent="0.25">
      <c r="A24" s="427">
        <v>2356</v>
      </c>
      <c r="B24" s="423">
        <v>92.75</v>
      </c>
      <c r="C24" s="435">
        <v>74</v>
      </c>
      <c r="D24" s="421">
        <f t="shared" si="0"/>
        <v>2346</v>
      </c>
      <c r="E24" s="483">
        <f>D24/25.4</f>
        <v>92.362204724409452</v>
      </c>
      <c r="G24" s="466"/>
      <c r="I24" s="412">
        <v>0.1875</v>
      </c>
      <c r="J24" s="413">
        <v>0.1875</v>
      </c>
      <c r="K24" s="413">
        <v>4.7625000000000002</v>
      </c>
      <c r="L24" s="414">
        <v>4.7625000000000002</v>
      </c>
      <c r="M24" s="410"/>
      <c r="X24" s="466"/>
    </row>
    <row r="25" spans="1:24" x14ac:dyDescent="0.25">
      <c r="A25" s="427">
        <v>2324</v>
      </c>
      <c r="B25" s="423">
        <v>91.5</v>
      </c>
      <c r="C25" s="435">
        <v>73</v>
      </c>
      <c r="D25" s="421">
        <f t="shared" si="0"/>
        <v>2314</v>
      </c>
      <c r="E25" s="483">
        <f t="shared" si="1"/>
        <v>91.102362204724415</v>
      </c>
      <c r="G25" s="466"/>
      <c r="I25" s="412">
        <v>0.25</v>
      </c>
      <c r="J25" s="413">
        <v>0.25</v>
      </c>
      <c r="K25" s="413">
        <v>6.35</v>
      </c>
      <c r="L25" s="414">
        <v>6.35</v>
      </c>
      <c r="M25" s="410"/>
      <c r="X25" s="466"/>
    </row>
    <row r="26" spans="1:24" x14ac:dyDescent="0.25">
      <c r="A26" s="427">
        <v>2292</v>
      </c>
      <c r="B26" s="423">
        <v>90.25</v>
      </c>
      <c r="C26" s="435">
        <v>72</v>
      </c>
      <c r="D26" s="421">
        <f t="shared" si="0"/>
        <v>2282</v>
      </c>
      <c r="E26" s="479">
        <f t="shared" si="1"/>
        <v>89.842519685039377</v>
      </c>
      <c r="G26" s="466"/>
      <c r="I26" s="412">
        <v>0.3125</v>
      </c>
      <c r="J26" s="413">
        <v>0.3125</v>
      </c>
      <c r="K26" s="413">
        <v>7.9375</v>
      </c>
      <c r="L26" s="414">
        <v>7.9375</v>
      </c>
      <c r="M26" s="410"/>
      <c r="X26" s="466"/>
    </row>
    <row r="27" spans="1:24" x14ac:dyDescent="0.25">
      <c r="A27" s="427">
        <v>2260</v>
      </c>
      <c r="B27" s="423">
        <v>89</v>
      </c>
      <c r="C27" s="435">
        <v>71</v>
      </c>
      <c r="D27" s="421">
        <f t="shared" si="0"/>
        <v>2250</v>
      </c>
      <c r="E27" s="479">
        <f t="shared" si="1"/>
        <v>88.58267716535434</v>
      </c>
      <c r="G27" s="466"/>
      <c r="I27" s="412">
        <v>0.375</v>
      </c>
      <c r="J27" s="413">
        <v>0.375</v>
      </c>
      <c r="K27" s="413">
        <v>9.5250000000000004</v>
      </c>
      <c r="L27" s="414">
        <v>9.5250000000000004</v>
      </c>
      <c r="M27" s="410"/>
    </row>
    <row r="28" spans="1:24" x14ac:dyDescent="0.25">
      <c r="A28" s="427">
        <v>2228</v>
      </c>
      <c r="B28" s="423">
        <v>87.6875</v>
      </c>
      <c r="C28" s="435">
        <v>70</v>
      </c>
      <c r="D28" s="421">
        <f t="shared" si="0"/>
        <v>2218</v>
      </c>
      <c r="E28" s="479">
        <f t="shared" si="1"/>
        <v>87.322834645669303</v>
      </c>
      <c r="G28" s="466"/>
      <c r="I28" s="412">
        <v>0.4375</v>
      </c>
      <c r="J28" s="413">
        <v>0.4375</v>
      </c>
      <c r="K28" s="413">
        <v>11.112500000000001</v>
      </c>
      <c r="L28" s="414">
        <v>11.112500000000001</v>
      </c>
      <c r="M28" s="410"/>
    </row>
    <row r="29" spans="1:24" x14ac:dyDescent="0.25">
      <c r="A29" s="427">
        <v>2196</v>
      </c>
      <c r="B29" s="423">
        <v>86.4375</v>
      </c>
      <c r="C29" s="435">
        <v>69</v>
      </c>
      <c r="D29" s="421">
        <f t="shared" si="0"/>
        <v>2186</v>
      </c>
      <c r="E29" s="479">
        <f t="shared" si="1"/>
        <v>86.062992125984252</v>
      </c>
      <c r="G29" s="466"/>
      <c r="I29" s="412">
        <v>0.5</v>
      </c>
      <c r="J29" s="413">
        <v>0.5</v>
      </c>
      <c r="K29" s="413">
        <v>12.7</v>
      </c>
      <c r="L29" s="414">
        <v>12.7</v>
      </c>
      <c r="M29" s="410"/>
    </row>
    <row r="30" spans="1:24" x14ac:dyDescent="0.25">
      <c r="A30" s="427">
        <v>2164</v>
      </c>
      <c r="B30" s="423">
        <v>85.1875</v>
      </c>
      <c r="C30" s="435">
        <v>68</v>
      </c>
      <c r="D30" s="421">
        <f t="shared" si="0"/>
        <v>2154</v>
      </c>
      <c r="E30" s="479">
        <f t="shared" si="1"/>
        <v>84.803149606299215</v>
      </c>
      <c r="G30" s="466"/>
      <c r="I30" s="412">
        <v>0.5625</v>
      </c>
      <c r="J30" s="413">
        <v>0.5625</v>
      </c>
      <c r="K30" s="413">
        <v>14.2875</v>
      </c>
      <c r="L30" s="414">
        <v>14.2875</v>
      </c>
      <c r="M30" s="410"/>
    </row>
    <row r="31" spans="1:24" x14ac:dyDescent="0.25">
      <c r="A31" s="425">
        <v>2132</v>
      </c>
      <c r="B31" s="426">
        <v>83.9375</v>
      </c>
      <c r="C31" s="434">
        <v>67</v>
      </c>
      <c r="D31" s="422">
        <f t="shared" si="0"/>
        <v>2122</v>
      </c>
      <c r="E31" s="485">
        <f t="shared" si="1"/>
        <v>83.543307086614178</v>
      </c>
      <c r="G31" s="466"/>
      <c r="I31" s="412">
        <v>0.625</v>
      </c>
      <c r="J31" s="413">
        <v>0.625</v>
      </c>
      <c r="K31" s="413">
        <v>15.875</v>
      </c>
      <c r="L31" s="414">
        <v>15.875</v>
      </c>
      <c r="M31" s="410"/>
    </row>
    <row r="32" spans="1:24" x14ac:dyDescent="0.25">
      <c r="A32" s="427">
        <v>2100</v>
      </c>
      <c r="B32" s="423">
        <v>82.6875</v>
      </c>
      <c r="C32" s="435">
        <v>66</v>
      </c>
      <c r="D32" s="421">
        <f t="shared" si="0"/>
        <v>2090</v>
      </c>
      <c r="E32" s="479">
        <f t="shared" si="1"/>
        <v>82.28346456692914</v>
      </c>
      <c r="G32" s="466"/>
      <c r="I32" s="412">
        <v>0.6875</v>
      </c>
      <c r="J32" s="413">
        <v>0.6875</v>
      </c>
      <c r="K32" s="413">
        <v>17.462499999999999</v>
      </c>
      <c r="L32" s="414">
        <v>17.462499999999999</v>
      </c>
      <c r="M32" s="410"/>
    </row>
    <row r="33" spans="1:24" x14ac:dyDescent="0.25">
      <c r="A33" s="427">
        <v>2068</v>
      </c>
      <c r="B33" s="423">
        <v>81.4375</v>
      </c>
      <c r="C33" s="435">
        <v>65</v>
      </c>
      <c r="D33" s="421">
        <f t="shared" si="0"/>
        <v>2058</v>
      </c>
      <c r="E33" s="479">
        <f t="shared" si="1"/>
        <v>81.023622047244103</v>
      </c>
      <c r="G33" s="466"/>
      <c r="I33" s="412">
        <v>0.75</v>
      </c>
      <c r="J33" s="413">
        <v>0.75</v>
      </c>
      <c r="K33" s="413">
        <v>19.05</v>
      </c>
      <c r="L33" s="414">
        <v>19.05</v>
      </c>
      <c r="M33" s="410"/>
    </row>
    <row r="34" spans="1:24" x14ac:dyDescent="0.25">
      <c r="A34" s="427">
        <v>2036</v>
      </c>
      <c r="B34" s="423">
        <v>80.1875</v>
      </c>
      <c r="C34" s="435">
        <v>64</v>
      </c>
      <c r="D34" s="421">
        <f>D35+32</f>
        <v>2026</v>
      </c>
      <c r="E34" s="481">
        <f t="shared" si="1"/>
        <v>79.763779527559066</v>
      </c>
      <c r="G34" s="466"/>
      <c r="I34" s="412">
        <v>0.8125</v>
      </c>
      <c r="J34" s="413">
        <v>0.8125</v>
      </c>
      <c r="K34" s="413">
        <v>20.637499999999999</v>
      </c>
      <c r="L34" s="414">
        <v>20.637499999999999</v>
      </c>
      <c r="M34" s="410"/>
    </row>
    <row r="35" spans="1:24" x14ac:dyDescent="0.25">
      <c r="A35" s="427">
        <v>2004</v>
      </c>
      <c r="B35" s="423">
        <v>78.875</v>
      </c>
      <c r="C35" s="435">
        <v>63</v>
      </c>
      <c r="D35" s="421">
        <f t="shared" si="0"/>
        <v>1994</v>
      </c>
      <c r="E35" s="482">
        <f t="shared" si="1"/>
        <v>78.503937007874015</v>
      </c>
      <c r="G35" s="466"/>
      <c r="I35" s="412">
        <v>0.875</v>
      </c>
      <c r="J35" s="413">
        <v>0.875</v>
      </c>
      <c r="K35" s="413">
        <v>22.225000000000001</v>
      </c>
      <c r="L35" s="414">
        <v>22.225000000000001</v>
      </c>
      <c r="M35" s="410"/>
    </row>
    <row r="36" spans="1:24" x14ac:dyDescent="0.25">
      <c r="A36" s="427">
        <v>1972</v>
      </c>
      <c r="B36" s="423">
        <v>77.625</v>
      </c>
      <c r="C36" s="435">
        <v>62</v>
      </c>
      <c r="D36" s="421">
        <f t="shared" si="0"/>
        <v>1962</v>
      </c>
      <c r="E36" s="481">
        <f t="shared" si="1"/>
        <v>77.244094488188978</v>
      </c>
      <c r="G36" s="466"/>
      <c r="I36" s="412">
        <v>0.9375</v>
      </c>
      <c r="J36" s="413">
        <v>0.9375</v>
      </c>
      <c r="K36" s="413">
        <v>23.8125</v>
      </c>
      <c r="L36" s="414">
        <v>23.8125</v>
      </c>
    </row>
    <row r="37" spans="1:24" x14ac:dyDescent="0.25">
      <c r="A37" s="427">
        <v>1940</v>
      </c>
      <c r="B37" s="423">
        <v>76.375</v>
      </c>
      <c r="C37" s="435">
        <v>61</v>
      </c>
      <c r="D37" s="421">
        <f t="shared" si="0"/>
        <v>1930</v>
      </c>
      <c r="E37" s="479">
        <f t="shared" si="1"/>
        <v>75.984251968503941</v>
      </c>
      <c r="G37" s="466"/>
      <c r="J37"/>
      <c r="K37"/>
      <c r="L37"/>
    </row>
    <row r="38" spans="1:24" x14ac:dyDescent="0.25">
      <c r="A38" s="427">
        <v>1908</v>
      </c>
      <c r="B38" s="423">
        <v>75.125</v>
      </c>
      <c r="C38" s="435">
        <v>60</v>
      </c>
      <c r="D38" s="421">
        <f t="shared" si="0"/>
        <v>1898</v>
      </c>
      <c r="E38" s="481">
        <f t="shared" si="1"/>
        <v>74.724409448818903</v>
      </c>
      <c r="G38" s="466"/>
      <c r="J38"/>
      <c r="K38"/>
      <c r="L38"/>
    </row>
    <row r="39" spans="1:24" x14ac:dyDescent="0.25">
      <c r="A39" s="427">
        <v>1876</v>
      </c>
      <c r="B39" s="423">
        <v>73.875</v>
      </c>
      <c r="C39" s="435">
        <v>59</v>
      </c>
      <c r="D39" s="421">
        <f t="shared" si="0"/>
        <v>1866</v>
      </c>
      <c r="E39" s="479">
        <f t="shared" si="1"/>
        <v>73.464566929133866</v>
      </c>
      <c r="G39" s="466"/>
      <c r="J39"/>
      <c r="K39"/>
      <c r="L39"/>
    </row>
    <row r="40" spans="1:24" x14ac:dyDescent="0.25">
      <c r="A40" s="427">
        <v>1844</v>
      </c>
      <c r="B40" s="423">
        <v>72.625</v>
      </c>
      <c r="C40" s="435">
        <v>58</v>
      </c>
      <c r="D40" s="421">
        <f>D41+32</f>
        <v>1834</v>
      </c>
      <c r="E40" s="479">
        <f t="shared" si="1"/>
        <v>72.204724409448829</v>
      </c>
      <c r="G40" s="466"/>
      <c r="J40"/>
      <c r="K40"/>
      <c r="L40"/>
    </row>
    <row r="41" spans="1:24" x14ac:dyDescent="0.25">
      <c r="A41" s="427">
        <v>1812</v>
      </c>
      <c r="B41" s="423">
        <v>71.3125</v>
      </c>
      <c r="C41" s="435">
        <v>57</v>
      </c>
      <c r="D41" s="421">
        <f>D42+32</f>
        <v>1802</v>
      </c>
      <c r="E41" s="479">
        <f t="shared" si="1"/>
        <v>70.944881889763778</v>
      </c>
      <c r="G41" s="466"/>
      <c r="J41"/>
      <c r="K41"/>
      <c r="L41"/>
    </row>
    <row r="42" spans="1:24" x14ac:dyDescent="0.25">
      <c r="A42" s="427">
        <v>1780</v>
      </c>
      <c r="B42" s="423">
        <v>70.0625</v>
      </c>
      <c r="C42" s="435">
        <v>56</v>
      </c>
      <c r="D42" s="421">
        <f t="shared" si="0"/>
        <v>1770</v>
      </c>
      <c r="E42" s="479">
        <f t="shared" si="1"/>
        <v>69.685039370078741</v>
      </c>
      <c r="G42" s="466"/>
      <c r="J42"/>
      <c r="K42"/>
      <c r="L42"/>
    </row>
    <row r="43" spans="1:24" x14ac:dyDescent="0.25">
      <c r="A43" s="427">
        <v>1748</v>
      </c>
      <c r="B43" s="423">
        <v>68.8125</v>
      </c>
      <c r="C43" s="435">
        <v>55</v>
      </c>
      <c r="D43" s="421">
        <f t="shared" si="0"/>
        <v>1738</v>
      </c>
      <c r="E43" s="479">
        <f t="shared" si="1"/>
        <v>68.425196850393704</v>
      </c>
      <c r="G43" s="466"/>
      <c r="J43"/>
      <c r="K43"/>
      <c r="L43"/>
      <c r="X43" s="466"/>
    </row>
    <row r="44" spans="1:24" x14ac:dyDescent="0.25">
      <c r="A44" s="427">
        <v>1716</v>
      </c>
      <c r="B44" s="423">
        <v>67.5625</v>
      </c>
      <c r="C44" s="435">
        <v>54</v>
      </c>
      <c r="D44" s="421">
        <f t="shared" si="0"/>
        <v>1706</v>
      </c>
      <c r="E44" s="479">
        <f t="shared" si="1"/>
        <v>67.165354330708666</v>
      </c>
      <c r="G44" s="466"/>
      <c r="J44"/>
      <c r="K44"/>
      <c r="L44" s="410"/>
      <c r="M44" s="410"/>
      <c r="X44" s="466"/>
    </row>
    <row r="45" spans="1:24" x14ac:dyDescent="0.25">
      <c r="A45" s="427">
        <v>1684</v>
      </c>
      <c r="B45" s="423">
        <v>66.3125</v>
      </c>
      <c r="C45" s="435">
        <v>53</v>
      </c>
      <c r="D45" s="421">
        <f t="shared" si="0"/>
        <v>1674</v>
      </c>
      <c r="E45" s="483">
        <f t="shared" si="1"/>
        <v>65.905511811023629</v>
      </c>
      <c r="G45" s="466"/>
      <c r="J45"/>
      <c r="K45"/>
      <c r="L45" s="410"/>
      <c r="M45" s="410"/>
      <c r="X45" s="466"/>
    </row>
    <row r="46" spans="1:24" x14ac:dyDescent="0.25">
      <c r="A46" s="427">
        <v>1652</v>
      </c>
      <c r="B46" s="423">
        <v>65.0625</v>
      </c>
      <c r="C46" s="435">
        <v>52</v>
      </c>
      <c r="D46" s="421">
        <f t="shared" si="0"/>
        <v>1642</v>
      </c>
      <c r="E46" s="483">
        <f t="shared" si="1"/>
        <v>64.645669291338592</v>
      </c>
      <c r="G46" s="466"/>
      <c r="J46"/>
      <c r="K46"/>
      <c r="L46" s="410"/>
      <c r="M46" s="410"/>
      <c r="X46" s="466"/>
    </row>
    <row r="47" spans="1:24" x14ac:dyDescent="0.25">
      <c r="A47" s="427">
        <v>1620</v>
      </c>
      <c r="B47" s="423">
        <v>63.75</v>
      </c>
      <c r="C47" s="435">
        <v>51</v>
      </c>
      <c r="D47" s="421">
        <f t="shared" si="0"/>
        <v>1610</v>
      </c>
      <c r="E47" s="483">
        <f t="shared" si="1"/>
        <v>63.385826771653548</v>
      </c>
      <c r="G47" s="466"/>
      <c r="J47"/>
      <c r="K47"/>
      <c r="L47" s="410"/>
      <c r="M47" s="410"/>
      <c r="X47" s="466"/>
    </row>
    <row r="48" spans="1:24" x14ac:dyDescent="0.25">
      <c r="A48" s="427">
        <v>1588</v>
      </c>
      <c r="B48" s="423">
        <v>62.5</v>
      </c>
      <c r="C48" s="435">
        <v>50</v>
      </c>
      <c r="D48" s="421">
        <f>D49+32</f>
        <v>1578</v>
      </c>
      <c r="E48" s="483">
        <f t="shared" si="1"/>
        <v>62.125984251968511</v>
      </c>
      <c r="G48" s="466"/>
      <c r="J48"/>
      <c r="K48"/>
      <c r="L48" s="410"/>
      <c r="M48" s="410"/>
      <c r="X48" s="466"/>
    </row>
    <row r="49" spans="1:24" x14ac:dyDescent="0.25">
      <c r="A49" s="427">
        <v>1556</v>
      </c>
      <c r="B49" s="423">
        <v>61.25</v>
      </c>
      <c r="C49" s="435">
        <v>49</v>
      </c>
      <c r="D49" s="421">
        <f t="shared" si="0"/>
        <v>1546</v>
      </c>
      <c r="E49" s="483">
        <f t="shared" si="1"/>
        <v>60.866141732283467</v>
      </c>
      <c r="G49" s="466"/>
      <c r="J49"/>
      <c r="K49"/>
      <c r="L49" s="410"/>
      <c r="M49" s="410"/>
      <c r="X49" s="466"/>
    </row>
    <row r="50" spans="1:24" x14ac:dyDescent="0.25">
      <c r="A50" s="427">
        <v>1524</v>
      </c>
      <c r="B50" s="423">
        <v>60</v>
      </c>
      <c r="C50" s="435">
        <v>48</v>
      </c>
      <c r="D50" s="421">
        <f t="shared" si="0"/>
        <v>1514</v>
      </c>
      <c r="E50" s="483">
        <f t="shared" si="1"/>
        <v>59.606299212598429</v>
      </c>
      <c r="G50" s="466"/>
      <c r="J50"/>
      <c r="K50"/>
      <c r="L50" s="410"/>
      <c r="M50" s="410"/>
    </row>
    <row r="51" spans="1:24" x14ac:dyDescent="0.25">
      <c r="A51" s="427">
        <v>1492</v>
      </c>
      <c r="B51" s="423">
        <v>58.75</v>
      </c>
      <c r="C51" s="435">
        <v>47</v>
      </c>
      <c r="D51" s="421">
        <f t="shared" si="0"/>
        <v>1482</v>
      </c>
      <c r="E51" s="483">
        <f t="shared" si="1"/>
        <v>58.346456692913392</v>
      </c>
      <c r="G51" s="466"/>
      <c r="J51"/>
      <c r="K51"/>
      <c r="L51" s="410"/>
      <c r="M51" s="410"/>
    </row>
    <row r="52" spans="1:24" x14ac:dyDescent="0.25">
      <c r="A52" s="427">
        <v>1460</v>
      </c>
      <c r="B52" s="423">
        <v>57.5</v>
      </c>
      <c r="C52" s="435">
        <v>46</v>
      </c>
      <c r="D52" s="421">
        <f t="shared" si="0"/>
        <v>1450</v>
      </c>
      <c r="E52" s="479">
        <f t="shared" si="1"/>
        <v>57.086614173228348</v>
      </c>
      <c r="G52" s="466"/>
      <c r="J52"/>
      <c r="K52"/>
      <c r="L52" s="410"/>
      <c r="M52" s="410"/>
    </row>
    <row r="53" spans="1:24" x14ac:dyDescent="0.25">
      <c r="A53" s="427">
        <v>1428</v>
      </c>
      <c r="B53" s="423">
        <v>56.25</v>
      </c>
      <c r="C53" s="435">
        <v>45</v>
      </c>
      <c r="D53" s="421">
        <f t="shared" si="0"/>
        <v>1418</v>
      </c>
      <c r="E53" s="479">
        <f t="shared" si="1"/>
        <v>55.826771653543311</v>
      </c>
      <c r="G53" s="466"/>
      <c r="J53"/>
      <c r="K53"/>
      <c r="L53" s="410"/>
      <c r="M53" s="410"/>
    </row>
    <row r="54" spans="1:24" x14ac:dyDescent="0.25">
      <c r="A54" s="427">
        <v>1396</v>
      </c>
      <c r="B54" s="423">
        <v>54.9375</v>
      </c>
      <c r="C54" s="435">
        <v>44</v>
      </c>
      <c r="D54" s="421">
        <f t="shared" si="0"/>
        <v>1386</v>
      </c>
      <c r="E54" s="479">
        <f t="shared" si="1"/>
        <v>54.566929133858274</v>
      </c>
      <c r="G54" s="466"/>
      <c r="I54" s="410"/>
      <c r="J54"/>
      <c r="L54" s="410"/>
      <c r="M54" s="411"/>
    </row>
    <row r="55" spans="1:24" x14ac:dyDescent="0.25">
      <c r="A55" s="427">
        <v>1364</v>
      </c>
      <c r="B55" s="423">
        <v>53.6875</v>
      </c>
      <c r="C55" s="435">
        <v>43</v>
      </c>
      <c r="D55" s="421">
        <f t="shared" si="0"/>
        <v>1354</v>
      </c>
      <c r="E55" s="479">
        <f t="shared" si="1"/>
        <v>53.30708661417323</v>
      </c>
      <c r="G55" s="466"/>
      <c r="I55" s="410"/>
      <c r="J55"/>
      <c r="K55"/>
      <c r="L55"/>
    </row>
    <row r="56" spans="1:24" x14ac:dyDescent="0.25">
      <c r="A56" s="427">
        <v>1332</v>
      </c>
      <c r="B56" s="423">
        <v>52.4375</v>
      </c>
      <c r="C56" s="435">
        <v>42</v>
      </c>
      <c r="D56" s="421">
        <f t="shared" si="0"/>
        <v>1322</v>
      </c>
      <c r="E56" s="479">
        <f t="shared" si="1"/>
        <v>52.047244094488192</v>
      </c>
      <c r="G56" s="466"/>
      <c r="I56" s="410"/>
      <c r="J56"/>
      <c r="K56"/>
      <c r="L56"/>
    </row>
    <row r="57" spans="1:24" x14ac:dyDescent="0.25">
      <c r="A57" s="427">
        <v>1300</v>
      </c>
      <c r="B57" s="423">
        <v>51.1875</v>
      </c>
      <c r="C57" s="435">
        <v>41</v>
      </c>
      <c r="D57" s="421">
        <f t="shared" si="0"/>
        <v>1290</v>
      </c>
      <c r="E57" s="479">
        <f t="shared" si="1"/>
        <v>50.787401574803155</v>
      </c>
      <c r="G57" s="466"/>
      <c r="I57" s="410"/>
      <c r="J57"/>
      <c r="K57"/>
      <c r="L57"/>
    </row>
    <row r="58" spans="1:24" x14ac:dyDescent="0.25">
      <c r="A58" s="427">
        <v>1268</v>
      </c>
      <c r="B58" s="423">
        <v>49.9375</v>
      </c>
      <c r="C58" s="435">
        <v>40</v>
      </c>
      <c r="D58" s="421">
        <f t="shared" si="0"/>
        <v>1258</v>
      </c>
      <c r="E58" s="482">
        <f t="shared" si="1"/>
        <v>49.527559055118111</v>
      </c>
      <c r="G58" s="466"/>
      <c r="I58" s="410"/>
      <c r="J58"/>
      <c r="L58" s="410"/>
      <c r="M58" s="411"/>
      <c r="N58" s="476"/>
    </row>
    <row r="59" spans="1:24" x14ac:dyDescent="0.25">
      <c r="A59" s="427">
        <v>1236</v>
      </c>
      <c r="B59" s="423">
        <v>48.6875</v>
      </c>
      <c r="C59" s="435">
        <v>39</v>
      </c>
      <c r="D59" s="421">
        <f t="shared" si="0"/>
        <v>1226</v>
      </c>
      <c r="E59" s="481">
        <f t="shared" si="1"/>
        <v>48.267716535433074</v>
      </c>
      <c r="G59" s="466"/>
      <c r="I59" s="410"/>
      <c r="J59"/>
      <c r="L59" s="410"/>
      <c r="M59" s="411"/>
      <c r="N59" s="476"/>
    </row>
    <row r="60" spans="1:24" x14ac:dyDescent="0.25">
      <c r="A60" s="427">
        <v>1204</v>
      </c>
      <c r="B60" s="423">
        <v>47.375</v>
      </c>
      <c r="C60" s="435">
        <v>38</v>
      </c>
      <c r="D60" s="421">
        <f t="shared" si="0"/>
        <v>1194</v>
      </c>
      <c r="E60" s="479">
        <f t="shared" si="1"/>
        <v>47.007874015748037</v>
      </c>
      <c r="G60" s="466"/>
      <c r="I60" s="410"/>
      <c r="J60"/>
      <c r="L60" s="410"/>
      <c r="M60" s="411"/>
      <c r="N60" s="476"/>
    </row>
    <row r="61" spans="1:24" x14ac:dyDescent="0.25">
      <c r="A61" s="427">
        <v>1172</v>
      </c>
      <c r="B61" s="423">
        <v>46.125</v>
      </c>
      <c r="C61" s="435">
        <v>37</v>
      </c>
      <c r="D61" s="421">
        <f t="shared" si="0"/>
        <v>1162</v>
      </c>
      <c r="E61" s="481">
        <f t="shared" si="1"/>
        <v>45.748031496062993</v>
      </c>
      <c r="G61" s="466"/>
      <c r="I61" s="410"/>
      <c r="J61"/>
      <c r="L61" s="410"/>
      <c r="M61" s="411"/>
      <c r="N61" s="476"/>
    </row>
    <row r="62" spans="1:24" x14ac:dyDescent="0.25">
      <c r="A62" s="427">
        <v>1140</v>
      </c>
      <c r="B62" s="423">
        <v>44.875</v>
      </c>
      <c r="C62" s="435">
        <v>36</v>
      </c>
      <c r="D62" s="421">
        <f t="shared" si="0"/>
        <v>1130</v>
      </c>
      <c r="E62" s="482">
        <f t="shared" si="1"/>
        <v>44.488188976377955</v>
      </c>
      <c r="G62" s="466"/>
      <c r="I62" s="410"/>
      <c r="J62"/>
      <c r="L62" s="410"/>
      <c r="M62" s="411"/>
      <c r="N62" s="476"/>
    </row>
    <row r="63" spans="1:24" x14ac:dyDescent="0.25">
      <c r="A63" s="427">
        <v>1108</v>
      </c>
      <c r="B63" s="423">
        <v>43.625</v>
      </c>
      <c r="C63" s="435">
        <v>35</v>
      </c>
      <c r="D63" s="421">
        <f t="shared" si="0"/>
        <v>1098</v>
      </c>
      <c r="E63" s="481">
        <f t="shared" si="1"/>
        <v>43.228346456692918</v>
      </c>
      <c r="G63" s="466"/>
      <c r="I63" s="410"/>
      <c r="J63"/>
      <c r="L63" s="410"/>
      <c r="M63" s="411"/>
      <c r="N63" s="476"/>
    </row>
    <row r="64" spans="1:24" x14ac:dyDescent="0.25">
      <c r="A64" s="427">
        <v>1076</v>
      </c>
      <c r="B64" s="423">
        <v>42.375</v>
      </c>
      <c r="C64" s="435">
        <v>34</v>
      </c>
      <c r="D64" s="421">
        <f t="shared" si="0"/>
        <v>1066</v>
      </c>
      <c r="E64" s="479">
        <f t="shared" si="1"/>
        <v>41.968503937007874</v>
      </c>
      <c r="G64" s="466"/>
      <c r="I64" s="410"/>
      <c r="J64"/>
      <c r="L64" s="410"/>
      <c r="M64" s="411"/>
      <c r="N64" s="476"/>
    </row>
    <row r="65" spans="1:14" x14ac:dyDescent="0.25">
      <c r="A65" s="427">
        <v>1044</v>
      </c>
      <c r="B65" s="423">
        <v>41.125</v>
      </c>
      <c r="C65" s="435">
        <v>33</v>
      </c>
      <c r="D65" s="421">
        <f t="shared" si="0"/>
        <v>1034</v>
      </c>
      <c r="E65" s="479">
        <f t="shared" si="1"/>
        <v>40.708661417322837</v>
      </c>
      <c r="G65" s="466"/>
      <c r="I65" s="410"/>
      <c r="J65"/>
      <c r="L65" s="410"/>
      <c r="M65" s="411"/>
      <c r="N65" s="476"/>
    </row>
    <row r="66" spans="1:14" x14ac:dyDescent="0.25">
      <c r="A66" s="427">
        <v>1012</v>
      </c>
      <c r="B66" s="423">
        <v>39.8125</v>
      </c>
      <c r="C66" s="435">
        <v>32</v>
      </c>
      <c r="D66" s="421">
        <f t="shared" si="0"/>
        <v>1002</v>
      </c>
      <c r="E66" s="479">
        <f t="shared" si="1"/>
        <v>39.4488188976378</v>
      </c>
      <c r="G66" s="466"/>
      <c r="I66" s="410"/>
      <c r="J66"/>
      <c r="L66" s="410"/>
      <c r="M66" s="411"/>
      <c r="N66" s="476"/>
    </row>
    <row r="67" spans="1:14" x14ac:dyDescent="0.25">
      <c r="A67" s="427">
        <v>980</v>
      </c>
      <c r="B67" s="423">
        <v>38.5625</v>
      </c>
      <c r="C67" s="435">
        <v>31</v>
      </c>
      <c r="D67" s="421">
        <f t="shared" ref="D67:D96" si="2">D68+32</f>
        <v>970</v>
      </c>
      <c r="E67" s="479">
        <f t="shared" ref="E67:E96" si="3">D67/25.4</f>
        <v>38.188976377952756</v>
      </c>
      <c r="G67" s="466"/>
      <c r="I67" s="410"/>
      <c r="J67"/>
      <c r="L67" s="410"/>
      <c r="M67" s="411"/>
      <c r="N67" s="476"/>
    </row>
    <row r="68" spans="1:14" x14ac:dyDescent="0.25">
      <c r="A68" s="427">
        <v>948</v>
      </c>
      <c r="B68" s="423">
        <v>37.3125</v>
      </c>
      <c r="C68" s="435">
        <v>30</v>
      </c>
      <c r="D68" s="421">
        <f t="shared" si="2"/>
        <v>938</v>
      </c>
      <c r="E68" s="479">
        <f t="shared" si="3"/>
        <v>36.929133858267718</v>
      </c>
      <c r="G68" s="466"/>
      <c r="I68" s="410"/>
      <c r="J68"/>
      <c r="L68" s="410"/>
      <c r="M68" s="411"/>
      <c r="N68" s="474"/>
    </row>
    <row r="69" spans="1:14" x14ac:dyDescent="0.25">
      <c r="A69" s="427">
        <v>916</v>
      </c>
      <c r="B69" s="423">
        <v>36.0625</v>
      </c>
      <c r="C69" s="435">
        <v>29</v>
      </c>
      <c r="D69" s="421">
        <f t="shared" si="2"/>
        <v>906</v>
      </c>
      <c r="E69" s="479">
        <f t="shared" si="3"/>
        <v>35.669291338582681</v>
      </c>
      <c r="G69" s="466"/>
      <c r="J69"/>
      <c r="L69" s="410"/>
      <c r="M69" s="411"/>
      <c r="N69" s="474"/>
    </row>
    <row r="70" spans="1:14" x14ac:dyDescent="0.25">
      <c r="A70" s="427">
        <v>884</v>
      </c>
      <c r="B70" s="423">
        <v>34.8125</v>
      </c>
      <c r="C70" s="435">
        <v>28</v>
      </c>
      <c r="D70" s="421">
        <f t="shared" si="2"/>
        <v>874</v>
      </c>
      <c r="E70" s="479">
        <f t="shared" si="3"/>
        <v>34.409448818897637</v>
      </c>
      <c r="G70" s="466"/>
      <c r="J70"/>
      <c r="L70" s="410"/>
      <c r="M70" s="411"/>
      <c r="N70" s="474"/>
    </row>
    <row r="71" spans="1:14" x14ac:dyDescent="0.25">
      <c r="A71" s="427">
        <v>852</v>
      </c>
      <c r="B71" s="423">
        <v>33.5625</v>
      </c>
      <c r="C71" s="435">
        <v>27</v>
      </c>
      <c r="D71" s="421">
        <f t="shared" si="2"/>
        <v>842</v>
      </c>
      <c r="E71" s="483">
        <f t="shared" si="3"/>
        <v>33.1496062992126</v>
      </c>
      <c r="G71" s="466"/>
      <c r="J71"/>
      <c r="L71" s="410"/>
      <c r="M71" s="411"/>
      <c r="N71" s="474"/>
    </row>
    <row r="72" spans="1:14" x14ac:dyDescent="0.25">
      <c r="A72" s="427">
        <v>820</v>
      </c>
      <c r="B72" s="423">
        <v>32.3125</v>
      </c>
      <c r="C72" s="435">
        <v>26</v>
      </c>
      <c r="D72" s="421">
        <f t="shared" si="2"/>
        <v>810</v>
      </c>
      <c r="E72" s="483">
        <f t="shared" si="3"/>
        <v>31.889763779527559</v>
      </c>
      <c r="G72" s="466"/>
      <c r="J72"/>
      <c r="L72" s="410"/>
      <c r="M72" s="411"/>
      <c r="N72" s="474"/>
    </row>
    <row r="73" spans="1:14" x14ac:dyDescent="0.25">
      <c r="A73" s="427">
        <v>788</v>
      </c>
      <c r="B73" s="423">
        <v>31</v>
      </c>
      <c r="C73" s="435">
        <v>25</v>
      </c>
      <c r="D73" s="421">
        <f t="shared" si="2"/>
        <v>778</v>
      </c>
      <c r="E73" s="483">
        <f t="shared" si="3"/>
        <v>30.629921259842522</v>
      </c>
      <c r="G73" s="466"/>
      <c r="J73"/>
      <c r="L73" s="410"/>
      <c r="M73" s="411"/>
      <c r="N73" s="474"/>
    </row>
    <row r="74" spans="1:14" x14ac:dyDescent="0.25">
      <c r="A74" s="427">
        <v>756</v>
      </c>
      <c r="B74" s="423">
        <v>29.75</v>
      </c>
      <c r="C74" s="435">
        <v>24</v>
      </c>
      <c r="D74" s="421">
        <f t="shared" si="2"/>
        <v>746</v>
      </c>
      <c r="E74" s="483">
        <f t="shared" si="3"/>
        <v>29.370078740157481</v>
      </c>
      <c r="G74" s="466"/>
      <c r="J74"/>
      <c r="L74" s="410"/>
      <c r="M74" s="411"/>
      <c r="N74" s="474"/>
    </row>
    <row r="75" spans="1:14" x14ac:dyDescent="0.25">
      <c r="A75" s="427">
        <v>724</v>
      </c>
      <c r="B75" s="423">
        <v>28.5</v>
      </c>
      <c r="C75" s="435">
        <v>23</v>
      </c>
      <c r="D75" s="421">
        <f t="shared" si="2"/>
        <v>714</v>
      </c>
      <c r="E75" s="483">
        <f t="shared" si="3"/>
        <v>28.110236220472441</v>
      </c>
      <c r="G75" s="466"/>
      <c r="J75"/>
      <c r="L75" s="410"/>
      <c r="M75" s="411"/>
      <c r="N75" s="474"/>
    </row>
    <row r="76" spans="1:14" x14ac:dyDescent="0.25">
      <c r="A76" s="427">
        <v>692</v>
      </c>
      <c r="B76" s="423">
        <v>27.25</v>
      </c>
      <c r="C76" s="435">
        <v>22</v>
      </c>
      <c r="D76" s="421">
        <f t="shared" si="2"/>
        <v>682</v>
      </c>
      <c r="E76" s="483">
        <f t="shared" si="3"/>
        <v>26.850393700787404</v>
      </c>
      <c r="G76" s="466"/>
      <c r="J76"/>
      <c r="L76" s="410"/>
      <c r="M76" s="411"/>
      <c r="N76" s="474"/>
    </row>
    <row r="77" spans="1:14" x14ac:dyDescent="0.25">
      <c r="A77" s="427">
        <v>660</v>
      </c>
      <c r="B77" s="423">
        <v>26</v>
      </c>
      <c r="C77" s="435">
        <v>21</v>
      </c>
      <c r="D77" s="421">
        <f t="shared" si="2"/>
        <v>650</v>
      </c>
      <c r="E77" s="479">
        <f t="shared" si="3"/>
        <v>25.590551181102363</v>
      </c>
      <c r="G77" s="466"/>
      <c r="J77"/>
      <c r="L77" s="410"/>
      <c r="M77" s="411"/>
      <c r="N77" s="474"/>
    </row>
    <row r="78" spans="1:14" x14ac:dyDescent="0.25">
      <c r="A78" s="427">
        <v>628</v>
      </c>
      <c r="B78" s="423">
        <v>24.75</v>
      </c>
      <c r="C78" s="435">
        <v>20</v>
      </c>
      <c r="D78" s="421">
        <f t="shared" si="2"/>
        <v>618</v>
      </c>
      <c r="E78" s="479">
        <f t="shared" si="3"/>
        <v>24.330708661417326</v>
      </c>
      <c r="G78" s="466"/>
      <c r="J78"/>
      <c r="L78" s="410"/>
      <c r="M78" s="411"/>
      <c r="N78" s="474"/>
    </row>
    <row r="79" spans="1:14" x14ac:dyDescent="0.25">
      <c r="A79" s="427">
        <v>596</v>
      </c>
      <c r="B79" s="423">
        <v>23.4375</v>
      </c>
      <c r="C79" s="435">
        <v>19</v>
      </c>
      <c r="D79" s="421">
        <f t="shared" si="2"/>
        <v>586</v>
      </c>
      <c r="E79" s="479">
        <f t="shared" si="3"/>
        <v>23.070866141732285</v>
      </c>
      <c r="G79" s="466"/>
      <c r="J79"/>
      <c r="L79" s="410"/>
      <c r="M79" s="411"/>
      <c r="N79" s="474"/>
    </row>
    <row r="80" spans="1:14" x14ac:dyDescent="0.25">
      <c r="A80" s="427">
        <v>564</v>
      </c>
      <c r="B80" s="423">
        <v>22.1875</v>
      </c>
      <c r="C80" s="435">
        <v>18</v>
      </c>
      <c r="D80" s="421">
        <f t="shared" si="2"/>
        <v>554</v>
      </c>
      <c r="E80" s="479">
        <f t="shared" si="3"/>
        <v>21.811023622047244</v>
      </c>
      <c r="G80" s="466"/>
      <c r="J80"/>
      <c r="L80" s="410"/>
      <c r="M80" s="411"/>
      <c r="N80" s="474"/>
    </row>
    <row r="81" spans="1:14" x14ac:dyDescent="0.25">
      <c r="A81" s="427">
        <v>532</v>
      </c>
      <c r="B81" s="423">
        <v>20.9375</v>
      </c>
      <c r="C81" s="435">
        <v>17</v>
      </c>
      <c r="D81" s="421">
        <f t="shared" si="2"/>
        <v>522</v>
      </c>
      <c r="E81" s="479">
        <f t="shared" si="3"/>
        <v>20.551181102362207</v>
      </c>
      <c r="G81" s="466"/>
      <c r="J81"/>
      <c r="L81" s="410"/>
      <c r="M81" s="411"/>
      <c r="N81" s="474"/>
    </row>
    <row r="82" spans="1:14" x14ac:dyDescent="0.25">
      <c r="A82" s="427">
        <v>500</v>
      </c>
      <c r="B82" s="423">
        <v>19.6875</v>
      </c>
      <c r="C82" s="435">
        <v>16</v>
      </c>
      <c r="D82" s="421">
        <f t="shared" si="2"/>
        <v>490</v>
      </c>
      <c r="E82" s="479">
        <f t="shared" si="3"/>
        <v>19.291338582677167</v>
      </c>
      <c r="G82" s="466"/>
      <c r="J82"/>
      <c r="L82" s="410"/>
      <c r="M82" s="411"/>
      <c r="N82" s="474"/>
    </row>
    <row r="83" spans="1:14" x14ac:dyDescent="0.25">
      <c r="A83" s="427">
        <v>468</v>
      </c>
      <c r="B83" s="423">
        <v>18.4375</v>
      </c>
      <c r="C83" s="435">
        <v>15</v>
      </c>
      <c r="D83" s="421">
        <f t="shared" si="2"/>
        <v>458</v>
      </c>
      <c r="E83" s="479">
        <f t="shared" si="3"/>
        <v>18.031496062992126</v>
      </c>
      <c r="G83" s="466"/>
      <c r="J83"/>
      <c r="L83" s="410"/>
      <c r="M83" s="411"/>
      <c r="N83" s="474"/>
    </row>
    <row r="84" spans="1:14" x14ac:dyDescent="0.25">
      <c r="A84" s="427">
        <v>436</v>
      </c>
      <c r="B84" s="423">
        <v>17.1875</v>
      </c>
      <c r="C84" s="435">
        <v>14</v>
      </c>
      <c r="D84" s="421">
        <f t="shared" si="2"/>
        <v>426</v>
      </c>
      <c r="E84" s="481">
        <f t="shared" si="3"/>
        <v>16.771653543307089</v>
      </c>
      <c r="G84" s="466"/>
      <c r="J84"/>
      <c r="L84" s="410"/>
      <c r="M84" s="411"/>
      <c r="N84" s="474"/>
    </row>
    <row r="85" spans="1:14" x14ac:dyDescent="0.25">
      <c r="A85" s="427">
        <v>404</v>
      </c>
      <c r="B85" s="423">
        <v>15.875</v>
      </c>
      <c r="C85" s="435">
        <v>13</v>
      </c>
      <c r="D85" s="421">
        <f t="shared" si="2"/>
        <v>394</v>
      </c>
      <c r="E85" s="482">
        <f t="shared" si="3"/>
        <v>15.511811023622048</v>
      </c>
      <c r="G85" s="466"/>
      <c r="J85"/>
      <c r="L85" s="410"/>
      <c r="M85" s="411"/>
      <c r="N85" s="474"/>
    </row>
    <row r="86" spans="1:14" x14ac:dyDescent="0.25">
      <c r="A86" s="427">
        <v>372</v>
      </c>
      <c r="B86" s="423">
        <v>14.625</v>
      </c>
      <c r="C86" s="435">
        <v>12</v>
      </c>
      <c r="D86" s="421">
        <f t="shared" si="2"/>
        <v>362</v>
      </c>
      <c r="E86" s="481">
        <f t="shared" si="3"/>
        <v>14.251968503937009</v>
      </c>
      <c r="G86" s="466"/>
      <c r="J86"/>
      <c r="L86" s="410"/>
      <c r="M86" s="411"/>
      <c r="N86" s="474"/>
    </row>
    <row r="87" spans="1:14" x14ac:dyDescent="0.25">
      <c r="A87" s="427">
        <v>340</v>
      </c>
      <c r="B87" s="423">
        <v>13.375</v>
      </c>
      <c r="C87" s="435">
        <v>11</v>
      </c>
      <c r="D87" s="421">
        <f t="shared" si="2"/>
        <v>330</v>
      </c>
      <c r="E87" s="479">
        <f t="shared" si="3"/>
        <v>12.992125984251969</v>
      </c>
      <c r="G87" s="466"/>
      <c r="J87"/>
      <c r="L87" s="410"/>
      <c r="M87" s="411"/>
      <c r="N87" s="474"/>
    </row>
    <row r="88" spans="1:14" x14ac:dyDescent="0.25">
      <c r="A88" s="427">
        <v>308</v>
      </c>
      <c r="B88" s="423">
        <v>12.125</v>
      </c>
      <c r="C88" s="435">
        <v>10</v>
      </c>
      <c r="D88" s="421">
        <f t="shared" si="2"/>
        <v>298</v>
      </c>
      <c r="E88" s="481">
        <f t="shared" si="3"/>
        <v>11.73228346456693</v>
      </c>
      <c r="G88" s="466"/>
      <c r="J88"/>
      <c r="L88" s="410"/>
      <c r="M88" s="411"/>
      <c r="N88" s="474"/>
    </row>
    <row r="89" spans="1:14" x14ac:dyDescent="0.25">
      <c r="A89" s="427">
        <v>276</v>
      </c>
      <c r="B89" s="423">
        <v>10.875</v>
      </c>
      <c r="C89" s="435">
        <v>9</v>
      </c>
      <c r="D89" s="421">
        <f t="shared" si="2"/>
        <v>266</v>
      </c>
      <c r="E89" s="482">
        <f t="shared" si="3"/>
        <v>10.472440944881891</v>
      </c>
      <c r="G89" s="466"/>
      <c r="J89"/>
      <c r="L89" s="410"/>
      <c r="M89" s="411"/>
      <c r="N89" s="474"/>
    </row>
    <row r="90" spans="1:14" x14ac:dyDescent="0.25">
      <c r="A90" s="427">
        <v>244</v>
      </c>
      <c r="B90" s="423">
        <v>9.625</v>
      </c>
      <c r="C90" s="435">
        <v>8</v>
      </c>
      <c r="D90" s="421">
        <f t="shared" si="2"/>
        <v>234</v>
      </c>
      <c r="E90" s="479">
        <f t="shared" si="3"/>
        <v>9.2125984251968518</v>
      </c>
      <c r="G90" s="466"/>
      <c r="J90"/>
      <c r="L90" s="410"/>
      <c r="M90" s="411"/>
      <c r="N90" s="474"/>
    </row>
    <row r="91" spans="1:14" x14ac:dyDescent="0.25">
      <c r="A91" s="427">
        <v>212</v>
      </c>
      <c r="B91" s="423">
        <v>8.375</v>
      </c>
      <c r="C91" s="435">
        <v>7</v>
      </c>
      <c r="D91" s="421">
        <f t="shared" si="2"/>
        <v>202</v>
      </c>
      <c r="E91" s="479">
        <f t="shared" si="3"/>
        <v>7.9527559055118111</v>
      </c>
      <c r="G91" s="466"/>
      <c r="J91"/>
      <c r="L91" s="410"/>
      <c r="M91" s="411"/>
      <c r="N91" s="474"/>
    </row>
    <row r="92" spans="1:14" x14ac:dyDescent="0.25">
      <c r="A92" s="427">
        <v>180</v>
      </c>
      <c r="B92" s="423">
        <v>7.0625</v>
      </c>
      <c r="C92" s="435">
        <v>6</v>
      </c>
      <c r="D92" s="421">
        <f t="shared" si="2"/>
        <v>170</v>
      </c>
      <c r="E92" s="479">
        <f t="shared" si="3"/>
        <v>6.6929133858267722</v>
      </c>
      <c r="G92" s="466"/>
      <c r="J92"/>
      <c r="L92" s="410"/>
      <c r="M92" s="411"/>
      <c r="N92" s="474"/>
    </row>
    <row r="93" spans="1:14" x14ac:dyDescent="0.25">
      <c r="A93" s="427">
        <v>148</v>
      </c>
      <c r="B93" s="423">
        <v>5.8125</v>
      </c>
      <c r="C93" s="435">
        <v>5</v>
      </c>
      <c r="D93" s="421">
        <f t="shared" si="2"/>
        <v>138</v>
      </c>
      <c r="E93" s="479">
        <f t="shared" si="3"/>
        <v>5.4330708661417324</v>
      </c>
      <c r="G93" s="466"/>
      <c r="J93"/>
      <c r="L93" s="410"/>
      <c r="M93" s="411"/>
      <c r="N93" s="474"/>
    </row>
    <row r="94" spans="1:14" x14ac:dyDescent="0.25">
      <c r="A94" s="427">
        <v>116</v>
      </c>
      <c r="B94" s="423">
        <v>4.5625</v>
      </c>
      <c r="C94" s="435">
        <v>4</v>
      </c>
      <c r="D94" s="421">
        <f t="shared" si="2"/>
        <v>106</v>
      </c>
      <c r="E94" s="479">
        <f t="shared" si="3"/>
        <v>4.1732283464566935</v>
      </c>
      <c r="G94" s="466"/>
      <c r="J94"/>
      <c r="L94" s="410"/>
      <c r="M94" s="411"/>
      <c r="N94" s="474"/>
    </row>
    <row r="95" spans="1:14" x14ac:dyDescent="0.25">
      <c r="A95" s="427">
        <v>84</v>
      </c>
      <c r="B95" s="423">
        <v>3.3125</v>
      </c>
      <c r="C95" s="435">
        <v>3</v>
      </c>
      <c r="D95" s="422">
        <f t="shared" si="2"/>
        <v>74</v>
      </c>
      <c r="E95" s="485">
        <f t="shared" si="3"/>
        <v>2.9133858267716537</v>
      </c>
      <c r="G95" s="466"/>
      <c r="J95"/>
      <c r="L95" s="410"/>
      <c r="M95" s="411"/>
      <c r="N95" s="474"/>
    </row>
    <row r="96" spans="1:14" x14ac:dyDescent="0.25">
      <c r="A96" s="427">
        <v>52</v>
      </c>
      <c r="B96" s="423">
        <v>2.0625</v>
      </c>
      <c r="C96" s="435">
        <v>2</v>
      </c>
      <c r="D96" s="422">
        <f t="shared" si="2"/>
        <v>42</v>
      </c>
      <c r="E96" s="484">
        <f t="shared" si="3"/>
        <v>1.6535433070866143</v>
      </c>
      <c r="G96" s="466"/>
      <c r="J96"/>
      <c r="L96" s="410"/>
      <c r="M96" s="411"/>
      <c r="N96" s="474"/>
    </row>
    <row r="97" spans="1:14" x14ac:dyDescent="0.25">
      <c r="A97" s="427">
        <v>20</v>
      </c>
      <c r="B97" s="423" t="s">
        <v>782</v>
      </c>
      <c r="C97" s="435">
        <v>1</v>
      </c>
      <c r="D97" s="422">
        <v>10</v>
      </c>
      <c r="E97" s="484">
        <v>0.375</v>
      </c>
      <c r="G97" s="466"/>
      <c r="J97"/>
      <c r="L97" s="410"/>
      <c r="M97" s="411"/>
      <c r="N97" s="474"/>
    </row>
  </sheetData>
  <sortState xmlns:xlrd2="http://schemas.microsoft.com/office/spreadsheetml/2017/richdata2" ref="D3:D21">
    <sortCondition descending="1" ref="D3:D21"/>
  </sortState>
  <mergeCells count="2">
    <mergeCell ref="A1:B1"/>
    <mergeCell ref="D1:E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5C7D9-613A-41CF-8E2A-B2B7BC64AC59}">
  <sheetPr codeName="Sheet13">
    <pageSetUpPr fitToPage="1"/>
  </sheetPr>
  <dimension ref="A2:D23"/>
  <sheetViews>
    <sheetView workbookViewId="0">
      <selection activeCell="D2" sqref="D2"/>
    </sheetView>
  </sheetViews>
  <sheetFormatPr defaultRowHeight="15" x14ac:dyDescent="0.25"/>
  <cols>
    <col min="1" max="1" width="47.5703125" customWidth="1"/>
    <col min="2" max="2" width="27.28515625" customWidth="1"/>
    <col min="3" max="3" width="10.7109375" customWidth="1"/>
    <col min="4" max="4" width="38.28515625" customWidth="1"/>
  </cols>
  <sheetData>
    <row r="2" spans="1:4" ht="151.5" customHeight="1" x14ac:dyDescent="0.25">
      <c r="A2" s="90"/>
      <c r="B2" s="90"/>
      <c r="C2" s="94"/>
      <c r="D2" s="93"/>
    </row>
    <row r="3" spans="1:4" x14ac:dyDescent="0.25">
      <c r="A3" s="92" t="s">
        <v>412</v>
      </c>
      <c r="B3" s="92" t="s">
        <v>135</v>
      </c>
      <c r="C3" s="92" t="s">
        <v>134</v>
      </c>
      <c r="D3" s="91" t="s">
        <v>411</v>
      </c>
    </row>
    <row r="4" spans="1:4" x14ac:dyDescent="0.25">
      <c r="A4" s="89"/>
      <c r="B4" s="90"/>
      <c r="C4" s="89"/>
      <c r="D4" s="88"/>
    </row>
    <row r="5" spans="1:4" x14ac:dyDescent="0.25">
      <c r="A5" s="89"/>
      <c r="B5" s="90"/>
      <c r="C5" s="89"/>
      <c r="D5" s="88"/>
    </row>
    <row r="6" spans="1:4" x14ac:dyDescent="0.25">
      <c r="A6" s="89"/>
      <c r="B6" s="90"/>
      <c r="C6" s="89"/>
      <c r="D6" s="88"/>
    </row>
    <row r="7" spans="1:4" x14ac:dyDescent="0.25">
      <c r="A7" s="89"/>
      <c r="B7" s="90"/>
      <c r="C7" s="89"/>
      <c r="D7" s="88"/>
    </row>
    <row r="8" spans="1:4" x14ac:dyDescent="0.25">
      <c r="A8" s="89"/>
      <c r="B8" s="90"/>
      <c r="C8" s="89"/>
      <c r="D8" s="88"/>
    </row>
    <row r="9" spans="1:4" x14ac:dyDescent="0.25">
      <c r="A9" s="89"/>
      <c r="B9" s="90"/>
      <c r="C9" s="89"/>
      <c r="D9" s="88"/>
    </row>
    <row r="10" spans="1:4" x14ac:dyDescent="0.25">
      <c r="A10" s="89"/>
      <c r="B10" s="90"/>
      <c r="C10" s="89"/>
      <c r="D10" s="88"/>
    </row>
    <row r="11" spans="1:4" x14ac:dyDescent="0.25">
      <c r="A11" s="89"/>
      <c r="B11" s="90"/>
      <c r="C11" s="89"/>
      <c r="D11" s="88"/>
    </row>
    <row r="12" spans="1:4" x14ac:dyDescent="0.25">
      <c r="A12" s="89"/>
      <c r="B12" s="90"/>
      <c r="C12" s="89"/>
      <c r="D12" s="88"/>
    </row>
    <row r="13" spans="1:4" x14ac:dyDescent="0.25">
      <c r="A13" s="89"/>
      <c r="B13" s="90"/>
      <c r="C13" s="89"/>
      <c r="D13" s="88"/>
    </row>
    <row r="14" spans="1:4" x14ac:dyDescent="0.25">
      <c r="A14" s="89"/>
      <c r="B14" s="90"/>
      <c r="C14" s="89"/>
      <c r="D14" s="88"/>
    </row>
    <row r="15" spans="1:4" x14ac:dyDescent="0.25">
      <c r="A15" s="89"/>
      <c r="B15" s="90"/>
      <c r="C15" s="89"/>
      <c r="D15" s="88"/>
    </row>
    <row r="16" spans="1:4" x14ac:dyDescent="0.25">
      <c r="A16" s="89"/>
      <c r="B16" s="90"/>
      <c r="C16" s="89"/>
      <c r="D16" s="88"/>
    </row>
    <row r="17" spans="1:4" x14ac:dyDescent="0.25">
      <c r="A17" s="89"/>
      <c r="B17" s="90"/>
      <c r="C17" s="89"/>
      <c r="D17" s="88"/>
    </row>
    <row r="18" spans="1:4" x14ac:dyDescent="0.25">
      <c r="A18" s="89"/>
      <c r="B18" s="90"/>
      <c r="C18" s="89"/>
      <c r="D18" s="88"/>
    </row>
    <row r="19" spans="1:4" x14ac:dyDescent="0.25">
      <c r="A19" s="89"/>
      <c r="B19" s="90"/>
      <c r="C19" s="89"/>
      <c r="D19" s="88"/>
    </row>
    <row r="20" spans="1:4" x14ac:dyDescent="0.25">
      <c r="A20" s="89"/>
      <c r="B20" s="90"/>
      <c r="C20" s="89"/>
      <c r="D20" s="88"/>
    </row>
    <row r="21" spans="1:4" x14ac:dyDescent="0.25">
      <c r="A21" s="89"/>
      <c r="B21" s="90"/>
      <c r="C21" s="89"/>
      <c r="D21" s="88"/>
    </row>
    <row r="22" spans="1:4" x14ac:dyDescent="0.25">
      <c r="A22" s="89"/>
      <c r="B22" s="90"/>
      <c r="C22" s="89"/>
      <c r="D22" s="88"/>
    </row>
    <row r="23" spans="1:4" x14ac:dyDescent="0.25">
      <c r="A23" s="89"/>
      <c r="B23" s="88"/>
      <c r="C23" s="89"/>
      <c r="D23" s="88"/>
    </row>
  </sheetData>
  <pageMargins left="0.7" right="0.7" top="0.75" bottom="0.75" header="0.3" footer="0.3"/>
  <pageSetup scale="9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75FC6-B693-4A7A-9A27-C00296355ECB}">
  <sheetPr codeName="Sheet9"/>
  <dimension ref="A1:AG143"/>
  <sheetViews>
    <sheetView zoomScaleNormal="100" workbookViewId="0">
      <selection activeCell="I18" sqref="I18"/>
    </sheetView>
  </sheetViews>
  <sheetFormatPr defaultRowHeight="15" x14ac:dyDescent="0.25"/>
  <cols>
    <col min="1" max="1" width="14.140625" style="70" bestFit="1" customWidth="1"/>
    <col min="2" max="2" width="21.7109375" style="70" bestFit="1" customWidth="1"/>
    <col min="3" max="3" width="12.7109375" style="70" customWidth="1"/>
    <col min="4" max="4" width="8.7109375" style="70" customWidth="1"/>
    <col min="5" max="5" width="22.85546875" style="70" customWidth="1"/>
    <col min="6" max="6" width="10.7109375" style="70" customWidth="1"/>
    <col min="7" max="7" width="24.5703125" bestFit="1" customWidth="1"/>
    <col min="8" max="8" width="10.7109375" customWidth="1"/>
    <col min="9" max="9" width="23.140625" style="297" bestFit="1" customWidth="1"/>
    <col min="10" max="10" width="22.7109375" style="278" bestFit="1" customWidth="1"/>
    <col min="11" max="11" width="10.7109375" style="279" customWidth="1"/>
    <col min="12" max="12" width="30.5703125" customWidth="1"/>
    <col min="13" max="13" width="46.28515625" customWidth="1"/>
    <col min="14" max="14" width="20.5703125" customWidth="1"/>
    <col min="15" max="15" width="10.7109375" customWidth="1"/>
    <col min="16" max="16" width="25.85546875" style="96" customWidth="1"/>
    <col min="17" max="17" width="9.7109375" bestFit="1" customWidth="1"/>
    <col min="18" max="18" width="23.42578125" bestFit="1" customWidth="1"/>
    <col min="19" max="19" width="7.85546875" bestFit="1" customWidth="1"/>
    <col min="20" max="20" width="23.42578125" bestFit="1" customWidth="1"/>
    <col min="21" max="21" width="5.7109375" bestFit="1" customWidth="1"/>
    <col min="22" max="22" width="18.140625" style="417" customWidth="1"/>
    <col min="23" max="23" width="10.5703125" bestFit="1" customWidth="1"/>
    <col min="24" max="24" width="20" bestFit="1" customWidth="1"/>
    <col min="25" max="25" width="25.85546875" bestFit="1" customWidth="1"/>
    <col min="26" max="26" width="24.85546875" bestFit="1" customWidth="1"/>
    <col min="27" max="28" width="40.7109375" customWidth="1"/>
    <col min="29" max="29" width="26" customWidth="1"/>
    <col min="30" max="30" width="28.85546875" customWidth="1"/>
  </cols>
  <sheetData>
    <row r="1" spans="1:31" x14ac:dyDescent="0.25">
      <c r="A1" s="221" t="s">
        <v>496</v>
      </c>
      <c r="B1" s="70" t="s">
        <v>2</v>
      </c>
      <c r="C1" s="70" t="s">
        <v>2</v>
      </c>
      <c r="D1" s="70" t="s">
        <v>309</v>
      </c>
      <c r="E1" s="273" t="s">
        <v>472</v>
      </c>
      <c r="G1" s="430" t="s">
        <v>501</v>
      </c>
      <c r="H1" s="32"/>
      <c r="I1" s="221" t="s">
        <v>307</v>
      </c>
      <c r="J1" s="276" t="s">
        <v>17</v>
      </c>
      <c r="K1" s="276" t="s">
        <v>841</v>
      </c>
      <c r="L1" s="631" t="s">
        <v>382</v>
      </c>
      <c r="M1" s="1221"/>
      <c r="O1" s="32"/>
      <c r="P1" s="394" t="s">
        <v>420</v>
      </c>
      <c r="Q1" t="s">
        <v>2</v>
      </c>
      <c r="R1" t="s">
        <v>472</v>
      </c>
      <c r="S1" s="275" t="s">
        <v>485</v>
      </c>
      <c r="T1" s="269"/>
      <c r="U1" s="275" t="s">
        <v>16</v>
      </c>
      <c r="V1" s="418"/>
      <c r="W1" s="273"/>
      <c r="X1" s="1217" t="s">
        <v>660</v>
      </c>
      <c r="Y1" s="1218"/>
      <c r="Z1" t="s">
        <v>564</v>
      </c>
      <c r="AA1" s="91">
        <f>'CF5 Order'!K11</f>
        <v>0</v>
      </c>
      <c r="AB1" s="91" t="b">
        <f>IF(AA1="Butt Joint",0.0625, IF(AA1="Miter",0))</f>
        <v>0</v>
      </c>
      <c r="AC1" s="91" t="b">
        <f>IF(AA1="Butt Joint",-6, IF(AA1="Miter",0.25))</f>
        <v>0</v>
      </c>
      <c r="AD1" s="91" t="b">
        <f>IF(AA1="Butt Joint",-0.0625, IF(AA1="Miter",0.25))</f>
        <v>0</v>
      </c>
      <c r="AE1" s="88">
        <v>0.25</v>
      </c>
    </row>
    <row r="2" spans="1:31" ht="15.75" thickBot="1" x14ac:dyDescent="0.3">
      <c r="A2" s="221" t="s">
        <v>497</v>
      </c>
      <c r="B2" s="70" t="s">
        <v>17</v>
      </c>
      <c r="C2" s="70" t="s">
        <v>17</v>
      </c>
      <c r="D2" s="70" t="s">
        <v>309</v>
      </c>
      <c r="E2" s="273" t="s">
        <v>473</v>
      </c>
      <c r="G2" s="430" t="s">
        <v>502</v>
      </c>
      <c r="H2" s="32"/>
      <c r="I2" s="221"/>
      <c r="J2" s="276" t="s">
        <v>838</v>
      </c>
      <c r="K2" s="276" t="s">
        <v>842</v>
      </c>
      <c r="L2" s="631"/>
      <c r="M2" s="759"/>
      <c r="O2" s="32"/>
      <c r="P2" s="96" t="s">
        <v>424</v>
      </c>
      <c r="Q2" t="s">
        <v>2</v>
      </c>
      <c r="R2" t="s">
        <v>472</v>
      </c>
      <c r="S2" s="270"/>
      <c r="T2" s="271" t="s">
        <v>470</v>
      </c>
      <c r="U2" s="270"/>
      <c r="V2" s="419" t="s">
        <v>470</v>
      </c>
      <c r="X2" s="395" t="s">
        <v>661</v>
      </c>
      <c r="Y2" s="395" t="s">
        <v>662</v>
      </c>
      <c r="AA2" s="91">
        <f>'CF5 Order'!K15</f>
        <v>0</v>
      </c>
      <c r="AB2" s="91" t="b">
        <f t="shared" ref="AB2:AB10" si="0">IF(AA2="Butt Joint",0.0625, IF(AA2="Miter",0))</f>
        <v>0</v>
      </c>
      <c r="AC2" s="91" t="b">
        <f t="shared" ref="AC2:AC10" si="1">IF(AA2="Butt Joint",-6, IF(AA2="Miter",0.25))</f>
        <v>0</v>
      </c>
      <c r="AD2" s="91" t="b">
        <f t="shared" ref="AD2:AD10" si="2">IF(AA2="Butt Joint",-0.0625, IF(AA2="Miter",0.25))</f>
        <v>0</v>
      </c>
      <c r="AE2" s="88">
        <v>0.25</v>
      </c>
    </row>
    <row r="3" spans="1:31" x14ac:dyDescent="0.25">
      <c r="A3" s="221" t="s">
        <v>496</v>
      </c>
      <c r="B3" s="70" t="s">
        <v>20</v>
      </c>
      <c r="C3" s="70" t="s">
        <v>464</v>
      </c>
      <c r="D3" s="70" t="s">
        <v>373</v>
      </c>
      <c r="E3" s="273" t="s">
        <v>472</v>
      </c>
      <c r="G3" s="430" t="s">
        <v>503</v>
      </c>
      <c r="H3" s="32"/>
      <c r="I3" s="221" t="s">
        <v>5</v>
      </c>
      <c r="J3" s="276" t="s">
        <v>837</v>
      </c>
      <c r="K3" s="276" t="s">
        <v>843</v>
      </c>
      <c r="L3" s="1104"/>
      <c r="M3" s="759"/>
      <c r="N3" s="48" t="s">
        <v>379</v>
      </c>
      <c r="O3" s="32"/>
      <c r="P3" s="96" t="s">
        <v>425</v>
      </c>
      <c r="Q3" t="s">
        <v>2</v>
      </c>
      <c r="R3" t="s">
        <v>472</v>
      </c>
      <c r="S3" s="270"/>
      <c r="T3" s="271" t="s">
        <v>500</v>
      </c>
      <c r="U3" s="270"/>
      <c r="V3" s="419" t="s">
        <v>500</v>
      </c>
      <c r="X3" s="88" t="s">
        <v>663</v>
      </c>
      <c r="Y3" s="88" t="s">
        <v>664</v>
      </c>
      <c r="AA3" s="91">
        <f>'CF5 Order'!K19</f>
        <v>0</v>
      </c>
      <c r="AB3" s="91" t="b">
        <f t="shared" si="0"/>
        <v>0</v>
      </c>
      <c r="AC3" s="91" t="b">
        <f t="shared" si="1"/>
        <v>0</v>
      </c>
      <c r="AD3" s="91" t="b">
        <f t="shared" si="2"/>
        <v>0</v>
      </c>
      <c r="AE3" s="88">
        <v>0.25</v>
      </c>
    </row>
    <row r="4" spans="1:31" x14ac:dyDescent="0.25">
      <c r="A4" s="221" t="s">
        <v>497</v>
      </c>
      <c r="B4" s="70" t="s">
        <v>310</v>
      </c>
      <c r="C4" s="70" t="s">
        <v>465</v>
      </c>
      <c r="D4" s="70" t="s">
        <v>373</v>
      </c>
      <c r="E4" s="273" t="s">
        <v>473</v>
      </c>
      <c r="G4" s="430" t="s">
        <v>575</v>
      </c>
      <c r="H4" s="32"/>
      <c r="I4" s="221" t="s">
        <v>444</v>
      </c>
      <c r="J4" s="276" t="s">
        <v>836</v>
      </c>
      <c r="K4" s="276" t="s">
        <v>830</v>
      </c>
      <c r="L4" s="1104"/>
      <c r="M4" s="759"/>
      <c r="N4" s="66">
        <v>3.75</v>
      </c>
      <c r="O4" s="32"/>
      <c r="P4" s="96" t="s">
        <v>426</v>
      </c>
      <c r="Q4" t="s">
        <v>2</v>
      </c>
      <c r="R4" t="s">
        <v>472</v>
      </c>
      <c r="S4" s="270"/>
      <c r="T4" s="271" t="s">
        <v>469</v>
      </c>
      <c r="U4" s="270"/>
      <c r="V4" s="419" t="s">
        <v>469</v>
      </c>
      <c r="X4" s="88" t="s">
        <v>665</v>
      </c>
      <c r="Y4" s="88" t="s">
        <v>666</v>
      </c>
      <c r="Z4" t="s">
        <v>470</v>
      </c>
      <c r="AA4" s="91">
        <f>'CF5 Order'!K23</f>
        <v>0</v>
      </c>
      <c r="AB4" s="91" t="b">
        <f t="shared" si="0"/>
        <v>0</v>
      </c>
      <c r="AC4" s="91" t="b">
        <f t="shared" si="1"/>
        <v>0</v>
      </c>
      <c r="AD4" s="91" t="b">
        <f t="shared" si="2"/>
        <v>0</v>
      </c>
      <c r="AE4" s="88">
        <v>0.25</v>
      </c>
    </row>
    <row r="5" spans="1:31" x14ac:dyDescent="0.25">
      <c r="A5" s="221" t="s">
        <v>496</v>
      </c>
      <c r="B5" s="70" t="s">
        <v>23</v>
      </c>
      <c r="C5" s="70" t="s">
        <v>464</v>
      </c>
      <c r="D5" s="70" t="s">
        <v>373</v>
      </c>
      <c r="E5" s="273" t="s">
        <v>472</v>
      </c>
      <c r="G5" s="430" t="s">
        <v>504</v>
      </c>
      <c r="H5" s="32"/>
      <c r="I5" s="221"/>
      <c r="J5" s="276" t="s">
        <v>840</v>
      </c>
      <c r="K5" s="276"/>
      <c r="L5" s="1104"/>
      <c r="M5" s="759"/>
      <c r="O5" s="32"/>
      <c r="P5" s="394" t="s">
        <v>427</v>
      </c>
      <c r="Q5" t="s">
        <v>2</v>
      </c>
      <c r="R5" t="s">
        <v>472</v>
      </c>
      <c r="S5" s="270"/>
      <c r="T5" s="271" t="s">
        <v>471</v>
      </c>
      <c r="U5" s="270"/>
      <c r="V5" s="419" t="s">
        <v>471</v>
      </c>
      <c r="X5" s="396" t="s">
        <v>667</v>
      </c>
      <c r="Y5" s="396" t="s">
        <v>668</v>
      </c>
      <c r="Z5" t="s">
        <v>469</v>
      </c>
      <c r="AA5" s="91">
        <f>'CF5 Order'!K27</f>
        <v>0</v>
      </c>
      <c r="AB5" s="91" t="b">
        <f t="shared" si="0"/>
        <v>0</v>
      </c>
      <c r="AC5" s="91" t="b">
        <f t="shared" si="1"/>
        <v>0</v>
      </c>
      <c r="AD5" s="91" t="b">
        <f t="shared" si="2"/>
        <v>0</v>
      </c>
      <c r="AE5" s="88">
        <v>0.25</v>
      </c>
    </row>
    <row r="6" spans="1:31" ht="15" customHeight="1" x14ac:dyDescent="0.25">
      <c r="A6" s="221" t="s">
        <v>496</v>
      </c>
      <c r="B6" s="70" t="s">
        <v>311</v>
      </c>
      <c r="C6" s="70" t="s">
        <v>2</v>
      </c>
      <c r="D6" s="70" t="s">
        <v>373</v>
      </c>
      <c r="E6" s="273" t="s">
        <v>472</v>
      </c>
      <c r="G6" s="430" t="s">
        <v>505</v>
      </c>
      <c r="H6" s="32"/>
      <c r="I6" s="221"/>
      <c r="J6" s="276" t="s">
        <v>839</v>
      </c>
      <c r="K6" s="276"/>
      <c r="L6" s="1104"/>
      <c r="M6" s="759"/>
      <c r="O6" s="32"/>
      <c r="P6" s="295" t="s">
        <v>428</v>
      </c>
      <c r="R6" t="s">
        <v>669</v>
      </c>
      <c r="S6" s="270" t="s">
        <v>475</v>
      </c>
      <c r="T6" s="271" t="e">
        <f>VLOOKUP('CF Thermo'!B11,'Data Conversions'!P:R,3,FALSE)</f>
        <v>#N/A</v>
      </c>
      <c r="U6" s="270" t="s">
        <v>488</v>
      </c>
      <c r="V6" s="419" t="e">
        <f>VLOOKUP('CF5 Order'!L11,'Data Conversions'!B:E,4,FALSE)</f>
        <v>#N/A</v>
      </c>
      <c r="X6" s="88" t="s">
        <v>670</v>
      </c>
      <c r="Y6" s="88" t="s">
        <v>671</v>
      </c>
      <c r="Z6" t="s">
        <v>471</v>
      </c>
      <c r="AA6" s="91">
        <f>'CF5 Order'!K31</f>
        <v>0</v>
      </c>
      <c r="AB6" s="91" t="b">
        <f>IF(AA6="Butt Joint",0.0625, IF(AA6="Miter",0))</f>
        <v>0</v>
      </c>
      <c r="AC6" s="91" t="b">
        <f t="shared" si="1"/>
        <v>0</v>
      </c>
      <c r="AD6" s="91" t="b">
        <f t="shared" si="2"/>
        <v>0</v>
      </c>
      <c r="AE6" s="88">
        <v>0.25</v>
      </c>
    </row>
    <row r="7" spans="1:31" ht="15" customHeight="1" x14ac:dyDescent="0.25">
      <c r="A7" s="221" t="s">
        <v>496</v>
      </c>
      <c r="B7" s="70" t="s">
        <v>312</v>
      </c>
      <c r="C7" s="70" t="s">
        <v>17</v>
      </c>
      <c r="D7" s="70" t="s">
        <v>373</v>
      </c>
      <c r="E7" s="273" t="s">
        <v>472</v>
      </c>
      <c r="G7" s="430" t="s">
        <v>506</v>
      </c>
      <c r="H7" s="32"/>
      <c r="I7" s="221" t="s">
        <v>4</v>
      </c>
      <c r="J7" s="276"/>
      <c r="K7" s="276"/>
      <c r="L7" s="1104"/>
      <c r="M7" s="759"/>
      <c r="O7" s="32"/>
      <c r="P7" s="96" t="s">
        <v>429</v>
      </c>
      <c r="Q7" t="s">
        <v>468</v>
      </c>
      <c r="R7" t="s">
        <v>474</v>
      </c>
      <c r="S7" s="270"/>
      <c r="T7" s="271" t="s">
        <v>470</v>
      </c>
      <c r="U7" s="270"/>
      <c r="V7" s="419" t="s">
        <v>470</v>
      </c>
      <c r="X7" s="88" t="s">
        <v>672</v>
      </c>
      <c r="Y7" s="88" t="s">
        <v>673</v>
      </c>
      <c r="Z7" t="s">
        <v>500</v>
      </c>
      <c r="AA7" s="91">
        <f>'CF5 Order'!K35</f>
        <v>0</v>
      </c>
      <c r="AB7" s="91" t="b">
        <f t="shared" si="0"/>
        <v>0</v>
      </c>
      <c r="AC7" s="91" t="b">
        <f t="shared" si="1"/>
        <v>0</v>
      </c>
      <c r="AD7" s="91" t="b">
        <f t="shared" si="2"/>
        <v>0</v>
      </c>
      <c r="AE7" s="88">
        <v>0.25</v>
      </c>
    </row>
    <row r="8" spans="1:31" ht="15" customHeight="1" x14ac:dyDescent="0.25">
      <c r="A8" s="221" t="s">
        <v>497</v>
      </c>
      <c r="B8" s="70" t="s">
        <v>313</v>
      </c>
      <c r="C8" s="70" t="s">
        <v>465</v>
      </c>
      <c r="D8" s="70" t="s">
        <v>373</v>
      </c>
      <c r="E8" s="273" t="s">
        <v>473</v>
      </c>
      <c r="G8" s="430" t="s">
        <v>784</v>
      </c>
      <c r="H8" s="32"/>
      <c r="I8" s="221" t="s">
        <v>7</v>
      </c>
      <c r="J8" s="276" t="s">
        <v>901</v>
      </c>
      <c r="K8" s="276"/>
      <c r="L8" s="1219" t="s">
        <v>396</v>
      </c>
      <c r="M8" s="759"/>
      <c r="O8" s="32"/>
      <c r="P8" s="96" t="s">
        <v>421</v>
      </c>
      <c r="Q8" t="s">
        <v>2</v>
      </c>
      <c r="R8" t="s">
        <v>472</v>
      </c>
      <c r="S8" s="270"/>
      <c r="T8" s="271" t="s">
        <v>500</v>
      </c>
      <c r="U8" s="270"/>
      <c r="V8" s="419" t="s">
        <v>500</v>
      </c>
      <c r="X8" s="88" t="s">
        <v>674</v>
      </c>
      <c r="Y8" s="88" t="s">
        <v>675</v>
      </c>
      <c r="Z8" t="s">
        <v>565</v>
      </c>
      <c r="AA8" s="91">
        <f>'CF5 Order'!K39</f>
        <v>0</v>
      </c>
      <c r="AB8" s="91" t="b">
        <f t="shared" si="0"/>
        <v>0</v>
      </c>
      <c r="AC8" s="91" t="b">
        <f t="shared" si="1"/>
        <v>0</v>
      </c>
      <c r="AD8" s="91" t="b">
        <f t="shared" si="2"/>
        <v>0</v>
      </c>
      <c r="AE8" s="88">
        <v>0.25</v>
      </c>
    </row>
    <row r="9" spans="1:31" ht="15" customHeight="1" x14ac:dyDescent="0.25">
      <c r="A9" s="221" t="s">
        <v>498</v>
      </c>
      <c r="B9" s="70" t="s">
        <v>24</v>
      </c>
      <c r="C9" s="70" t="s">
        <v>17</v>
      </c>
      <c r="D9" s="70" t="s">
        <v>309</v>
      </c>
      <c r="E9" s="273" t="s">
        <v>474</v>
      </c>
      <c r="G9" s="430" t="s">
        <v>785</v>
      </c>
      <c r="H9" s="32"/>
      <c r="I9" s="221" t="s">
        <v>10</v>
      </c>
      <c r="J9" s="276" t="s">
        <v>595</v>
      </c>
      <c r="K9" s="276"/>
      <c r="L9" s="1220"/>
      <c r="M9" s="759"/>
      <c r="O9" s="32"/>
      <c r="P9" s="96" t="s">
        <v>422</v>
      </c>
      <c r="Q9" t="s">
        <v>17</v>
      </c>
      <c r="R9" t="s">
        <v>473</v>
      </c>
      <c r="S9" s="270"/>
      <c r="T9" s="271" t="s">
        <v>469</v>
      </c>
      <c r="U9" s="270"/>
      <c r="V9" s="419" t="s">
        <v>469</v>
      </c>
      <c r="X9" s="88" t="s">
        <v>676</v>
      </c>
      <c r="Y9" s="88" t="s">
        <v>677</v>
      </c>
      <c r="AA9" s="91">
        <f>'CF5 Order'!K43</f>
        <v>0</v>
      </c>
      <c r="AB9" s="91" t="b">
        <f t="shared" si="0"/>
        <v>0</v>
      </c>
      <c r="AC9" s="91" t="b">
        <f t="shared" si="1"/>
        <v>0</v>
      </c>
      <c r="AD9" s="91" t="b">
        <f t="shared" si="2"/>
        <v>0</v>
      </c>
      <c r="AE9" s="88">
        <v>0.25</v>
      </c>
    </row>
    <row r="10" spans="1:31" ht="15" customHeight="1" x14ac:dyDescent="0.25">
      <c r="A10" s="221" t="s">
        <v>498</v>
      </c>
      <c r="B10" s="70" t="s">
        <v>314</v>
      </c>
      <c r="C10" s="70" t="s">
        <v>17</v>
      </c>
      <c r="D10" s="70" t="s">
        <v>309</v>
      </c>
      <c r="E10" s="273" t="s">
        <v>474</v>
      </c>
      <c r="G10" s="430" t="s">
        <v>507</v>
      </c>
      <c r="H10" s="32"/>
      <c r="I10" s="221" t="s">
        <v>13</v>
      </c>
      <c r="J10" s="276" t="s">
        <v>597</v>
      </c>
      <c r="K10" s="276"/>
      <c r="L10" s="1220"/>
      <c r="M10" s="759"/>
      <c r="N10" s="48" t="s">
        <v>381</v>
      </c>
      <c r="O10" s="32"/>
      <c r="P10" s="96" t="s">
        <v>430</v>
      </c>
      <c r="Q10" t="s">
        <v>17</v>
      </c>
      <c r="R10" t="s">
        <v>473</v>
      </c>
      <c r="S10" s="270"/>
      <c r="T10" s="271" t="s">
        <v>471</v>
      </c>
      <c r="U10" s="270"/>
      <c r="V10" s="419" t="s">
        <v>471</v>
      </c>
      <c r="X10" s="88" t="s">
        <v>678</v>
      </c>
      <c r="Y10" s="88" t="s">
        <v>679</v>
      </c>
      <c r="AA10" s="397">
        <f>'CF5 Order'!K47</f>
        <v>0</v>
      </c>
      <c r="AB10" s="397" t="b">
        <f t="shared" si="0"/>
        <v>0</v>
      </c>
      <c r="AC10" s="91" t="b">
        <f t="shared" si="1"/>
        <v>0</v>
      </c>
      <c r="AD10" s="91" t="b">
        <f t="shared" si="2"/>
        <v>0</v>
      </c>
      <c r="AE10" s="88">
        <v>0.25</v>
      </c>
    </row>
    <row r="11" spans="1:31" ht="15" customHeight="1" x14ac:dyDescent="0.25">
      <c r="A11" s="221" t="s">
        <v>496</v>
      </c>
      <c r="B11" s="70" t="s">
        <v>315</v>
      </c>
      <c r="C11" s="70" t="s">
        <v>464</v>
      </c>
      <c r="D11" s="70" t="s">
        <v>373</v>
      </c>
      <c r="E11" s="273" t="s">
        <v>472</v>
      </c>
      <c r="G11" s="430" t="s">
        <v>786</v>
      </c>
      <c r="H11" s="32"/>
      <c r="I11" s="221" t="s">
        <v>16</v>
      </c>
      <c r="J11" s="276"/>
      <c r="K11" s="276"/>
      <c r="L11" s="1220"/>
      <c r="M11" s="759"/>
      <c r="N11" s="66">
        <v>5.25</v>
      </c>
      <c r="O11" s="32"/>
      <c r="P11" s="96" t="s">
        <v>431</v>
      </c>
      <c r="Q11" t="s">
        <v>17</v>
      </c>
      <c r="R11" t="s">
        <v>473</v>
      </c>
      <c r="S11" s="270" t="s">
        <v>476</v>
      </c>
      <c r="T11" s="271" t="e">
        <f>VLOOKUP('CF Thermo'!B15,'Data Conversions'!P:R,3,FALSE)</f>
        <v>#N/A</v>
      </c>
      <c r="U11" s="270" t="s">
        <v>487</v>
      </c>
      <c r="V11" s="419" t="e">
        <f>VLOOKUP('CF5 Order'!L15,'Data Conversions'!B:E,4,FALSE)</f>
        <v>#N/A</v>
      </c>
      <c r="X11" s="88" t="s">
        <v>680</v>
      </c>
      <c r="Y11" s="88" t="s">
        <v>681</v>
      </c>
      <c r="AA11" s="375"/>
      <c r="AB11" s="375"/>
    </row>
    <row r="12" spans="1:31" ht="15" customHeight="1" x14ac:dyDescent="0.25">
      <c r="A12" s="221" t="s">
        <v>497</v>
      </c>
      <c r="B12" s="70" t="s">
        <v>316</v>
      </c>
      <c r="C12" s="70" t="s">
        <v>465</v>
      </c>
      <c r="D12" s="70" t="s">
        <v>373</v>
      </c>
      <c r="E12" s="273" t="s">
        <v>473</v>
      </c>
      <c r="G12" s="430" t="s">
        <v>508</v>
      </c>
      <c r="H12" s="32"/>
      <c r="I12" s="221" t="s">
        <v>456</v>
      </c>
      <c r="J12" s="276" t="s">
        <v>892</v>
      </c>
      <c r="K12" s="276"/>
      <c r="L12" s="1220"/>
      <c r="M12" s="759"/>
      <c r="O12" s="32"/>
      <c r="P12" s="96" t="s">
        <v>432</v>
      </c>
      <c r="Q12" t="s">
        <v>2</v>
      </c>
      <c r="R12" t="s">
        <v>472</v>
      </c>
      <c r="S12" s="270"/>
      <c r="T12" s="271" t="s">
        <v>470</v>
      </c>
      <c r="U12" s="270"/>
      <c r="V12" s="419" t="s">
        <v>470</v>
      </c>
      <c r="X12" s="88" t="s">
        <v>682</v>
      </c>
      <c r="Y12" s="88" t="s">
        <v>683</v>
      </c>
    </row>
    <row r="13" spans="1:31" ht="15" customHeight="1" x14ac:dyDescent="0.25">
      <c r="A13" s="221" t="s">
        <v>497</v>
      </c>
      <c r="B13" s="70" t="s">
        <v>317</v>
      </c>
      <c r="C13" s="70" t="s">
        <v>465</v>
      </c>
      <c r="D13" s="70" t="s">
        <v>373</v>
      </c>
      <c r="E13" s="273" t="s">
        <v>473</v>
      </c>
      <c r="G13" s="430" t="s">
        <v>509</v>
      </c>
      <c r="H13" s="32"/>
      <c r="I13" s="221" t="s">
        <v>18</v>
      </c>
      <c r="J13" s="276" t="s">
        <v>902</v>
      </c>
      <c r="K13" s="276"/>
      <c r="L13" s="1220"/>
      <c r="M13" s="759"/>
      <c r="P13" s="394" t="s">
        <v>433</v>
      </c>
      <c r="Q13" t="s">
        <v>2</v>
      </c>
      <c r="R13" t="s">
        <v>472</v>
      </c>
      <c r="S13" s="270"/>
      <c r="T13" s="271" t="s">
        <v>500</v>
      </c>
      <c r="U13" s="270"/>
      <c r="V13" s="419" t="s">
        <v>500</v>
      </c>
      <c r="X13" s="88" t="s">
        <v>684</v>
      </c>
      <c r="Y13" s="88" t="s">
        <v>685</v>
      </c>
    </row>
    <row r="14" spans="1:31" ht="15" customHeight="1" x14ac:dyDescent="0.25">
      <c r="A14" s="221" t="s">
        <v>496</v>
      </c>
      <c r="B14" s="70" t="s">
        <v>318</v>
      </c>
      <c r="C14" s="70" t="s">
        <v>465</v>
      </c>
      <c r="D14" s="70" t="s">
        <v>309</v>
      </c>
      <c r="E14" s="273" t="s">
        <v>472</v>
      </c>
      <c r="G14" s="430" t="s">
        <v>510</v>
      </c>
      <c r="H14" s="32"/>
      <c r="I14" s="221" t="s">
        <v>11</v>
      </c>
      <c r="J14" s="276" t="s">
        <v>903</v>
      </c>
      <c r="K14" s="276"/>
      <c r="L14" s="1219" t="s">
        <v>397</v>
      </c>
      <c r="M14" s="1221"/>
      <c r="P14" t="s">
        <v>434</v>
      </c>
      <c r="Q14" t="s">
        <v>468</v>
      </c>
      <c r="R14" t="s">
        <v>474</v>
      </c>
      <c r="S14" s="270"/>
      <c r="T14" s="271" t="s">
        <v>469</v>
      </c>
      <c r="U14" s="270"/>
      <c r="V14" s="419" t="s">
        <v>469</v>
      </c>
      <c r="X14" s="88" t="s">
        <v>686</v>
      </c>
      <c r="Y14" s="88" t="s">
        <v>687</v>
      </c>
    </row>
    <row r="15" spans="1:31" ht="15" customHeight="1" x14ac:dyDescent="0.25">
      <c r="A15" s="221" t="s">
        <v>496</v>
      </c>
      <c r="B15" s="70" t="s">
        <v>319</v>
      </c>
      <c r="C15" s="70" t="s">
        <v>465</v>
      </c>
      <c r="D15" s="70" t="s">
        <v>309</v>
      </c>
      <c r="E15" s="273" t="s">
        <v>472</v>
      </c>
      <c r="G15" s="430" t="s">
        <v>511</v>
      </c>
      <c r="H15" s="32"/>
      <c r="I15" s="2" t="s">
        <v>860</v>
      </c>
      <c r="J15" s="273" t="s">
        <v>891</v>
      </c>
      <c r="K15" s="276"/>
      <c r="L15" s="1220"/>
      <c r="M15" s="759"/>
      <c r="P15" s="96" t="s">
        <v>423</v>
      </c>
      <c r="Q15" t="s">
        <v>17</v>
      </c>
      <c r="R15" t="s">
        <v>473</v>
      </c>
      <c r="S15" s="270"/>
      <c r="T15" s="271" t="s">
        <v>471</v>
      </c>
      <c r="U15" s="270"/>
      <c r="V15" s="419" t="s">
        <v>471</v>
      </c>
      <c r="X15" s="88" t="s">
        <v>688</v>
      </c>
      <c r="Y15" s="88" t="s">
        <v>689</v>
      </c>
    </row>
    <row r="16" spans="1:31" ht="15" customHeight="1" x14ac:dyDescent="0.25">
      <c r="A16" s="221" t="s">
        <v>496</v>
      </c>
      <c r="B16" s="70" t="s">
        <v>320</v>
      </c>
      <c r="C16" s="70" t="s">
        <v>17</v>
      </c>
      <c r="D16" s="70" t="s">
        <v>309</v>
      </c>
      <c r="E16" s="273" t="s">
        <v>472</v>
      </c>
      <c r="G16" s="430" t="s">
        <v>512</v>
      </c>
      <c r="H16" s="32"/>
      <c r="I16" s="2" t="s">
        <v>861</v>
      </c>
      <c r="J16"/>
      <c r="K16" s="276"/>
      <c r="L16" s="1220"/>
      <c r="M16" s="759"/>
      <c r="N16" s="48" t="s">
        <v>380</v>
      </c>
      <c r="P16" t="s">
        <v>435</v>
      </c>
      <c r="Q16" t="s">
        <v>2</v>
      </c>
      <c r="R16" t="s">
        <v>472</v>
      </c>
      <c r="S16" s="270" t="s">
        <v>477</v>
      </c>
      <c r="T16" s="271" t="e">
        <f>VLOOKUP('CF Thermo'!B19,'Data Conversions'!P:R,3,FALSE)</f>
        <v>#N/A</v>
      </c>
      <c r="U16" s="270" t="s">
        <v>489</v>
      </c>
      <c r="V16" s="419" t="e">
        <f>VLOOKUP('CF5 Order'!L19,'Data Conversions'!B:E,4,FALSE)</f>
        <v>#N/A</v>
      </c>
      <c r="X16" s="88" t="s">
        <v>690</v>
      </c>
      <c r="Y16" s="88" t="s">
        <v>691</v>
      </c>
    </row>
    <row r="17" spans="1:33" ht="15" customHeight="1" x14ac:dyDescent="0.25">
      <c r="A17" s="221" t="s">
        <v>496</v>
      </c>
      <c r="B17" s="294" t="s">
        <v>321</v>
      </c>
      <c r="C17" s="294" t="s">
        <v>464</v>
      </c>
      <c r="D17" s="70" t="s">
        <v>373</v>
      </c>
      <c r="E17" s="273" t="s">
        <v>472</v>
      </c>
      <c r="G17" s="430" t="s">
        <v>513</v>
      </c>
      <c r="H17" s="32"/>
      <c r="I17" s="221"/>
      <c r="J17" s="276" t="s">
        <v>893</v>
      </c>
      <c r="K17" s="276"/>
      <c r="L17" s="1220"/>
      <c r="M17" s="759"/>
      <c r="N17" s="66">
        <v>4.25</v>
      </c>
      <c r="O17" s="32"/>
      <c r="P17" t="s">
        <v>436</v>
      </c>
      <c r="Q17" t="s">
        <v>468</v>
      </c>
      <c r="R17" t="s">
        <v>474</v>
      </c>
      <c r="S17" s="270"/>
      <c r="T17" s="271" t="s">
        <v>470</v>
      </c>
      <c r="U17" s="270"/>
      <c r="V17" s="419" t="s">
        <v>470</v>
      </c>
      <c r="X17" s="88" t="s">
        <v>692</v>
      </c>
      <c r="Y17" s="88" t="s">
        <v>693</v>
      </c>
    </row>
    <row r="18" spans="1:33" ht="15" customHeight="1" x14ac:dyDescent="0.25">
      <c r="A18" s="221" t="s">
        <v>497</v>
      </c>
      <c r="B18" s="70" t="s">
        <v>322</v>
      </c>
      <c r="C18" s="70" t="s">
        <v>17</v>
      </c>
      <c r="D18" s="70" t="s">
        <v>309</v>
      </c>
      <c r="E18" s="273" t="s">
        <v>473</v>
      </c>
      <c r="G18" s="430" t="s">
        <v>514</v>
      </c>
      <c r="H18" s="32"/>
      <c r="I18" s="221"/>
      <c r="J18" s="220" t="s">
        <v>905</v>
      </c>
      <c r="K18" s="277"/>
      <c r="L18" s="1220"/>
      <c r="M18" s="759"/>
      <c r="O18" s="32"/>
      <c r="P18" t="s">
        <v>437</v>
      </c>
      <c r="Q18" t="s">
        <v>468</v>
      </c>
      <c r="R18" t="s">
        <v>474</v>
      </c>
      <c r="S18" s="270"/>
      <c r="T18" s="271" t="s">
        <v>500</v>
      </c>
      <c r="U18" s="270"/>
      <c r="V18" s="419" t="s">
        <v>500</v>
      </c>
      <c r="X18" s="88" t="s">
        <v>694</v>
      </c>
      <c r="Y18" s="88" t="s">
        <v>695</v>
      </c>
    </row>
    <row r="19" spans="1:33" ht="15" customHeight="1" x14ac:dyDescent="0.25">
      <c r="A19" s="221" t="s">
        <v>497</v>
      </c>
      <c r="B19" s="70" t="s">
        <v>323</v>
      </c>
      <c r="C19" s="70" t="s">
        <v>465</v>
      </c>
      <c r="D19" s="70" t="s">
        <v>373</v>
      </c>
      <c r="E19" s="273" t="s">
        <v>473</v>
      </c>
      <c r="G19" s="430" t="s">
        <v>515</v>
      </c>
      <c r="H19" s="32"/>
      <c r="I19" s="221"/>
      <c r="J19" s="220" t="s">
        <v>85</v>
      </c>
      <c r="K19" s="277"/>
      <c r="L19" s="1220"/>
      <c r="M19" s="759"/>
      <c r="O19" s="32"/>
      <c r="P19" t="s">
        <v>438</v>
      </c>
      <c r="Q19" t="s">
        <v>17</v>
      </c>
      <c r="R19" t="s">
        <v>473</v>
      </c>
      <c r="S19" s="270"/>
      <c r="T19" s="271" t="s">
        <v>469</v>
      </c>
      <c r="U19" s="270"/>
      <c r="V19" s="419" t="s">
        <v>469</v>
      </c>
      <c r="X19" s="88" t="s">
        <v>696</v>
      </c>
      <c r="Y19" s="88" t="s">
        <v>697</v>
      </c>
    </row>
    <row r="20" spans="1:33" ht="15" customHeight="1" x14ac:dyDescent="0.25">
      <c r="A20" s="221" t="s">
        <v>496</v>
      </c>
      <c r="B20" s="70" t="s">
        <v>400</v>
      </c>
      <c r="C20" s="70" t="s">
        <v>463</v>
      </c>
      <c r="D20" s="70" t="s">
        <v>373</v>
      </c>
      <c r="E20" s="273" t="s">
        <v>472</v>
      </c>
      <c r="G20" s="430" t="s">
        <v>516</v>
      </c>
      <c r="H20" s="32"/>
      <c r="I20" s="70" t="s">
        <v>442</v>
      </c>
      <c r="J20" s="220" t="s">
        <v>906</v>
      </c>
      <c r="K20" s="277"/>
      <c r="L20" s="1220"/>
      <c r="M20" s="759"/>
      <c r="O20" s="32"/>
      <c r="P20" s="296" t="s">
        <v>439</v>
      </c>
      <c r="R20" t="s">
        <v>669</v>
      </c>
      <c r="S20" s="270"/>
      <c r="T20" s="271" t="s">
        <v>471</v>
      </c>
      <c r="U20" s="270"/>
      <c r="V20" s="419" t="s">
        <v>471</v>
      </c>
      <c r="X20" s="88" t="s">
        <v>698</v>
      </c>
      <c r="Y20" s="88" t="s">
        <v>699</v>
      </c>
      <c r="AD20" s="398"/>
      <c r="AE20" s="398"/>
      <c r="AF20" s="398"/>
      <c r="AG20" s="398"/>
    </row>
    <row r="21" spans="1:33" ht="15" customHeight="1" x14ac:dyDescent="0.25">
      <c r="A21" s="221" t="s">
        <v>496</v>
      </c>
      <c r="B21" s="70" t="s">
        <v>401</v>
      </c>
      <c r="C21" s="70" t="s">
        <v>463</v>
      </c>
      <c r="D21" s="70" t="s">
        <v>373</v>
      </c>
      <c r="E21" s="273" t="s">
        <v>472</v>
      </c>
      <c r="G21" s="431" t="s">
        <v>517</v>
      </c>
      <c r="H21" s="32"/>
      <c r="I21" s="70" t="s">
        <v>443</v>
      </c>
      <c r="J21" s="220" t="s">
        <v>597</v>
      </c>
      <c r="K21" s="277"/>
      <c r="L21" s="1219">
        <f>'CF Thermo'!B2</f>
        <v>0</v>
      </c>
      <c r="M21" s="1222">
        <f>IF(L21="Narrow Shaker",3.75, IF(L21="Contemporary Shaker",4.25, IF(L21="Wide Shaker",5.25, )))</f>
        <v>0</v>
      </c>
      <c r="O21" s="32"/>
      <c r="P21" t="s">
        <v>440</v>
      </c>
      <c r="Q21" t="s">
        <v>2</v>
      </c>
      <c r="R21" t="s">
        <v>472</v>
      </c>
      <c r="S21" s="270" t="s">
        <v>478</v>
      </c>
      <c r="T21" s="271" t="e">
        <f>VLOOKUP('CF Thermo'!B23,'Data Conversions'!P:R,3,FALSE)</f>
        <v>#N/A</v>
      </c>
      <c r="U21" s="270" t="s">
        <v>486</v>
      </c>
      <c r="V21" s="419" t="e">
        <f>VLOOKUP('CF5 Order'!L23,'Data Conversions'!B:E,4,FALSE)</f>
        <v>#N/A</v>
      </c>
      <c r="X21" s="88" t="s">
        <v>700</v>
      </c>
      <c r="Y21" s="88" t="s">
        <v>701</v>
      </c>
      <c r="AD21" s="398"/>
      <c r="AE21" s="398"/>
      <c r="AF21" s="398"/>
      <c r="AG21" s="398"/>
    </row>
    <row r="22" spans="1:33" ht="15" customHeight="1" x14ac:dyDescent="0.25">
      <c r="A22" s="221" t="s">
        <v>496</v>
      </c>
      <c r="B22" s="70" t="s">
        <v>402</v>
      </c>
      <c r="C22" s="70" t="s">
        <v>463</v>
      </c>
      <c r="D22" s="70" t="s">
        <v>373</v>
      </c>
      <c r="E22" s="273" t="s">
        <v>472</v>
      </c>
      <c r="G22" s="430" t="s">
        <v>518</v>
      </c>
      <c r="H22" s="32"/>
      <c r="I22" s="70" t="s">
        <v>499</v>
      </c>
      <c r="J22" s="220" t="s">
        <v>904</v>
      </c>
      <c r="K22" s="277"/>
      <c r="L22" s="1220"/>
      <c r="M22" s="1099"/>
      <c r="O22" s="32"/>
      <c r="S22" s="270"/>
      <c r="T22" s="271" t="s">
        <v>470</v>
      </c>
      <c r="U22" s="270"/>
      <c r="V22" s="419" t="s">
        <v>470</v>
      </c>
      <c r="X22" s="88" t="s">
        <v>702</v>
      </c>
      <c r="Y22" s="88" t="s">
        <v>703</v>
      </c>
      <c r="AD22" s="398"/>
      <c r="AE22" s="398"/>
      <c r="AF22" s="398"/>
      <c r="AG22" s="398"/>
    </row>
    <row r="23" spans="1:33" ht="15" customHeight="1" x14ac:dyDescent="0.25">
      <c r="A23" s="221" t="s">
        <v>496</v>
      </c>
      <c r="B23" s="70" t="s">
        <v>403</v>
      </c>
      <c r="C23" s="70" t="s">
        <v>463</v>
      </c>
      <c r="D23" s="70" t="s">
        <v>373</v>
      </c>
      <c r="E23" s="273" t="s">
        <v>472</v>
      </c>
      <c r="G23" s="430" t="s">
        <v>519</v>
      </c>
      <c r="H23" s="32"/>
      <c r="I23" s="70" t="s">
        <v>441</v>
      </c>
      <c r="J23" s="220"/>
      <c r="K23" s="277"/>
      <c r="L23" s="1220"/>
      <c r="M23" s="1099"/>
      <c r="O23" s="32"/>
      <c r="S23" s="270"/>
      <c r="T23" s="271" t="s">
        <v>500</v>
      </c>
      <c r="U23" s="270"/>
      <c r="V23" s="419" t="s">
        <v>500</v>
      </c>
      <c r="X23" s="88" t="s">
        <v>704</v>
      </c>
      <c r="Y23" s="88" t="s">
        <v>705</v>
      </c>
    </row>
    <row r="24" spans="1:33" ht="15" customHeight="1" x14ac:dyDescent="0.25">
      <c r="A24" s="221" t="s">
        <v>496</v>
      </c>
      <c r="B24" s="70" t="s">
        <v>404</v>
      </c>
      <c r="C24" s="70" t="s">
        <v>463</v>
      </c>
      <c r="D24" s="70" t="s">
        <v>373</v>
      </c>
      <c r="E24" s="273" t="s">
        <v>472</v>
      </c>
      <c r="G24" s="430" t="s">
        <v>520</v>
      </c>
      <c r="H24" s="32"/>
      <c r="I24" s="221"/>
      <c r="J24" s="220" t="s">
        <v>656</v>
      </c>
      <c r="K24" s="277">
        <v>492</v>
      </c>
      <c r="L24" s="1220"/>
      <c r="M24" s="1099"/>
      <c r="O24" s="32"/>
      <c r="S24" s="270"/>
      <c r="T24" s="271" t="s">
        <v>469</v>
      </c>
      <c r="U24" s="270"/>
      <c r="V24" s="419" t="s">
        <v>469</v>
      </c>
      <c r="X24" s="88" t="s">
        <v>706</v>
      </c>
      <c r="Y24" s="88" t="s">
        <v>707</v>
      </c>
    </row>
    <row r="25" spans="1:33" ht="15" customHeight="1" x14ac:dyDescent="0.25">
      <c r="A25" s="221" t="s">
        <v>496</v>
      </c>
      <c r="B25" s="70" t="s">
        <v>405</v>
      </c>
      <c r="C25" s="70" t="s">
        <v>463</v>
      </c>
      <c r="D25" s="70" t="s">
        <v>373</v>
      </c>
      <c r="E25" s="273" t="s">
        <v>472</v>
      </c>
      <c r="G25" s="430" t="s">
        <v>521</v>
      </c>
      <c r="H25" s="32"/>
      <c r="I25" s="221"/>
      <c r="J25" s="220" t="s">
        <v>576</v>
      </c>
      <c r="K25" s="277">
        <v>387</v>
      </c>
      <c r="L25" s="1220"/>
      <c r="M25" s="1099"/>
      <c r="O25" s="32"/>
      <c r="S25" s="270"/>
      <c r="T25" s="271" t="s">
        <v>471</v>
      </c>
      <c r="U25" s="270"/>
      <c r="V25" s="419" t="s">
        <v>471</v>
      </c>
      <c r="X25" s="88" t="s">
        <v>708</v>
      </c>
      <c r="Y25" s="88" t="s">
        <v>709</v>
      </c>
    </row>
    <row r="26" spans="1:33" ht="15" customHeight="1" x14ac:dyDescent="0.25">
      <c r="A26" s="221" t="s">
        <v>497</v>
      </c>
      <c r="B26" s="294" t="s">
        <v>324</v>
      </c>
      <c r="C26" s="294" t="s">
        <v>17</v>
      </c>
      <c r="D26" s="70" t="s">
        <v>309</v>
      </c>
      <c r="E26" s="273" t="s">
        <v>473</v>
      </c>
      <c r="G26" s="430" t="s">
        <v>522</v>
      </c>
      <c r="H26" s="32"/>
      <c r="I26" s="221"/>
      <c r="J26" s="220" t="s">
        <v>577</v>
      </c>
      <c r="K26" s="277">
        <v>490</v>
      </c>
      <c r="L26" s="1220"/>
      <c r="M26" s="1099"/>
      <c r="O26" s="32"/>
      <c r="P26" s="394"/>
      <c r="S26" s="270" t="s">
        <v>479</v>
      </c>
      <c r="T26" s="271" t="e">
        <f>VLOOKUP('CF Thermo'!B27,'Data Conversions'!P:R,3,FALSE)</f>
        <v>#N/A</v>
      </c>
      <c r="U26" s="270" t="s">
        <v>490</v>
      </c>
      <c r="V26" s="419" t="e">
        <f>VLOOKUP('CF5 Order'!L27,'Data Conversions'!B:E,4,FALSE)</f>
        <v>#N/A</v>
      </c>
      <c r="X26" s="88" t="s">
        <v>710</v>
      </c>
      <c r="Y26" s="88" t="s">
        <v>711</v>
      </c>
    </row>
    <row r="27" spans="1:33" ht="15" customHeight="1" x14ac:dyDescent="0.25">
      <c r="A27" s="221" t="s">
        <v>496</v>
      </c>
      <c r="B27" s="70" t="s">
        <v>325</v>
      </c>
      <c r="C27" s="70" t="s">
        <v>465</v>
      </c>
      <c r="D27" s="70" t="s">
        <v>309</v>
      </c>
      <c r="E27" s="273" t="s">
        <v>472</v>
      </c>
      <c r="G27" s="430" t="s">
        <v>523</v>
      </c>
      <c r="H27" s="32"/>
      <c r="I27" s="221"/>
      <c r="J27" s="220"/>
      <c r="K27" s="277"/>
      <c r="L27" s="1220"/>
      <c r="M27" s="1099"/>
      <c r="O27" s="32"/>
      <c r="P27" s="394"/>
      <c r="S27" s="270"/>
      <c r="T27" s="271" t="s">
        <v>470</v>
      </c>
      <c r="U27" s="270"/>
      <c r="V27" s="419" t="s">
        <v>470</v>
      </c>
      <c r="X27" s="88" t="s">
        <v>712</v>
      </c>
      <c r="Y27" s="88" t="s">
        <v>713</v>
      </c>
    </row>
    <row r="28" spans="1:33" ht="15" customHeight="1" x14ac:dyDescent="0.25">
      <c r="A28" s="221" t="s">
        <v>496</v>
      </c>
      <c r="B28" s="70" t="s">
        <v>326</v>
      </c>
      <c r="C28" s="70" t="s">
        <v>464</v>
      </c>
      <c r="D28" s="70" t="s">
        <v>309</v>
      </c>
      <c r="E28" s="273" t="s">
        <v>472</v>
      </c>
      <c r="G28" s="430" t="s">
        <v>524</v>
      </c>
      <c r="H28" s="32"/>
      <c r="I28" s="221"/>
      <c r="J28" s="220"/>
      <c r="K28" s="277"/>
      <c r="L28" s="32"/>
      <c r="M28" s="32"/>
      <c r="N28" s="32"/>
      <c r="O28" s="32"/>
      <c r="P28" s="394"/>
      <c r="S28" s="270"/>
      <c r="T28" s="271" t="s">
        <v>500</v>
      </c>
      <c r="U28" s="270"/>
      <c r="V28" s="419" t="s">
        <v>500</v>
      </c>
      <c r="X28" s="88" t="s">
        <v>714</v>
      </c>
      <c r="Y28" s="88" t="s">
        <v>715</v>
      </c>
    </row>
    <row r="29" spans="1:33" ht="15" customHeight="1" x14ac:dyDescent="0.25">
      <c r="A29" s="221" t="s">
        <v>497</v>
      </c>
      <c r="B29" s="70" t="s">
        <v>327</v>
      </c>
      <c r="C29" s="70" t="s">
        <v>17</v>
      </c>
      <c r="D29" s="70" t="s">
        <v>309</v>
      </c>
      <c r="E29" s="273" t="s">
        <v>473</v>
      </c>
      <c r="G29" s="430" t="s">
        <v>525</v>
      </c>
      <c r="H29" s="32"/>
      <c r="I29" s="221" t="s">
        <v>454</v>
      </c>
      <c r="J29" s="220"/>
      <c r="K29" s="277"/>
      <c r="L29" s="32"/>
      <c r="M29" s="32"/>
      <c r="N29" s="32"/>
      <c r="O29" s="32"/>
      <c r="P29" s="394"/>
      <c r="S29" s="270"/>
      <c r="T29" s="271" t="s">
        <v>469</v>
      </c>
      <c r="U29" s="270"/>
      <c r="V29" s="419" t="s">
        <v>469</v>
      </c>
      <c r="X29" s="88" t="s">
        <v>716</v>
      </c>
      <c r="Y29" s="88" t="s">
        <v>717</v>
      </c>
    </row>
    <row r="30" spans="1:33" ht="15" customHeight="1" x14ac:dyDescent="0.25">
      <c r="A30" s="221" t="s">
        <v>496</v>
      </c>
      <c r="B30" s="70" t="s">
        <v>328</v>
      </c>
      <c r="C30" s="70" t="s">
        <v>2</v>
      </c>
      <c r="D30" s="70" t="s">
        <v>309</v>
      </c>
      <c r="E30" s="273" t="s">
        <v>472</v>
      </c>
      <c r="G30" s="431" t="s">
        <v>526</v>
      </c>
      <c r="H30" s="32"/>
      <c r="I30" s="221" t="s">
        <v>455</v>
      </c>
      <c r="J30" s="220"/>
      <c r="K30" s="277"/>
      <c r="L30" s="297" t="s">
        <v>568</v>
      </c>
      <c r="M30" s="273" t="s">
        <v>844</v>
      </c>
      <c r="N30" s="32"/>
      <c r="O30" s="32"/>
      <c r="P30" s="394"/>
      <c r="S30" s="270"/>
      <c r="T30" s="271" t="s">
        <v>471</v>
      </c>
      <c r="U30" s="270"/>
      <c r="V30" s="419" t="s">
        <v>471</v>
      </c>
      <c r="X30" s="88" t="s">
        <v>718</v>
      </c>
      <c r="Y30" s="88" t="s">
        <v>719</v>
      </c>
    </row>
    <row r="31" spans="1:33" ht="15" customHeight="1" x14ac:dyDescent="0.25">
      <c r="A31" s="221" t="s">
        <v>498</v>
      </c>
      <c r="B31" s="70" t="s">
        <v>329</v>
      </c>
      <c r="C31" s="70" t="s">
        <v>17</v>
      </c>
      <c r="D31" s="70" t="s">
        <v>309</v>
      </c>
      <c r="E31" s="273" t="s">
        <v>474</v>
      </c>
      <c r="G31" s="431" t="s">
        <v>527</v>
      </c>
      <c r="H31" s="32"/>
      <c r="I31" s="221" t="s">
        <v>11</v>
      </c>
      <c r="J31" s="220"/>
      <c r="K31" s="277"/>
      <c r="L31" s="297" t="s">
        <v>17</v>
      </c>
      <c r="M31" s="273" t="s">
        <v>845</v>
      </c>
      <c r="N31" s="32"/>
      <c r="O31" s="32"/>
      <c r="P31" s="394"/>
      <c r="S31" s="270" t="s">
        <v>480</v>
      </c>
      <c r="T31" s="271" t="e">
        <f>VLOOKUP('CF Thermo'!B31,'Data Conversions'!P:R,3,FALSE)</f>
        <v>#N/A</v>
      </c>
      <c r="U31" s="270" t="s">
        <v>491</v>
      </c>
      <c r="V31" s="419" t="e">
        <f>VLOOKUP('CF5 Order'!L31,'Data Conversions'!B:E,4,FALSE)</f>
        <v>#N/A</v>
      </c>
      <c r="X31" s="88" t="s">
        <v>720</v>
      </c>
      <c r="Y31" s="88" t="s">
        <v>721</v>
      </c>
    </row>
    <row r="32" spans="1:33" ht="15" customHeight="1" x14ac:dyDescent="0.25">
      <c r="A32" s="70" t="s">
        <v>498</v>
      </c>
      <c r="B32" s="70" t="s">
        <v>656</v>
      </c>
      <c r="C32" s="70" t="s">
        <v>17</v>
      </c>
      <c r="D32" s="70" t="s">
        <v>309</v>
      </c>
      <c r="E32" s="273" t="s">
        <v>474</v>
      </c>
      <c r="G32" s="430" t="s">
        <v>528</v>
      </c>
      <c r="H32" s="32"/>
      <c r="I32" s="221"/>
      <c r="J32" s="220"/>
      <c r="K32" s="277"/>
      <c r="L32" s="297" t="s">
        <v>569</v>
      </c>
      <c r="M32" s="273" t="s">
        <v>846</v>
      </c>
      <c r="N32" s="32"/>
      <c r="O32" s="32"/>
      <c r="P32" s="394"/>
      <c r="S32" s="270"/>
      <c r="T32" s="271" t="s">
        <v>470</v>
      </c>
      <c r="U32" s="270"/>
      <c r="V32" s="419" t="s">
        <v>470</v>
      </c>
      <c r="X32" s="88" t="s">
        <v>722</v>
      </c>
      <c r="Y32" s="88" t="s">
        <v>723</v>
      </c>
    </row>
    <row r="33" spans="1:25" ht="15" customHeight="1" x14ac:dyDescent="0.25">
      <c r="A33" s="221" t="s">
        <v>498</v>
      </c>
      <c r="B33" s="70" t="s">
        <v>330</v>
      </c>
      <c r="C33" s="70" t="s">
        <v>465</v>
      </c>
      <c r="D33" s="70" t="s">
        <v>309</v>
      </c>
      <c r="E33" s="273" t="s">
        <v>474</v>
      </c>
      <c r="G33" s="431" t="s">
        <v>529</v>
      </c>
      <c r="H33" s="32"/>
      <c r="I33" s="221"/>
      <c r="J33" s="220"/>
      <c r="K33" s="277"/>
      <c r="L33" s="297" t="s">
        <v>570</v>
      </c>
      <c r="M33" s="273" t="s">
        <v>847</v>
      </c>
      <c r="N33" s="32"/>
      <c r="O33" s="32"/>
      <c r="P33" s="394"/>
      <c r="S33" s="270"/>
      <c r="T33" s="271" t="s">
        <v>500</v>
      </c>
      <c r="U33" s="270"/>
      <c r="V33" s="419" t="s">
        <v>500</v>
      </c>
      <c r="X33" s="88" t="s">
        <v>724</v>
      </c>
      <c r="Y33" s="88" t="s">
        <v>725</v>
      </c>
    </row>
    <row r="34" spans="1:25" ht="15" customHeight="1" x14ac:dyDescent="0.25">
      <c r="A34" s="221" t="s">
        <v>497</v>
      </c>
      <c r="B34" s="70" t="s">
        <v>331</v>
      </c>
      <c r="C34" s="70" t="s">
        <v>465</v>
      </c>
      <c r="D34" s="70" t="s">
        <v>309</v>
      </c>
      <c r="E34" s="273" t="s">
        <v>473</v>
      </c>
      <c r="G34" s="430" t="s">
        <v>530</v>
      </c>
      <c r="H34" s="32"/>
      <c r="I34" s="221"/>
      <c r="J34" s="220"/>
      <c r="K34" s="277"/>
      <c r="L34" s="297" t="s">
        <v>567</v>
      </c>
      <c r="M34" s="273" t="s">
        <v>848</v>
      </c>
      <c r="N34" s="32"/>
      <c r="O34" s="32"/>
      <c r="P34" s="394"/>
      <c r="S34" s="270"/>
      <c r="T34" s="271" t="s">
        <v>469</v>
      </c>
      <c r="U34" s="270"/>
      <c r="V34" s="419" t="s">
        <v>469</v>
      </c>
      <c r="X34" s="88" t="s">
        <v>726</v>
      </c>
      <c r="Y34" s="88" t="s">
        <v>727</v>
      </c>
    </row>
    <row r="35" spans="1:25" ht="15" customHeight="1" x14ac:dyDescent="0.25">
      <c r="A35" s="221" t="s">
        <v>496</v>
      </c>
      <c r="B35" s="70" t="s">
        <v>332</v>
      </c>
      <c r="C35" s="70" t="s">
        <v>2</v>
      </c>
      <c r="D35" s="70" t="s">
        <v>309</v>
      </c>
      <c r="E35" s="273" t="s">
        <v>472</v>
      </c>
      <c r="G35" s="431" t="s">
        <v>531</v>
      </c>
      <c r="H35" s="32"/>
      <c r="I35" s="221"/>
      <c r="J35" s="220"/>
      <c r="K35" s="277"/>
      <c r="L35" s="297" t="s">
        <v>566</v>
      </c>
      <c r="M35" s="273" t="s">
        <v>849</v>
      </c>
      <c r="N35" s="32"/>
      <c r="O35" s="32"/>
      <c r="P35" s="394"/>
      <c r="S35" s="270"/>
      <c r="T35" s="271" t="s">
        <v>471</v>
      </c>
      <c r="U35" s="270"/>
      <c r="V35" s="419" t="s">
        <v>471</v>
      </c>
      <c r="X35" s="88" t="s">
        <v>728</v>
      </c>
      <c r="Y35" s="88" t="s">
        <v>729</v>
      </c>
    </row>
    <row r="36" spans="1:25" ht="15" customHeight="1" x14ac:dyDescent="0.25">
      <c r="A36" s="221" t="s">
        <v>498</v>
      </c>
      <c r="B36" s="70" t="s">
        <v>333</v>
      </c>
      <c r="C36" s="70" t="s">
        <v>17</v>
      </c>
      <c r="D36" s="70" t="s">
        <v>309</v>
      </c>
      <c r="E36" s="273" t="s">
        <v>474</v>
      </c>
      <c r="G36" s="430" t="s">
        <v>532</v>
      </c>
      <c r="H36" s="32"/>
      <c r="I36" s="221"/>
      <c r="J36" s="220"/>
      <c r="K36" s="277"/>
      <c r="L36" s="297"/>
      <c r="M36" s="273" t="s">
        <v>850</v>
      </c>
      <c r="N36" s="32"/>
      <c r="O36" s="32"/>
      <c r="P36" s="394"/>
      <c r="S36" s="270" t="s">
        <v>481</v>
      </c>
      <c r="T36" s="271" t="e">
        <f>VLOOKUP('CF Thermo'!B35,'Data Conversions'!P:R,3,FALSE)</f>
        <v>#N/A</v>
      </c>
      <c r="U36" s="270" t="s">
        <v>492</v>
      </c>
      <c r="V36" s="419" t="e">
        <f>VLOOKUP('CF5 Order'!L35,'Data Conversions'!B:E,4,FALSE)</f>
        <v>#N/A</v>
      </c>
      <c r="X36" s="88" t="s">
        <v>730</v>
      </c>
      <c r="Y36" s="88" t="s">
        <v>731</v>
      </c>
    </row>
    <row r="37" spans="1:25" ht="15" customHeight="1" x14ac:dyDescent="0.25">
      <c r="A37" s="221" t="s">
        <v>496</v>
      </c>
      <c r="B37" s="70" t="s">
        <v>334</v>
      </c>
      <c r="C37" s="70" t="s">
        <v>17</v>
      </c>
      <c r="D37" s="70" t="s">
        <v>309</v>
      </c>
      <c r="E37" s="273" t="s">
        <v>472</v>
      </c>
      <c r="G37" s="430" t="s">
        <v>533</v>
      </c>
      <c r="H37" s="32"/>
      <c r="I37" s="221" t="s">
        <v>449</v>
      </c>
      <c r="J37" s="220"/>
      <c r="K37" s="277"/>
      <c r="L37" s="297"/>
      <c r="M37" s="273" t="s">
        <v>851</v>
      </c>
      <c r="N37" s="32"/>
      <c r="O37" s="32"/>
      <c r="P37" s="394"/>
      <c r="S37" s="270"/>
      <c r="T37" s="271" t="s">
        <v>470</v>
      </c>
      <c r="U37" s="270"/>
      <c r="V37" s="419" t="s">
        <v>470</v>
      </c>
    </row>
    <row r="38" spans="1:25" ht="15" customHeight="1" x14ac:dyDescent="0.25">
      <c r="A38" s="221" t="s">
        <v>497</v>
      </c>
      <c r="B38" s="70" t="s">
        <v>335</v>
      </c>
      <c r="C38" s="70" t="s">
        <v>17</v>
      </c>
      <c r="D38" s="70" t="s">
        <v>309</v>
      </c>
      <c r="E38" s="273" t="s">
        <v>473</v>
      </c>
      <c r="G38" s="430" t="s">
        <v>534</v>
      </c>
      <c r="H38" s="32"/>
      <c r="I38" s="221" t="s">
        <v>448</v>
      </c>
      <c r="J38" s="220"/>
      <c r="K38" s="277"/>
      <c r="L38" s="297"/>
      <c r="M38" s="273" t="s">
        <v>852</v>
      </c>
      <c r="N38" s="32"/>
      <c r="O38" s="32"/>
      <c r="P38" s="394"/>
      <c r="S38" s="270"/>
      <c r="T38" s="271" t="s">
        <v>500</v>
      </c>
      <c r="U38" s="270"/>
      <c r="V38" s="419" t="s">
        <v>500</v>
      </c>
    </row>
    <row r="39" spans="1:25" ht="15" customHeight="1" x14ac:dyDescent="0.25">
      <c r="A39" s="221" t="s">
        <v>496</v>
      </c>
      <c r="B39" s="70" t="s">
        <v>336</v>
      </c>
      <c r="C39" s="70" t="s">
        <v>464</v>
      </c>
      <c r="D39" s="70" t="s">
        <v>309</v>
      </c>
      <c r="E39" s="273" t="s">
        <v>472</v>
      </c>
      <c r="G39" s="430" t="s">
        <v>563</v>
      </c>
      <c r="H39" s="32"/>
      <c r="I39" s="221" t="s">
        <v>447</v>
      </c>
      <c r="J39" s="220"/>
      <c r="K39" s="277"/>
      <c r="L39" s="297"/>
      <c r="M39" s="273" t="s">
        <v>853</v>
      </c>
      <c r="N39" s="32"/>
      <c r="O39" s="32"/>
      <c r="P39" s="394"/>
      <c r="S39" s="270"/>
      <c r="T39" s="271" t="s">
        <v>469</v>
      </c>
      <c r="U39" s="270"/>
      <c r="V39" s="419" t="s">
        <v>469</v>
      </c>
      <c r="X39" s="88"/>
      <c r="Y39" s="88"/>
    </row>
    <row r="40" spans="1:25" ht="15" customHeight="1" thickBot="1" x14ac:dyDescent="0.3">
      <c r="A40" s="221" t="s">
        <v>498</v>
      </c>
      <c r="B40" s="70" t="s">
        <v>337</v>
      </c>
      <c r="C40" s="70" t="s">
        <v>17</v>
      </c>
      <c r="D40" s="70" t="s">
        <v>309</v>
      </c>
      <c r="E40" s="273" t="s">
        <v>474</v>
      </c>
      <c r="G40" s="430" t="s">
        <v>787</v>
      </c>
      <c r="H40" s="32"/>
      <c r="I40" s="221" t="s">
        <v>446</v>
      </c>
      <c r="J40" s="220"/>
      <c r="K40" s="277"/>
      <c r="L40" s="297"/>
      <c r="M40" s="460"/>
      <c r="N40" s="32"/>
      <c r="O40" s="32"/>
      <c r="P40" s="394"/>
      <c r="S40" s="270"/>
      <c r="T40" s="271" t="s">
        <v>471</v>
      </c>
      <c r="U40" s="270"/>
      <c r="V40" s="419" t="s">
        <v>471</v>
      </c>
      <c r="X40" s="395" t="s">
        <v>144</v>
      </c>
      <c r="Y40" s="395" t="s">
        <v>662</v>
      </c>
    </row>
    <row r="41" spans="1:25" ht="15" customHeight="1" x14ac:dyDescent="0.25">
      <c r="A41" s="221" t="s">
        <v>496</v>
      </c>
      <c r="B41" s="221" t="s">
        <v>338</v>
      </c>
      <c r="C41" s="221" t="s">
        <v>2</v>
      </c>
      <c r="D41" s="70" t="s">
        <v>309</v>
      </c>
      <c r="E41" s="273" t="s">
        <v>472</v>
      </c>
      <c r="F41" s="221"/>
      <c r="G41" s="431" t="s">
        <v>535</v>
      </c>
      <c r="H41" s="32"/>
      <c r="I41" s="221" t="s">
        <v>445</v>
      </c>
      <c r="J41" s="276"/>
      <c r="K41" s="276"/>
      <c r="L41" s="297"/>
      <c r="M41" s="460"/>
      <c r="N41" s="32"/>
      <c r="O41" s="32"/>
      <c r="P41" s="394"/>
      <c r="S41" s="270" t="s">
        <v>482</v>
      </c>
      <c r="T41" s="271" t="e">
        <f>VLOOKUP('CF Thermo'!B39,'Data Conversions'!P:R,3,FALSE)</f>
        <v>#N/A</v>
      </c>
      <c r="U41" s="270" t="s">
        <v>493</v>
      </c>
      <c r="V41" s="419" t="e">
        <f>VLOOKUP('CF5 Order'!L39,'Data Conversions'!B:E,4,FALSE)</f>
        <v>#N/A</v>
      </c>
      <c r="X41" s="399" t="s">
        <v>580</v>
      </c>
      <c r="Y41" s="396" t="s">
        <v>732</v>
      </c>
    </row>
    <row r="42" spans="1:25" ht="15" customHeight="1" x14ac:dyDescent="0.25">
      <c r="A42" s="221" t="s">
        <v>498</v>
      </c>
      <c r="B42" s="221" t="s">
        <v>339</v>
      </c>
      <c r="C42" s="221" t="s">
        <v>17</v>
      </c>
      <c r="D42" s="221" t="s">
        <v>309</v>
      </c>
      <c r="E42" s="273" t="s">
        <v>474</v>
      </c>
      <c r="G42" s="430" t="s">
        <v>536</v>
      </c>
      <c r="J42" s="276"/>
      <c r="K42" s="276"/>
      <c r="L42" s="297"/>
      <c r="M42" s="460"/>
      <c r="S42" s="270"/>
      <c r="T42" s="271" t="s">
        <v>470</v>
      </c>
      <c r="U42" s="270"/>
      <c r="V42" s="419" t="s">
        <v>470</v>
      </c>
      <c r="X42" s="400" t="s">
        <v>733</v>
      </c>
      <c r="Y42" s="88" t="s">
        <v>734</v>
      </c>
    </row>
    <row r="43" spans="1:25" ht="15" customHeight="1" x14ac:dyDescent="0.25">
      <c r="A43" s="221" t="s">
        <v>496</v>
      </c>
      <c r="B43" s="70" t="s">
        <v>340</v>
      </c>
      <c r="C43" s="70" t="s">
        <v>17</v>
      </c>
      <c r="D43" s="70" t="s">
        <v>309</v>
      </c>
      <c r="E43" s="273" t="s">
        <v>472</v>
      </c>
      <c r="G43" s="430" t="s">
        <v>537</v>
      </c>
      <c r="J43" s="276"/>
      <c r="K43" s="276"/>
      <c r="L43" s="297"/>
      <c r="M43" s="461"/>
      <c r="S43" s="270"/>
      <c r="T43" s="271" t="s">
        <v>500</v>
      </c>
      <c r="U43" s="270"/>
      <c r="V43" s="419" t="s">
        <v>500</v>
      </c>
      <c r="X43" s="400" t="s">
        <v>735</v>
      </c>
      <c r="Y43" s="88" t="s">
        <v>736</v>
      </c>
    </row>
    <row r="44" spans="1:25" ht="15" customHeight="1" x14ac:dyDescent="0.25">
      <c r="A44" s="221" t="s">
        <v>496</v>
      </c>
      <c r="B44" s="70" t="s">
        <v>341</v>
      </c>
      <c r="C44" s="70" t="s">
        <v>464</v>
      </c>
      <c r="D44" s="70" t="s">
        <v>309</v>
      </c>
      <c r="E44" s="273" t="s">
        <v>472</v>
      </c>
      <c r="G44" s="430" t="s">
        <v>562</v>
      </c>
      <c r="J44" s="276"/>
      <c r="K44" s="276"/>
      <c r="L44" s="297"/>
      <c r="S44" s="270"/>
      <c r="T44" s="271" t="s">
        <v>469</v>
      </c>
      <c r="U44" s="270"/>
      <c r="V44" s="419" t="s">
        <v>469</v>
      </c>
      <c r="X44" s="400" t="s">
        <v>737</v>
      </c>
      <c r="Y44" s="88" t="s">
        <v>738</v>
      </c>
    </row>
    <row r="45" spans="1:25" ht="15" customHeight="1" x14ac:dyDescent="0.25">
      <c r="A45" s="221" t="s">
        <v>496</v>
      </c>
      <c r="B45" s="70" t="s">
        <v>342</v>
      </c>
      <c r="C45" s="70" t="s">
        <v>17</v>
      </c>
      <c r="D45" s="70" t="s">
        <v>309</v>
      </c>
      <c r="E45" s="273" t="s">
        <v>472</v>
      </c>
      <c r="G45" s="430" t="s">
        <v>538</v>
      </c>
      <c r="J45" s="276"/>
      <c r="K45" s="276"/>
      <c r="L45" s="297"/>
      <c r="S45" s="270"/>
      <c r="T45" s="271" t="s">
        <v>471</v>
      </c>
      <c r="U45" s="270"/>
      <c r="V45" s="419" t="s">
        <v>471</v>
      </c>
      <c r="X45" s="400" t="s">
        <v>739</v>
      </c>
      <c r="Y45" s="88" t="s">
        <v>740</v>
      </c>
    </row>
    <row r="46" spans="1:25" ht="15" customHeight="1" x14ac:dyDescent="0.25">
      <c r="A46" s="221" t="s">
        <v>497</v>
      </c>
      <c r="B46" s="294" t="s">
        <v>343</v>
      </c>
      <c r="C46" s="294" t="s">
        <v>17</v>
      </c>
      <c r="D46" s="70" t="s">
        <v>309</v>
      </c>
      <c r="E46" s="273" t="s">
        <v>473</v>
      </c>
      <c r="G46" s="430" t="s">
        <v>539</v>
      </c>
      <c r="J46" s="276"/>
      <c r="K46" s="276"/>
      <c r="L46" s="297"/>
      <c r="S46" s="270" t="s">
        <v>483</v>
      </c>
      <c r="T46" s="271" t="e">
        <f>VLOOKUP('CF Thermo'!B43,'Data Conversions'!P:R,3,FALSE)</f>
        <v>#N/A</v>
      </c>
      <c r="U46" s="270" t="s">
        <v>494</v>
      </c>
      <c r="V46" s="419" t="e">
        <f>VLOOKUP('CF5 Order'!L43,'Data Conversions'!B:E,4,FALSE)</f>
        <v>#N/A</v>
      </c>
      <c r="X46" s="400" t="s">
        <v>911</v>
      </c>
      <c r="Y46" s="88" t="s">
        <v>912</v>
      </c>
    </row>
    <row r="47" spans="1:25" ht="15" customHeight="1" x14ac:dyDescent="0.25">
      <c r="A47" s="221" t="s">
        <v>496</v>
      </c>
      <c r="B47" s="70" t="s">
        <v>344</v>
      </c>
      <c r="C47" s="70" t="s">
        <v>464</v>
      </c>
      <c r="D47" s="70" t="s">
        <v>309</v>
      </c>
      <c r="E47" s="273" t="s">
        <v>472</v>
      </c>
      <c r="G47" s="430" t="s">
        <v>540</v>
      </c>
      <c r="I47" s="297" t="s">
        <v>451</v>
      </c>
      <c r="J47" s="276"/>
      <c r="K47" s="276"/>
      <c r="L47" s="297"/>
      <c r="S47" s="270"/>
      <c r="T47" s="271" t="s">
        <v>470</v>
      </c>
      <c r="U47" s="270"/>
      <c r="V47" s="419" t="s">
        <v>470</v>
      </c>
      <c r="X47" s="400" t="s">
        <v>741</v>
      </c>
      <c r="Y47" s="88" t="s">
        <v>742</v>
      </c>
    </row>
    <row r="48" spans="1:25" ht="15" customHeight="1" x14ac:dyDescent="0.25">
      <c r="A48" s="221" t="s">
        <v>497</v>
      </c>
      <c r="B48" s="70" t="s">
        <v>345</v>
      </c>
      <c r="C48" s="70" t="s">
        <v>17</v>
      </c>
      <c r="D48" s="70" t="s">
        <v>309</v>
      </c>
      <c r="E48" s="273" t="s">
        <v>473</v>
      </c>
      <c r="G48" s="431" t="s">
        <v>541</v>
      </c>
      <c r="I48" s="297" t="s">
        <v>4</v>
      </c>
      <c r="J48" s="276"/>
      <c r="K48" s="276"/>
      <c r="S48" s="270"/>
      <c r="T48" s="271" t="s">
        <v>500</v>
      </c>
      <c r="U48" s="270"/>
      <c r="V48" s="419" t="s">
        <v>500</v>
      </c>
      <c r="X48" s="400" t="s">
        <v>743</v>
      </c>
      <c r="Y48" s="88" t="s">
        <v>744</v>
      </c>
    </row>
    <row r="49" spans="1:28" ht="15" customHeight="1" x14ac:dyDescent="0.25">
      <c r="A49" s="221" t="s">
        <v>496</v>
      </c>
      <c r="B49" s="70" t="s">
        <v>346</v>
      </c>
      <c r="C49" s="70" t="s">
        <v>17</v>
      </c>
      <c r="D49" s="70" t="s">
        <v>309</v>
      </c>
      <c r="E49" s="273" t="s">
        <v>472</v>
      </c>
      <c r="G49" s="431" t="s">
        <v>542</v>
      </c>
      <c r="I49" s="297" t="s">
        <v>10</v>
      </c>
      <c r="J49" s="276"/>
      <c r="K49" s="276"/>
      <c r="S49" s="270"/>
      <c r="T49" s="271" t="s">
        <v>469</v>
      </c>
      <c r="U49" s="270"/>
      <c r="V49" s="419" t="s">
        <v>469</v>
      </c>
      <c r="X49" s="400" t="s">
        <v>745</v>
      </c>
      <c r="Y49" s="88" t="s">
        <v>746</v>
      </c>
    </row>
    <row r="50" spans="1:28" ht="15" customHeight="1" x14ac:dyDescent="0.25">
      <c r="A50" s="221" t="s">
        <v>498</v>
      </c>
      <c r="B50" s="70" t="s">
        <v>347</v>
      </c>
      <c r="C50" s="70" t="s">
        <v>465</v>
      </c>
      <c r="D50" s="70" t="s">
        <v>309</v>
      </c>
      <c r="E50" s="273" t="s">
        <v>474</v>
      </c>
      <c r="G50" s="430" t="s">
        <v>543</v>
      </c>
      <c r="I50" s="297" t="s">
        <v>456</v>
      </c>
      <c r="J50" s="276"/>
      <c r="K50" s="276"/>
      <c r="S50" s="270"/>
      <c r="T50" s="271" t="s">
        <v>471</v>
      </c>
      <c r="U50" s="270"/>
      <c r="V50" s="419" t="s">
        <v>471</v>
      </c>
      <c r="X50" s="400" t="s">
        <v>747</v>
      </c>
      <c r="Y50" s="88" t="s">
        <v>747</v>
      </c>
    </row>
    <row r="51" spans="1:28" ht="15" customHeight="1" x14ac:dyDescent="0.25">
      <c r="A51" s="70" t="s">
        <v>497</v>
      </c>
      <c r="B51" s="70" t="s">
        <v>576</v>
      </c>
      <c r="C51" s="70" t="s">
        <v>17</v>
      </c>
      <c r="D51" s="70" t="s">
        <v>309</v>
      </c>
      <c r="E51" s="273" t="s">
        <v>473</v>
      </c>
      <c r="G51" s="430" t="s">
        <v>544</v>
      </c>
      <c r="I51" s="297" t="s">
        <v>13</v>
      </c>
      <c r="J51" s="276"/>
      <c r="K51" s="276"/>
      <c r="S51" s="270" t="s">
        <v>484</v>
      </c>
      <c r="T51" s="271" t="e">
        <f>VLOOKUP('CF Thermo'!B47,'Data Conversions'!P:R,3,FALSE)</f>
        <v>#N/A</v>
      </c>
      <c r="U51" s="270" t="s">
        <v>495</v>
      </c>
      <c r="V51" s="419" t="e">
        <f>VLOOKUP('CF5 Order'!L47,'Data Conversions'!B:E,4,FALSE)</f>
        <v>#N/A</v>
      </c>
      <c r="X51" s="400" t="s">
        <v>748</v>
      </c>
      <c r="Y51" s="88" t="s">
        <v>749</v>
      </c>
    </row>
    <row r="52" spans="1:28" ht="15" customHeight="1" x14ac:dyDescent="0.25">
      <c r="A52" s="221" t="s">
        <v>496</v>
      </c>
      <c r="B52" s="70" t="s">
        <v>348</v>
      </c>
      <c r="C52" s="70" t="s">
        <v>465</v>
      </c>
      <c r="D52" s="70" t="s">
        <v>309</v>
      </c>
      <c r="E52" s="273" t="s">
        <v>472</v>
      </c>
      <c r="G52" s="430" t="s">
        <v>545</v>
      </c>
      <c r="I52" s="297" t="s">
        <v>11</v>
      </c>
      <c r="J52" s="276"/>
      <c r="K52" s="276"/>
      <c r="S52" s="270"/>
      <c r="T52" s="271" t="s">
        <v>470</v>
      </c>
      <c r="U52" s="270"/>
      <c r="V52" s="419" t="s">
        <v>470</v>
      </c>
      <c r="X52" s="400" t="s">
        <v>750</v>
      </c>
      <c r="Y52" s="88" t="s">
        <v>751</v>
      </c>
    </row>
    <row r="53" spans="1:28" ht="15" customHeight="1" x14ac:dyDescent="0.25">
      <c r="A53" s="221" t="s">
        <v>496</v>
      </c>
      <c r="B53" s="70" t="s">
        <v>349</v>
      </c>
      <c r="C53" s="70" t="s">
        <v>465</v>
      </c>
      <c r="D53" s="70" t="s">
        <v>309</v>
      </c>
      <c r="E53" s="273" t="s">
        <v>472</v>
      </c>
      <c r="G53" s="431" t="s">
        <v>546</v>
      </c>
      <c r="I53" s="297" t="s">
        <v>457</v>
      </c>
      <c r="J53" s="276"/>
      <c r="K53" s="276"/>
      <c r="S53" s="270"/>
      <c r="T53" s="271" t="s">
        <v>500</v>
      </c>
      <c r="U53" s="270"/>
      <c r="V53" s="419" t="s">
        <v>500</v>
      </c>
      <c r="X53" s="400" t="s">
        <v>752</v>
      </c>
      <c r="Y53" s="88"/>
    </row>
    <row r="54" spans="1:28" ht="15" customHeight="1" x14ac:dyDescent="0.25">
      <c r="A54" s="221" t="s">
        <v>496</v>
      </c>
      <c r="B54" s="70" t="s">
        <v>350</v>
      </c>
      <c r="C54" s="70" t="s">
        <v>465</v>
      </c>
      <c r="D54" s="70" t="s">
        <v>309</v>
      </c>
      <c r="E54" s="273" t="s">
        <v>472</v>
      </c>
      <c r="G54" s="431" t="s">
        <v>547</v>
      </c>
      <c r="J54" s="276"/>
      <c r="K54" s="276"/>
      <c r="S54" s="270"/>
      <c r="T54" s="271" t="s">
        <v>469</v>
      </c>
      <c r="U54" s="270"/>
      <c r="V54" s="419" t="s">
        <v>469</v>
      </c>
      <c r="X54" s="400" t="s">
        <v>753</v>
      </c>
      <c r="Y54" s="401" t="s">
        <v>754</v>
      </c>
    </row>
    <row r="55" spans="1:28" ht="15" customHeight="1" x14ac:dyDescent="0.25">
      <c r="A55" s="221" t="s">
        <v>496</v>
      </c>
      <c r="B55" s="70" t="s">
        <v>351</v>
      </c>
      <c r="C55" s="70" t="s">
        <v>464</v>
      </c>
      <c r="D55" s="70" t="s">
        <v>309</v>
      </c>
      <c r="E55" s="273" t="s">
        <v>472</v>
      </c>
      <c r="G55" s="430" t="s">
        <v>548</v>
      </c>
      <c r="J55" s="276"/>
      <c r="K55" s="276"/>
      <c r="S55" s="270"/>
      <c r="T55" s="271" t="s">
        <v>471</v>
      </c>
      <c r="U55" s="270"/>
      <c r="V55" s="419" t="s">
        <v>471</v>
      </c>
      <c r="X55" s="402" t="s">
        <v>755</v>
      </c>
      <c r="Y55" s="402" t="s">
        <v>756</v>
      </c>
    </row>
    <row r="56" spans="1:28" ht="15" customHeight="1" x14ac:dyDescent="0.25">
      <c r="A56" s="221" t="s">
        <v>497</v>
      </c>
      <c r="B56" s="70" t="s">
        <v>352</v>
      </c>
      <c r="C56" s="70" t="s">
        <v>17</v>
      </c>
      <c r="D56" s="70" t="s">
        <v>309</v>
      </c>
      <c r="E56" s="273" t="s">
        <v>473</v>
      </c>
      <c r="G56" s="430" t="s">
        <v>549</v>
      </c>
      <c r="J56" s="220"/>
      <c r="K56" s="220"/>
      <c r="S56" s="270"/>
      <c r="T56" s="271"/>
      <c r="U56" s="270"/>
      <c r="V56" s="419"/>
      <c r="X56" s="402" t="s">
        <v>757</v>
      </c>
      <c r="Y56" s="402" t="s">
        <v>758</v>
      </c>
    </row>
    <row r="57" spans="1:28" ht="15" customHeight="1" x14ac:dyDescent="0.25">
      <c r="A57" s="221" t="s">
        <v>498</v>
      </c>
      <c r="B57" s="70" t="s">
        <v>353</v>
      </c>
      <c r="C57" s="70" t="s">
        <v>465</v>
      </c>
      <c r="D57" s="70" t="s">
        <v>309</v>
      </c>
      <c r="E57" s="273" t="s">
        <v>474</v>
      </c>
      <c r="G57" s="430" t="s">
        <v>550</v>
      </c>
      <c r="J57" s="220"/>
      <c r="K57" s="277"/>
      <c r="S57" s="270"/>
      <c r="T57" s="271"/>
      <c r="U57" s="270"/>
      <c r="V57" s="419"/>
      <c r="X57" s="402" t="s">
        <v>759</v>
      </c>
      <c r="Y57" s="402" t="s">
        <v>760</v>
      </c>
    </row>
    <row r="58" spans="1:28" ht="15" customHeight="1" x14ac:dyDescent="0.25">
      <c r="A58" s="221" t="s">
        <v>497</v>
      </c>
      <c r="B58" s="70" t="s">
        <v>354</v>
      </c>
      <c r="C58" s="70" t="s">
        <v>465</v>
      </c>
      <c r="D58" s="70" t="s">
        <v>309</v>
      </c>
      <c r="E58" s="273" t="s">
        <v>473</v>
      </c>
      <c r="G58" s="430" t="s">
        <v>551</v>
      </c>
      <c r="J58" s="276"/>
      <c r="K58" s="276"/>
      <c r="S58" s="270"/>
      <c r="T58" s="271"/>
      <c r="U58" s="270"/>
      <c r="V58" s="419"/>
      <c r="X58" s="402" t="s">
        <v>761</v>
      </c>
      <c r="Y58" s="402" t="s">
        <v>762</v>
      </c>
    </row>
    <row r="59" spans="1:28" ht="15" customHeight="1" x14ac:dyDescent="0.25">
      <c r="A59" s="221" t="s">
        <v>497</v>
      </c>
      <c r="B59" s="70" t="s">
        <v>355</v>
      </c>
      <c r="C59" s="70" t="s">
        <v>17</v>
      </c>
      <c r="D59" s="70" t="s">
        <v>309</v>
      </c>
      <c r="E59" s="273" t="s">
        <v>473</v>
      </c>
      <c r="G59" s="431" t="s">
        <v>552</v>
      </c>
      <c r="I59" s="297" t="s">
        <v>451</v>
      </c>
      <c r="J59" s="276"/>
      <c r="K59" s="276"/>
      <c r="S59" s="270"/>
      <c r="T59" s="271"/>
      <c r="U59" s="270"/>
      <c r="V59" s="419"/>
    </row>
    <row r="60" spans="1:28" ht="15" customHeight="1" thickBot="1" x14ac:dyDescent="0.3">
      <c r="A60" s="221" t="s">
        <v>496</v>
      </c>
      <c r="B60" s="70" t="s">
        <v>356</v>
      </c>
      <c r="C60" s="70" t="s">
        <v>465</v>
      </c>
      <c r="D60" s="70" t="s">
        <v>309</v>
      </c>
      <c r="E60" s="273" t="s">
        <v>472</v>
      </c>
      <c r="G60" s="431" t="s">
        <v>553</v>
      </c>
      <c r="I60" s="297" t="s">
        <v>458</v>
      </c>
      <c r="J60" s="276"/>
      <c r="K60" s="276"/>
      <c r="S60" s="270"/>
      <c r="T60" s="271"/>
      <c r="U60" s="270"/>
      <c r="V60" s="419"/>
      <c r="X60" s="403" t="s">
        <v>763</v>
      </c>
      <c r="Y60" s="403" t="s">
        <v>764</v>
      </c>
      <c r="Z60" s="404" t="s">
        <v>765</v>
      </c>
      <c r="AB60" s="417"/>
    </row>
    <row r="61" spans="1:28" ht="15" customHeight="1" x14ac:dyDescent="0.25">
      <c r="A61" s="221" t="s">
        <v>498</v>
      </c>
      <c r="B61" s="70" t="s">
        <v>357</v>
      </c>
      <c r="C61" s="70" t="s">
        <v>465</v>
      </c>
      <c r="D61" s="70" t="s">
        <v>309</v>
      </c>
      <c r="E61" s="273" t="s">
        <v>474</v>
      </c>
      <c r="G61" s="430" t="s">
        <v>554</v>
      </c>
      <c r="I61" s="297" t="s">
        <v>459</v>
      </c>
      <c r="J61" s="276"/>
      <c r="K61" s="276"/>
      <c r="S61" s="270"/>
      <c r="T61" s="271"/>
      <c r="U61" s="270"/>
      <c r="V61" s="419"/>
      <c r="X61" s="405" t="s">
        <v>766</v>
      </c>
      <c r="Y61" s="396" t="s">
        <v>863</v>
      </c>
      <c r="Z61" s="405" t="s">
        <v>865</v>
      </c>
      <c r="AB61" s="417"/>
    </row>
    <row r="62" spans="1:28" ht="15" customHeight="1" x14ac:dyDescent="0.25">
      <c r="A62" s="221" t="s">
        <v>496</v>
      </c>
      <c r="B62" s="70" t="s">
        <v>358</v>
      </c>
      <c r="C62" s="70" t="s">
        <v>464</v>
      </c>
      <c r="D62" s="70" t="s">
        <v>309</v>
      </c>
      <c r="E62" s="273" t="s">
        <v>472</v>
      </c>
      <c r="G62" s="430" t="s">
        <v>555</v>
      </c>
      <c r="I62" s="297" t="s">
        <v>460</v>
      </c>
      <c r="J62" s="276"/>
      <c r="K62" s="276"/>
      <c r="S62" s="270"/>
      <c r="T62" s="271"/>
      <c r="U62" s="270"/>
      <c r="V62" s="419"/>
      <c r="X62" s="406" t="s">
        <v>767</v>
      </c>
      <c r="Y62" s="88" t="s">
        <v>864</v>
      </c>
      <c r="Z62" s="477" t="s">
        <v>772</v>
      </c>
      <c r="AB62" s="417"/>
    </row>
    <row r="63" spans="1:28" ht="15" customHeight="1" x14ac:dyDescent="0.25">
      <c r="A63" s="221" t="s">
        <v>498</v>
      </c>
      <c r="B63" s="70" t="s">
        <v>359</v>
      </c>
      <c r="C63" s="70" t="s">
        <v>17</v>
      </c>
      <c r="D63" s="70" t="s">
        <v>309</v>
      </c>
      <c r="E63" s="273" t="s">
        <v>474</v>
      </c>
      <c r="G63" s="430" t="s">
        <v>573</v>
      </c>
      <c r="I63" s="297" t="s">
        <v>461</v>
      </c>
      <c r="J63" s="276"/>
      <c r="K63" s="276"/>
      <c r="S63" s="270"/>
      <c r="T63" s="271"/>
      <c r="U63" s="270"/>
      <c r="V63" s="419"/>
      <c r="X63" s="406" t="s">
        <v>768</v>
      </c>
      <c r="Y63" s="88" t="s">
        <v>885</v>
      </c>
      <c r="Z63" s="477" t="s">
        <v>866</v>
      </c>
      <c r="AB63" s="417"/>
    </row>
    <row r="64" spans="1:28" ht="15" customHeight="1" x14ac:dyDescent="0.25">
      <c r="A64" s="221" t="s">
        <v>496</v>
      </c>
      <c r="B64" s="70" t="s">
        <v>360</v>
      </c>
      <c r="C64" s="70" t="s">
        <v>2</v>
      </c>
      <c r="D64" s="70" t="s">
        <v>309</v>
      </c>
      <c r="E64" s="273" t="s">
        <v>472</v>
      </c>
      <c r="G64" s="430" t="s">
        <v>556</v>
      </c>
      <c r="J64" s="70"/>
      <c r="K64" s="276"/>
      <c r="S64" s="270"/>
      <c r="U64" s="270"/>
      <c r="V64" s="419"/>
      <c r="X64" s="406" t="s">
        <v>769</v>
      </c>
      <c r="Y64" s="88" t="s">
        <v>887</v>
      </c>
    </row>
    <row r="65" spans="1:25" ht="15" customHeight="1" thickBot="1" x14ac:dyDescent="0.3">
      <c r="A65" s="221" t="s">
        <v>497</v>
      </c>
      <c r="B65" s="70" t="s">
        <v>361</v>
      </c>
      <c r="C65" s="70" t="s">
        <v>465</v>
      </c>
      <c r="D65" s="70" t="s">
        <v>309</v>
      </c>
      <c r="E65" s="273" t="s">
        <v>473</v>
      </c>
      <c r="G65" s="430" t="s">
        <v>557</v>
      </c>
      <c r="J65" s="70"/>
      <c r="K65" s="276"/>
      <c r="S65" s="270"/>
      <c r="U65" s="272"/>
      <c r="V65" s="420"/>
      <c r="X65" s="406" t="s">
        <v>770</v>
      </c>
      <c r="Y65" s="88" t="s">
        <v>888</v>
      </c>
    </row>
    <row r="66" spans="1:25" ht="15" customHeight="1" x14ac:dyDescent="0.25">
      <c r="A66" s="221" t="s">
        <v>497</v>
      </c>
      <c r="B66" s="294" t="s">
        <v>362</v>
      </c>
      <c r="C66" s="294" t="s">
        <v>465</v>
      </c>
      <c r="D66" s="70" t="s">
        <v>309</v>
      </c>
      <c r="E66" s="273" t="s">
        <v>473</v>
      </c>
      <c r="G66" s="430" t="s">
        <v>558</v>
      </c>
      <c r="J66" s="70"/>
      <c r="K66" s="276"/>
      <c r="S66" s="270"/>
      <c r="T66" s="271"/>
      <c r="X66" s="406" t="s">
        <v>771</v>
      </c>
      <c r="Y66" s="88" t="s">
        <v>886</v>
      </c>
    </row>
    <row r="67" spans="1:25" ht="15" customHeight="1" x14ac:dyDescent="0.25">
      <c r="A67" s="70" t="s">
        <v>496</v>
      </c>
      <c r="B67" s="70" t="s">
        <v>578</v>
      </c>
      <c r="C67" s="70" t="s">
        <v>464</v>
      </c>
      <c r="D67" s="70" t="s">
        <v>309</v>
      </c>
      <c r="E67" s="273" t="s">
        <v>472</v>
      </c>
      <c r="G67" s="430" t="s">
        <v>559</v>
      </c>
      <c r="J67" s="70"/>
      <c r="K67" s="276"/>
      <c r="S67" s="270"/>
      <c r="T67" s="271"/>
      <c r="X67" s="406" t="s">
        <v>862</v>
      </c>
      <c r="Y67" s="88" t="s">
        <v>884</v>
      </c>
    </row>
    <row r="68" spans="1:25" ht="15" customHeight="1" x14ac:dyDescent="0.25">
      <c r="A68" s="221" t="s">
        <v>496</v>
      </c>
      <c r="B68" s="70" t="s">
        <v>363</v>
      </c>
      <c r="C68" s="70" t="s">
        <v>2</v>
      </c>
      <c r="D68" s="70" t="s">
        <v>309</v>
      </c>
      <c r="E68" s="273" t="s">
        <v>472</v>
      </c>
      <c r="G68" s="430" t="s">
        <v>560</v>
      </c>
      <c r="J68" s="70"/>
      <c r="K68" s="276"/>
      <c r="S68" s="270"/>
      <c r="T68" s="271"/>
      <c r="X68" s="406" t="s">
        <v>773</v>
      </c>
    </row>
    <row r="69" spans="1:25" ht="15" customHeight="1" x14ac:dyDescent="0.25">
      <c r="A69" s="221" t="s">
        <v>496</v>
      </c>
      <c r="B69" s="70" t="s">
        <v>364</v>
      </c>
      <c r="C69" s="70" t="s">
        <v>464</v>
      </c>
      <c r="D69" s="70" t="s">
        <v>309</v>
      </c>
      <c r="E69" s="273" t="s">
        <v>472</v>
      </c>
      <c r="G69" s="430" t="s">
        <v>561</v>
      </c>
      <c r="I69" s="297" t="s">
        <v>466</v>
      </c>
      <c r="J69" s="70"/>
      <c r="K69" s="276"/>
      <c r="S69" s="270"/>
      <c r="T69" s="271"/>
      <c r="X69" s="406" t="s">
        <v>774</v>
      </c>
    </row>
    <row r="70" spans="1:25" ht="15" customHeight="1" x14ac:dyDescent="0.25">
      <c r="A70" s="70" t="s">
        <v>498</v>
      </c>
      <c r="B70" s="70" t="s">
        <v>577</v>
      </c>
      <c r="C70" s="70" t="s">
        <v>464</v>
      </c>
      <c r="D70" s="70" t="s">
        <v>309</v>
      </c>
      <c r="E70" s="273" t="s">
        <v>474</v>
      </c>
      <c r="I70" s="297" t="s">
        <v>467</v>
      </c>
      <c r="J70" s="70"/>
      <c r="K70" s="276"/>
      <c r="S70" s="270"/>
      <c r="T70" s="271"/>
      <c r="X70" s="406" t="s">
        <v>775</v>
      </c>
    </row>
    <row r="71" spans="1:25" ht="15" customHeight="1" x14ac:dyDescent="0.25">
      <c r="A71" s="221" t="s">
        <v>497</v>
      </c>
      <c r="B71" s="70" t="s">
        <v>365</v>
      </c>
      <c r="C71" s="70" t="s">
        <v>465</v>
      </c>
      <c r="D71" s="70" t="s">
        <v>309</v>
      </c>
      <c r="E71" s="273" t="s">
        <v>473</v>
      </c>
      <c r="I71" s="297" t="s">
        <v>11</v>
      </c>
      <c r="J71" s="70"/>
      <c r="K71" s="70"/>
      <c r="S71" s="270"/>
      <c r="T71" s="271"/>
      <c r="X71" s="406" t="s">
        <v>776</v>
      </c>
    </row>
    <row r="72" spans="1:25" ht="15" customHeight="1" x14ac:dyDescent="0.25">
      <c r="A72" s="221" t="s">
        <v>497</v>
      </c>
      <c r="B72" s="70" t="s">
        <v>366</v>
      </c>
      <c r="C72" s="70" t="s">
        <v>17</v>
      </c>
      <c r="D72" s="70" t="s">
        <v>309</v>
      </c>
      <c r="E72" s="273" t="s">
        <v>473</v>
      </c>
      <c r="J72" s="70"/>
      <c r="K72" s="70"/>
      <c r="S72" s="270"/>
      <c r="T72" s="271"/>
      <c r="X72" s="406" t="s">
        <v>883</v>
      </c>
    </row>
    <row r="73" spans="1:25" x14ac:dyDescent="0.25">
      <c r="A73" s="221" t="s">
        <v>497</v>
      </c>
      <c r="B73" s="70" t="s">
        <v>367</v>
      </c>
      <c r="C73" s="70" t="s">
        <v>17</v>
      </c>
      <c r="D73" s="70" t="s">
        <v>309</v>
      </c>
      <c r="E73" s="273" t="s">
        <v>473</v>
      </c>
      <c r="J73" s="70"/>
      <c r="K73" s="70"/>
      <c r="S73" s="270"/>
      <c r="T73" s="271"/>
    </row>
    <row r="74" spans="1:25" x14ac:dyDescent="0.25">
      <c r="A74" s="221" t="s">
        <v>496</v>
      </c>
      <c r="B74" s="70" t="s">
        <v>368</v>
      </c>
      <c r="C74" s="70" t="s">
        <v>17</v>
      </c>
      <c r="D74" s="70" t="s">
        <v>309</v>
      </c>
      <c r="E74" s="273" t="s">
        <v>472</v>
      </c>
      <c r="J74" s="220"/>
      <c r="K74" s="277"/>
      <c r="S74" s="270"/>
      <c r="T74" s="271"/>
    </row>
    <row r="75" spans="1:25" x14ac:dyDescent="0.25">
      <c r="A75" s="221" t="s">
        <v>498</v>
      </c>
      <c r="B75" s="70" t="s">
        <v>369</v>
      </c>
      <c r="C75" s="70" t="s">
        <v>17</v>
      </c>
      <c r="D75" s="70" t="s">
        <v>309</v>
      </c>
      <c r="E75" s="273" t="s">
        <v>474</v>
      </c>
      <c r="J75" s="276"/>
      <c r="K75" s="276"/>
      <c r="S75" s="270"/>
      <c r="T75" s="271"/>
    </row>
    <row r="76" spans="1:25" x14ac:dyDescent="0.25">
      <c r="A76" s="221" t="s">
        <v>496</v>
      </c>
      <c r="B76" s="70" t="s">
        <v>370</v>
      </c>
      <c r="C76" s="70" t="s">
        <v>2</v>
      </c>
      <c r="D76" s="70" t="s">
        <v>309</v>
      </c>
      <c r="E76" s="273" t="s">
        <v>472</v>
      </c>
      <c r="J76" s="276"/>
      <c r="K76" s="276"/>
      <c r="S76" s="270"/>
      <c r="T76" s="271"/>
    </row>
    <row r="77" spans="1:25" x14ac:dyDescent="0.25">
      <c r="A77" s="221" t="s">
        <v>498</v>
      </c>
      <c r="B77" s="70" t="s">
        <v>371</v>
      </c>
      <c r="C77" s="70" t="s">
        <v>17</v>
      </c>
      <c r="D77" s="70" t="s">
        <v>309</v>
      </c>
      <c r="E77" s="273" t="s">
        <v>474</v>
      </c>
      <c r="J77" s="276"/>
      <c r="K77" s="276"/>
      <c r="S77" s="270"/>
      <c r="T77" s="271"/>
    </row>
    <row r="78" spans="1:25" x14ac:dyDescent="0.25">
      <c r="B78" s="70" t="s">
        <v>854</v>
      </c>
      <c r="J78" s="276"/>
      <c r="K78" s="276"/>
      <c r="S78" s="270"/>
      <c r="T78" s="271"/>
    </row>
    <row r="79" spans="1:25" x14ac:dyDescent="0.25">
      <c r="B79" s="70" t="s">
        <v>855</v>
      </c>
      <c r="J79" s="276"/>
      <c r="K79" s="276"/>
      <c r="S79" s="270"/>
      <c r="T79" s="271"/>
    </row>
    <row r="80" spans="1:25" x14ac:dyDescent="0.25">
      <c r="B80" s="70" t="s">
        <v>856</v>
      </c>
      <c r="J80" s="276"/>
      <c r="K80" s="276"/>
      <c r="S80" s="270"/>
      <c r="T80" s="271"/>
    </row>
    <row r="81" spans="2:20" x14ac:dyDescent="0.25">
      <c r="B81" s="70" t="s">
        <v>857</v>
      </c>
      <c r="J81" s="276"/>
      <c r="K81" s="276"/>
      <c r="S81" s="270"/>
      <c r="T81" s="271"/>
    </row>
    <row r="82" spans="2:20" x14ac:dyDescent="0.25">
      <c r="B82" s="70" t="s">
        <v>858</v>
      </c>
      <c r="J82" s="276"/>
      <c r="K82" s="276"/>
      <c r="S82" s="270"/>
      <c r="T82" s="271"/>
    </row>
    <row r="83" spans="2:20" x14ac:dyDescent="0.25">
      <c r="B83" s="70" t="s">
        <v>859</v>
      </c>
      <c r="J83" s="276"/>
      <c r="K83" s="276"/>
      <c r="S83" s="270"/>
      <c r="T83" s="271"/>
    </row>
    <row r="84" spans="2:20" x14ac:dyDescent="0.25">
      <c r="J84" s="276"/>
      <c r="K84" s="276"/>
      <c r="S84" s="270"/>
      <c r="T84" s="271"/>
    </row>
    <row r="85" spans="2:20" x14ac:dyDescent="0.25">
      <c r="J85" s="276"/>
      <c r="K85" s="276"/>
      <c r="S85" s="270"/>
      <c r="T85" s="271"/>
    </row>
    <row r="86" spans="2:20" x14ac:dyDescent="0.25">
      <c r="J86" s="276"/>
      <c r="K86" s="276"/>
      <c r="S86" s="270"/>
      <c r="T86" s="271"/>
    </row>
    <row r="87" spans="2:20" x14ac:dyDescent="0.25">
      <c r="J87" s="276"/>
      <c r="K87" s="276"/>
      <c r="S87" s="270"/>
      <c r="T87" s="271"/>
    </row>
    <row r="88" spans="2:20" x14ac:dyDescent="0.25">
      <c r="J88" s="276"/>
      <c r="K88" s="276"/>
      <c r="S88" s="270"/>
      <c r="T88" s="271"/>
    </row>
    <row r="89" spans="2:20" x14ac:dyDescent="0.25">
      <c r="J89" s="276"/>
      <c r="K89" s="276"/>
      <c r="S89" s="270"/>
      <c r="T89" s="271"/>
    </row>
    <row r="90" spans="2:20" x14ac:dyDescent="0.25">
      <c r="J90" s="276"/>
      <c r="K90" s="276"/>
      <c r="S90" s="270"/>
      <c r="T90" s="271"/>
    </row>
    <row r="91" spans="2:20" x14ac:dyDescent="0.25">
      <c r="J91" s="276"/>
      <c r="K91" s="276"/>
      <c r="S91" s="270"/>
      <c r="T91" s="271"/>
    </row>
    <row r="92" spans="2:20" x14ac:dyDescent="0.25">
      <c r="J92" s="220"/>
      <c r="K92" s="277"/>
      <c r="S92" s="270"/>
      <c r="T92" s="271"/>
    </row>
    <row r="93" spans="2:20" x14ac:dyDescent="0.25">
      <c r="J93" s="220"/>
      <c r="K93" s="277"/>
      <c r="S93" s="270"/>
      <c r="T93" s="271"/>
    </row>
    <row r="94" spans="2:20" x14ac:dyDescent="0.25">
      <c r="J94" s="220"/>
      <c r="K94" s="277"/>
      <c r="S94" s="270"/>
      <c r="T94" s="271"/>
    </row>
    <row r="95" spans="2:20" x14ac:dyDescent="0.25">
      <c r="J95" s="220"/>
      <c r="K95" s="277"/>
      <c r="S95" s="270"/>
      <c r="T95" s="271"/>
    </row>
    <row r="96" spans="2:20" x14ac:dyDescent="0.25">
      <c r="J96" s="220"/>
      <c r="K96" s="277"/>
      <c r="S96" s="270"/>
      <c r="T96" s="271"/>
    </row>
    <row r="97" spans="10:20" x14ac:dyDescent="0.25">
      <c r="J97" s="220"/>
      <c r="K97" s="277"/>
      <c r="S97" s="270"/>
      <c r="T97" s="271"/>
    </row>
    <row r="98" spans="10:20" x14ac:dyDescent="0.25">
      <c r="J98" s="220"/>
      <c r="K98" s="277"/>
      <c r="S98" s="270"/>
      <c r="T98" s="271"/>
    </row>
    <row r="99" spans="10:20" x14ac:dyDescent="0.25">
      <c r="J99" s="220"/>
      <c r="K99" s="277"/>
      <c r="S99" s="270"/>
      <c r="T99" s="271"/>
    </row>
    <row r="100" spans="10:20" x14ac:dyDescent="0.25">
      <c r="J100" s="220"/>
      <c r="K100" s="277"/>
      <c r="S100" s="270"/>
      <c r="T100" s="271"/>
    </row>
    <row r="101" spans="10:20" ht="15.75" thickBot="1" x14ac:dyDescent="0.3">
      <c r="J101" s="220"/>
      <c r="K101" s="277"/>
      <c r="S101" s="272"/>
      <c r="T101" s="271"/>
    </row>
    <row r="102" spans="10:20" x14ac:dyDescent="0.25">
      <c r="J102" s="220"/>
      <c r="K102" s="277"/>
    </row>
    <row r="103" spans="10:20" x14ac:dyDescent="0.25">
      <c r="J103" s="220"/>
      <c r="K103" s="277"/>
    </row>
    <row r="104" spans="10:20" x14ac:dyDescent="0.25">
      <c r="J104" s="220"/>
      <c r="K104" s="277"/>
    </row>
    <row r="105" spans="10:20" x14ac:dyDescent="0.25">
      <c r="J105" s="220"/>
      <c r="K105" s="277"/>
    </row>
    <row r="106" spans="10:20" x14ac:dyDescent="0.25">
      <c r="J106" s="220"/>
      <c r="K106" s="277"/>
    </row>
    <row r="107" spans="10:20" x14ac:dyDescent="0.25">
      <c r="J107" s="220"/>
      <c r="K107" s="277"/>
    </row>
    <row r="108" spans="10:20" x14ac:dyDescent="0.25">
      <c r="J108" s="220"/>
      <c r="K108" s="277"/>
    </row>
    <row r="109" spans="10:20" x14ac:dyDescent="0.25">
      <c r="J109" s="220"/>
      <c r="K109" s="277"/>
    </row>
    <row r="110" spans="10:20" x14ac:dyDescent="0.25">
      <c r="J110" s="220"/>
      <c r="K110" s="277"/>
    </row>
    <row r="111" spans="10:20" x14ac:dyDescent="0.25">
      <c r="J111" s="220"/>
      <c r="K111" s="277"/>
    </row>
    <row r="112" spans="10:20" x14ac:dyDescent="0.25">
      <c r="J112" s="220"/>
      <c r="K112" s="277"/>
    </row>
    <row r="113" spans="10:11" x14ac:dyDescent="0.25">
      <c r="J113" s="220"/>
      <c r="K113" s="277"/>
    </row>
    <row r="114" spans="10:11" x14ac:dyDescent="0.25">
      <c r="J114" s="220"/>
      <c r="K114" s="277"/>
    </row>
    <row r="115" spans="10:11" x14ac:dyDescent="0.25">
      <c r="J115" s="276"/>
      <c r="K115" s="276"/>
    </row>
    <row r="116" spans="10:11" x14ac:dyDescent="0.25">
      <c r="J116" s="276"/>
      <c r="K116" s="276"/>
    </row>
    <row r="117" spans="10:11" x14ac:dyDescent="0.25">
      <c r="J117" s="276"/>
      <c r="K117" s="276"/>
    </row>
    <row r="118" spans="10:11" x14ac:dyDescent="0.25">
      <c r="J118" s="276"/>
      <c r="K118" s="276"/>
    </row>
    <row r="119" spans="10:11" x14ac:dyDescent="0.25">
      <c r="J119" s="276"/>
      <c r="K119" s="276"/>
    </row>
    <row r="120" spans="10:11" x14ac:dyDescent="0.25">
      <c r="J120" s="276"/>
      <c r="K120" s="276"/>
    </row>
    <row r="121" spans="10:11" x14ac:dyDescent="0.25">
      <c r="J121" s="276"/>
      <c r="K121" s="276"/>
    </row>
    <row r="122" spans="10:11" x14ac:dyDescent="0.25">
      <c r="J122" s="276"/>
      <c r="K122" s="276"/>
    </row>
    <row r="123" spans="10:11" x14ac:dyDescent="0.25">
      <c r="J123" s="276"/>
      <c r="K123" s="276"/>
    </row>
    <row r="124" spans="10:11" x14ac:dyDescent="0.25">
      <c r="J124" s="276"/>
      <c r="K124" s="276"/>
    </row>
    <row r="125" spans="10:11" x14ac:dyDescent="0.25">
      <c r="J125" s="276"/>
      <c r="K125" s="276"/>
    </row>
    <row r="126" spans="10:11" x14ac:dyDescent="0.25">
      <c r="J126" s="276"/>
      <c r="K126" s="276"/>
    </row>
    <row r="127" spans="10:11" x14ac:dyDescent="0.25">
      <c r="J127" s="276"/>
      <c r="K127" s="276"/>
    </row>
    <row r="128" spans="10:11" x14ac:dyDescent="0.25">
      <c r="J128" s="276"/>
      <c r="K128" s="276"/>
    </row>
    <row r="129" spans="10:11" x14ac:dyDescent="0.25">
      <c r="J129" s="276"/>
      <c r="K129" s="276"/>
    </row>
    <row r="130" spans="10:11" x14ac:dyDescent="0.25">
      <c r="J130" s="220"/>
      <c r="K130" s="220"/>
    </row>
    <row r="131" spans="10:11" x14ac:dyDescent="0.25">
      <c r="J131" s="220"/>
      <c r="K131" s="277"/>
    </row>
    <row r="132" spans="10:11" x14ac:dyDescent="0.25">
      <c r="J132" s="276"/>
      <c r="K132" s="276"/>
    </row>
    <row r="133" spans="10:11" x14ac:dyDescent="0.25">
      <c r="J133" s="276"/>
      <c r="K133" s="276"/>
    </row>
    <row r="134" spans="10:11" x14ac:dyDescent="0.25">
      <c r="J134" s="276"/>
      <c r="K134" s="276"/>
    </row>
    <row r="135" spans="10:11" x14ac:dyDescent="0.25">
      <c r="J135" s="276"/>
      <c r="K135" s="276"/>
    </row>
    <row r="136" spans="10:11" x14ac:dyDescent="0.25">
      <c r="J136" s="276"/>
      <c r="K136" s="276"/>
    </row>
    <row r="137" spans="10:11" x14ac:dyDescent="0.25">
      <c r="J137" s="276"/>
      <c r="K137" s="276"/>
    </row>
    <row r="138" spans="10:11" x14ac:dyDescent="0.25">
      <c r="J138" s="70"/>
      <c r="K138" s="276"/>
    </row>
    <row r="139" spans="10:11" x14ac:dyDescent="0.25">
      <c r="J139" s="70"/>
      <c r="K139" s="276"/>
    </row>
    <row r="140" spans="10:11" x14ac:dyDescent="0.25">
      <c r="J140" s="70"/>
      <c r="K140" s="276"/>
    </row>
    <row r="141" spans="10:11" x14ac:dyDescent="0.25">
      <c r="J141" s="70"/>
      <c r="K141" s="276"/>
    </row>
    <row r="142" spans="10:11" x14ac:dyDescent="0.25">
      <c r="J142" s="70"/>
      <c r="K142" s="276"/>
    </row>
    <row r="143" spans="10:11" x14ac:dyDescent="0.25">
      <c r="J143" s="70"/>
      <c r="K143" s="276"/>
    </row>
  </sheetData>
  <sortState xmlns:xlrd2="http://schemas.microsoft.com/office/spreadsheetml/2017/richdata2" ref="Y62:Y67">
    <sortCondition ref="Y61:Y67"/>
  </sortState>
  <mergeCells count="9">
    <mergeCell ref="X1:Y1"/>
    <mergeCell ref="L21:L27"/>
    <mergeCell ref="M14:M20"/>
    <mergeCell ref="M8:M13"/>
    <mergeCell ref="M1:M7"/>
    <mergeCell ref="M21:M27"/>
    <mergeCell ref="L14:L20"/>
    <mergeCell ref="L8:L13"/>
    <mergeCell ref="L1:L7"/>
  </mergeCells>
  <phoneticPr fontId="43" type="noConversion"/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B659D-2CBC-4F05-9FC5-2F8D84A50B97}">
  <sheetPr codeName="Sheet15"/>
  <dimension ref="A1"/>
  <sheetViews>
    <sheetView workbookViewId="0"/>
  </sheetViews>
  <sheetFormatPr defaultRowHeight="15" x14ac:dyDescent="0.25"/>
  <cols>
    <col min="1" max="1" width="46.5703125" bestFit="1" customWidth="1"/>
    <col min="2" max="2" width="13.42578125" bestFit="1" customWidth="1"/>
    <col min="3" max="3" width="20.5703125" bestFit="1" customWidth="1"/>
    <col min="4" max="5" width="10" bestFit="1" customWidth="1"/>
    <col min="7" max="7" width="15.42578125" bestFit="1" customWidth="1"/>
    <col min="8" max="8" width="28.5703125" bestFit="1" customWidth="1"/>
    <col min="9" max="9" width="11.42578125" bestFit="1" customWidth="1"/>
    <col min="10" max="10" width="13.14062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indexed="47"/>
  </sheetPr>
  <dimension ref="A1:AK82"/>
  <sheetViews>
    <sheetView showGridLines="0" showZeros="0" showOutlineSymbols="0" defaultGridColor="0" colorId="22" zoomScale="85" zoomScaleNormal="100" workbookViewId="0">
      <selection activeCell="D24" sqref="D24"/>
    </sheetView>
  </sheetViews>
  <sheetFormatPr defaultColWidth="9.140625" defaultRowHeight="11.25" x14ac:dyDescent="0.2"/>
  <cols>
    <col min="1" max="1" width="9.140625" style="3"/>
    <col min="2" max="2" width="2.140625" style="3" customWidth="1"/>
    <col min="3" max="3" width="9.140625" style="3"/>
    <col min="4" max="6" width="11" style="3" customWidth="1"/>
    <col min="7" max="7" width="10.28515625" style="3" customWidth="1"/>
    <col min="8" max="14" width="11" style="3" customWidth="1"/>
    <col min="15" max="15" width="9.28515625" style="3" bestFit="1" customWidth="1"/>
    <col min="16" max="16384" width="9.140625" style="3"/>
  </cols>
  <sheetData>
    <row r="1" spans="1:37" ht="113.25" customHeight="1" thickBo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37" ht="57" customHeight="1" x14ac:dyDescent="0.2">
      <c r="A2" s="4"/>
      <c r="B2" s="1223" t="s">
        <v>146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5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37" s="11" customFormat="1" ht="37.5" customHeight="1" x14ac:dyDescent="0.25">
      <c r="A3" s="5"/>
      <c r="B3" s="6"/>
      <c r="C3" s="7" t="s">
        <v>147</v>
      </c>
      <c r="D3" s="8"/>
      <c r="E3" s="7" t="s">
        <v>148</v>
      </c>
      <c r="F3" s="7" t="s">
        <v>149</v>
      </c>
      <c r="G3" s="7" t="s">
        <v>150</v>
      </c>
      <c r="H3" s="7" t="s">
        <v>151</v>
      </c>
      <c r="I3" s="7" t="s">
        <v>152</v>
      </c>
      <c r="J3" s="7" t="s">
        <v>83</v>
      </c>
      <c r="K3" s="7" t="s">
        <v>153</v>
      </c>
      <c r="L3" s="7" t="s">
        <v>154</v>
      </c>
      <c r="M3" s="7" t="s">
        <v>155</v>
      </c>
      <c r="N3" s="7" t="s">
        <v>156</v>
      </c>
      <c r="O3" s="9" t="s">
        <v>157</v>
      </c>
      <c r="P3" s="10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37" ht="15" customHeight="1" x14ac:dyDescent="0.2">
      <c r="A4" s="4"/>
      <c r="B4" s="12" t="str">
        <f>LOOKUP(C4,AI3:AI81,AH3:AH81)&amp;" - Day Job"</f>
        <v>07 - Day Job</v>
      </c>
      <c r="C4" s="59">
        <v>7</v>
      </c>
      <c r="D4" s="13" t="str">
        <f>LOOKUP(C4,AI4:AI82,AJ4:AJ82)</f>
        <v>Seven</v>
      </c>
      <c r="E4" s="60">
        <v>7</v>
      </c>
      <c r="F4" s="60">
        <v>6</v>
      </c>
      <c r="G4" s="60">
        <v>6</v>
      </c>
      <c r="H4" s="60">
        <v>4</v>
      </c>
      <c r="I4" s="60">
        <v>5</v>
      </c>
      <c r="J4" s="60">
        <v>3</v>
      </c>
      <c r="K4" s="60">
        <v>3</v>
      </c>
      <c r="L4" s="60">
        <v>3</v>
      </c>
      <c r="M4" s="60">
        <v>2</v>
      </c>
      <c r="N4" s="60">
        <v>2</v>
      </c>
      <c r="O4" s="14">
        <v>2</v>
      </c>
      <c r="P4" s="15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H4" s="16" t="s">
        <v>158</v>
      </c>
      <c r="AI4" s="3">
        <v>1</v>
      </c>
      <c r="AJ4" s="3" t="s">
        <v>159</v>
      </c>
      <c r="AK4" s="3" t="s">
        <v>160</v>
      </c>
    </row>
    <row r="5" spans="1:37" ht="15" customHeight="1" x14ac:dyDescent="0.2">
      <c r="A5" s="4"/>
      <c r="B5" s="12" t="str">
        <f>LOOKUP(C5,AI4:AI82,AH4:AH82)&amp;" - Day Job"</f>
        <v>14 - Day Job</v>
      </c>
      <c r="C5" s="59">
        <v>14</v>
      </c>
      <c r="D5" s="13" t="str">
        <f>LOOKUP(C5,AI5:AI83,AJ5:AJ83)</f>
        <v>Fourteen</v>
      </c>
      <c r="E5" s="60">
        <v>14</v>
      </c>
      <c r="F5" s="60">
        <v>13</v>
      </c>
      <c r="G5" s="60">
        <v>13</v>
      </c>
      <c r="H5" s="60">
        <v>5</v>
      </c>
      <c r="I5" s="60">
        <v>5</v>
      </c>
      <c r="J5" s="60">
        <v>4</v>
      </c>
      <c r="K5" s="60">
        <v>4</v>
      </c>
      <c r="L5" s="60">
        <v>4</v>
      </c>
      <c r="M5" s="60">
        <v>4</v>
      </c>
      <c r="N5" s="60">
        <v>4</v>
      </c>
      <c r="O5" s="14">
        <v>2</v>
      </c>
      <c r="P5" s="15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H5" s="16" t="s">
        <v>161</v>
      </c>
      <c r="AI5" s="3">
        <v>2</v>
      </c>
      <c r="AJ5" s="3" t="s">
        <v>162</v>
      </c>
      <c r="AK5" s="3" t="s">
        <v>163</v>
      </c>
    </row>
    <row r="6" spans="1:37" ht="15" customHeight="1" x14ac:dyDescent="0.2">
      <c r="A6" s="4"/>
      <c r="B6" s="12" t="str">
        <f>LOOKUP(C6,AI5:AI83,AH5:AH83)&amp;" - Day Job"</f>
        <v>28 - Day Job</v>
      </c>
      <c r="C6" s="59">
        <v>28</v>
      </c>
      <c r="D6" s="13" t="str">
        <f>LOOKUP(C6,AI6:AI84,AJ6:AJ84)</f>
        <v>Twenty-Eight</v>
      </c>
      <c r="E6" s="60">
        <v>21</v>
      </c>
      <c r="F6" s="60">
        <v>20</v>
      </c>
      <c r="G6" s="60">
        <v>20</v>
      </c>
      <c r="H6" s="60">
        <v>14</v>
      </c>
      <c r="I6" s="60">
        <v>5</v>
      </c>
      <c r="J6" s="60">
        <v>5</v>
      </c>
      <c r="K6" s="60">
        <v>5</v>
      </c>
      <c r="L6" s="60">
        <v>5</v>
      </c>
      <c r="M6" s="60">
        <v>12</v>
      </c>
      <c r="N6" s="60">
        <v>8</v>
      </c>
      <c r="O6" s="14">
        <v>2</v>
      </c>
      <c r="P6" s="15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H6" s="16" t="s">
        <v>164</v>
      </c>
      <c r="AI6" s="3">
        <v>3</v>
      </c>
      <c r="AJ6" s="3" t="s">
        <v>165</v>
      </c>
      <c r="AK6" s="3" t="s">
        <v>166</v>
      </c>
    </row>
    <row r="7" spans="1:37" ht="15" customHeight="1" x14ac:dyDescent="0.2">
      <c r="A7" s="4"/>
      <c r="B7" s="12" t="str">
        <f>LOOKUP(C7,AI6:AI84,AH6:AH84)&amp;" - Day Job"</f>
        <v>40 - Day Job</v>
      </c>
      <c r="C7" s="59">
        <v>40</v>
      </c>
      <c r="D7" s="13" t="str">
        <f>LOOKUP(C7,AI7:AI85,AJ7:AJ85)</f>
        <v>Forty</v>
      </c>
      <c r="E7" s="60">
        <v>40</v>
      </c>
      <c r="F7" s="60">
        <v>36</v>
      </c>
      <c r="G7" s="60">
        <v>36</v>
      </c>
      <c r="H7" s="60">
        <v>28</v>
      </c>
      <c r="I7" s="60">
        <v>29</v>
      </c>
      <c r="J7" s="60">
        <v>5</v>
      </c>
      <c r="K7" s="60">
        <v>23</v>
      </c>
      <c r="L7" s="60">
        <v>20</v>
      </c>
      <c r="M7" s="60">
        <v>14</v>
      </c>
      <c r="N7" s="60">
        <v>7</v>
      </c>
      <c r="O7" s="14">
        <v>2</v>
      </c>
      <c r="P7" s="15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H7" s="16" t="s">
        <v>167</v>
      </c>
      <c r="AI7" s="3">
        <v>4</v>
      </c>
      <c r="AJ7" s="3" t="s">
        <v>168</v>
      </c>
      <c r="AK7" s="3" t="s">
        <v>169</v>
      </c>
    </row>
    <row r="8" spans="1:37" x14ac:dyDescent="0.2">
      <c r="A8" s="4"/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9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H8" s="16" t="s">
        <v>170</v>
      </c>
      <c r="AI8" s="3">
        <v>5</v>
      </c>
      <c r="AJ8" s="3" t="s">
        <v>171</v>
      </c>
      <c r="AK8" s="3" t="s">
        <v>172</v>
      </c>
    </row>
    <row r="9" spans="1:37" x14ac:dyDescent="0.2">
      <c r="A9" s="4"/>
      <c r="B9" s="20"/>
      <c r="C9" s="21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22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H9" s="16" t="s">
        <v>173</v>
      </c>
      <c r="AI9" s="3">
        <v>6</v>
      </c>
      <c r="AJ9" s="3" t="s">
        <v>174</v>
      </c>
      <c r="AK9" s="3" t="s">
        <v>175</v>
      </c>
    </row>
    <row r="10" spans="1:37" x14ac:dyDescent="0.2">
      <c r="A10" s="4"/>
      <c r="B10" s="17"/>
      <c r="C10" s="23" t="b">
        <v>0</v>
      </c>
      <c r="D10" s="18"/>
      <c r="E10" s="24" t="str">
        <f>IF(C10=TRUE,"Factory is OPEN on Saturdays",IF(C10=FALSE,"Factory is CLOSED on Saturdays",""))</f>
        <v>Factory is CLOSED on Saturdays</v>
      </c>
      <c r="F10" s="18"/>
      <c r="G10" s="18"/>
      <c r="H10" s="18"/>
      <c r="I10" s="18"/>
      <c r="J10" s="18"/>
      <c r="K10" s="18"/>
      <c r="L10" s="18"/>
      <c r="M10" s="18"/>
      <c r="N10" s="18"/>
      <c r="O10" s="22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H10" s="16" t="s">
        <v>176</v>
      </c>
      <c r="AI10" s="3">
        <v>7</v>
      </c>
      <c r="AJ10" s="3" t="s">
        <v>177</v>
      </c>
      <c r="AK10" s="3" t="s">
        <v>178</v>
      </c>
    </row>
    <row r="11" spans="1:37" ht="12" thickBot="1" x14ac:dyDescent="0.25">
      <c r="A11" s="4"/>
      <c r="B11" s="25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7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H11" s="16" t="s">
        <v>179</v>
      </c>
      <c r="AI11" s="3">
        <v>8</v>
      </c>
      <c r="AJ11" s="3" t="s">
        <v>180</v>
      </c>
      <c r="AK11" s="3" t="s">
        <v>181</v>
      </c>
    </row>
    <row r="12" spans="1:37" x14ac:dyDescent="0.2">
      <c r="A12" s="4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H12" s="16" t="s">
        <v>182</v>
      </c>
      <c r="AI12" s="3">
        <v>9</v>
      </c>
      <c r="AJ12" s="3" t="s">
        <v>183</v>
      </c>
      <c r="AK12" s="3" t="s">
        <v>184</v>
      </c>
    </row>
    <row r="13" spans="1:37" x14ac:dyDescent="0.2">
      <c r="A13" s="4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  <c r="Q13" s="29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H13" s="16" t="s">
        <v>185</v>
      </c>
      <c r="AI13" s="3">
        <v>10</v>
      </c>
      <c r="AJ13" s="3" t="s">
        <v>186</v>
      </c>
    </row>
    <row r="14" spans="1:37" x14ac:dyDescent="0.2">
      <c r="A14" s="4"/>
      <c r="B14" s="28"/>
      <c r="C14" s="28"/>
      <c r="D14" s="28"/>
      <c r="E14" s="28">
        <f>RANK(E15,$E$15:$O$15)</f>
        <v>1</v>
      </c>
      <c r="F14" s="28">
        <f t="shared" ref="F14:O14" si="0">RANK(F15,$E$15:$O$15)</f>
        <v>2</v>
      </c>
      <c r="G14" s="28">
        <f t="shared" si="0"/>
        <v>2</v>
      </c>
      <c r="H14" s="28">
        <f t="shared" si="0"/>
        <v>5</v>
      </c>
      <c r="I14" s="28"/>
      <c r="J14" s="28">
        <f t="shared" si="0"/>
        <v>6</v>
      </c>
      <c r="K14" s="28">
        <f t="shared" si="0"/>
        <v>6</v>
      </c>
      <c r="L14" s="28">
        <f t="shared" si="0"/>
        <v>6</v>
      </c>
      <c r="M14" s="28">
        <f t="shared" si="0"/>
        <v>9</v>
      </c>
      <c r="N14" s="28">
        <f t="shared" si="0"/>
        <v>9</v>
      </c>
      <c r="O14" s="28">
        <f t="shared" si="0"/>
        <v>9</v>
      </c>
      <c r="P14" s="29"/>
      <c r="Q14" s="29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H14" s="16" t="s">
        <v>187</v>
      </c>
      <c r="AI14" s="3">
        <v>11</v>
      </c>
      <c r="AJ14" s="3" t="s">
        <v>188</v>
      </c>
    </row>
    <row r="15" spans="1:37" x14ac:dyDescent="0.2">
      <c r="A15" s="4"/>
      <c r="B15" s="28"/>
      <c r="C15" s="28">
        <f>IF('Data Entry'!B3="",C4,LOOKUP('Data Entry'!B3,B4:B7,C4:C7))</f>
        <v>7</v>
      </c>
      <c r="D15" s="29"/>
      <c r="E15" s="29">
        <f>LOOKUP($C$15,$C$4:$C$7,E4:E7)</f>
        <v>7</v>
      </c>
      <c r="F15" s="29">
        <f t="shared" ref="F15:N15" si="1">LOOKUP($C$15,$C$4:$C$7,F4:F7)</f>
        <v>6</v>
      </c>
      <c r="G15" s="29">
        <f t="shared" si="1"/>
        <v>6</v>
      </c>
      <c r="H15" s="29">
        <f t="shared" si="1"/>
        <v>4</v>
      </c>
      <c r="I15" s="29">
        <f>LOOKUP($C$15,$C$4:$C$7,I4:I7)</f>
        <v>5</v>
      </c>
      <c r="J15" s="29">
        <f t="shared" si="1"/>
        <v>3</v>
      </c>
      <c r="K15" s="29">
        <f t="shared" si="1"/>
        <v>3</v>
      </c>
      <c r="L15" s="29">
        <f t="shared" si="1"/>
        <v>3</v>
      </c>
      <c r="M15" s="29">
        <f t="shared" si="1"/>
        <v>2</v>
      </c>
      <c r="N15" s="29">
        <f t="shared" si="1"/>
        <v>2</v>
      </c>
      <c r="O15" s="29">
        <f>LOOKUP($C$15,$C$4:$C$7,O4:O7)</f>
        <v>2</v>
      </c>
      <c r="P15" s="29"/>
      <c r="Q15" s="29"/>
      <c r="R15" s="28"/>
      <c r="S15" s="28"/>
      <c r="T15" s="28"/>
      <c r="U15" s="4"/>
      <c r="V15" s="4"/>
      <c r="W15" s="4"/>
      <c r="X15" s="4"/>
      <c r="Y15" s="4"/>
      <c r="Z15" s="4"/>
      <c r="AA15" s="4"/>
      <c r="AB15" s="4"/>
      <c r="AC15" s="4"/>
      <c r="AH15" s="16" t="s">
        <v>189</v>
      </c>
      <c r="AI15" s="3">
        <v>12</v>
      </c>
      <c r="AJ15" s="3" t="s">
        <v>190</v>
      </c>
    </row>
    <row r="16" spans="1:37" x14ac:dyDescent="0.2">
      <c r="A16" s="4"/>
      <c r="B16" s="28"/>
      <c r="C16" s="28"/>
      <c r="D16" s="29"/>
      <c r="E16" s="30">
        <f t="shared" ref="E16:N16" ca="1" si="2">$D$21-E15</f>
        <v>46153</v>
      </c>
      <c r="F16" s="30">
        <f t="shared" ca="1" si="2"/>
        <v>46154</v>
      </c>
      <c r="G16" s="30">
        <f t="shared" ca="1" si="2"/>
        <v>46154</v>
      </c>
      <c r="H16" s="30">
        <f t="shared" ca="1" si="2"/>
        <v>46156</v>
      </c>
      <c r="I16" s="30">
        <f t="shared" ca="1" si="2"/>
        <v>46155</v>
      </c>
      <c r="J16" s="30">
        <f t="shared" ca="1" si="2"/>
        <v>46157</v>
      </c>
      <c r="K16" s="30">
        <f t="shared" ca="1" si="2"/>
        <v>46157</v>
      </c>
      <c r="L16" s="30">
        <f t="shared" ca="1" si="2"/>
        <v>46157</v>
      </c>
      <c r="M16" s="30">
        <f t="shared" ca="1" si="2"/>
        <v>46158</v>
      </c>
      <c r="N16" s="30">
        <f t="shared" ca="1" si="2"/>
        <v>46158</v>
      </c>
      <c r="O16" s="30">
        <f ca="1">$D$21-O15</f>
        <v>46158</v>
      </c>
      <c r="P16" s="29"/>
      <c r="Q16" s="29"/>
      <c r="R16" s="28"/>
      <c r="S16" s="28"/>
      <c r="T16" s="28"/>
      <c r="U16" s="4"/>
      <c r="V16" s="4"/>
      <c r="W16" s="4"/>
      <c r="X16" s="4"/>
      <c r="Y16" s="4"/>
      <c r="Z16" s="4"/>
      <c r="AA16" s="4"/>
      <c r="AB16" s="4"/>
      <c r="AC16" s="4"/>
      <c r="AH16" s="16" t="s">
        <v>191</v>
      </c>
      <c r="AI16" s="3">
        <v>13</v>
      </c>
      <c r="AJ16" s="3" t="s">
        <v>192</v>
      </c>
    </row>
    <row r="17" spans="1:36" x14ac:dyDescent="0.2">
      <c r="A17" s="4"/>
      <c r="B17" s="28"/>
      <c r="C17" s="28"/>
      <c r="D17" s="29"/>
      <c r="E17" s="31" t="str">
        <f ca="1">TEXT(E16,"dddd")</f>
        <v>Monday</v>
      </c>
      <c r="F17" s="31" t="str">
        <f t="shared" ref="F17:O17" ca="1" si="3">TEXT(F16,"dddd")</f>
        <v>Tuesday</v>
      </c>
      <c r="G17" s="31" t="str">
        <f t="shared" ca="1" si="3"/>
        <v>Tuesday</v>
      </c>
      <c r="H17" s="31" t="str">
        <f t="shared" ca="1" si="3"/>
        <v>Thursday</v>
      </c>
      <c r="I17" s="31" t="str">
        <f t="shared" ca="1" si="3"/>
        <v>Wednesday</v>
      </c>
      <c r="J17" s="31" t="str">
        <f t="shared" ca="1" si="3"/>
        <v>Friday</v>
      </c>
      <c r="K17" s="31" t="str">
        <f t="shared" ca="1" si="3"/>
        <v>Friday</v>
      </c>
      <c r="L17" s="31" t="str">
        <f t="shared" ca="1" si="3"/>
        <v>Friday</v>
      </c>
      <c r="M17" s="31" t="str">
        <f t="shared" ca="1" si="3"/>
        <v>Saturday</v>
      </c>
      <c r="N17" s="31" t="str">
        <f t="shared" ca="1" si="3"/>
        <v>Saturday</v>
      </c>
      <c r="O17" s="31" t="str">
        <f t="shared" ca="1" si="3"/>
        <v>Saturday</v>
      </c>
      <c r="P17" s="29"/>
      <c r="Q17" s="29"/>
      <c r="R17" s="28"/>
      <c r="S17" s="28"/>
      <c r="T17" s="28"/>
      <c r="U17" s="4"/>
      <c r="V17" s="4"/>
      <c r="W17" s="4"/>
      <c r="X17" s="4"/>
      <c r="Y17" s="4"/>
      <c r="Z17" s="4"/>
      <c r="AA17" s="4"/>
      <c r="AB17" s="4"/>
      <c r="AC17" s="4"/>
      <c r="AH17" s="16" t="s">
        <v>193</v>
      </c>
      <c r="AI17" s="3">
        <v>14</v>
      </c>
      <c r="AJ17" s="3" t="s">
        <v>194</v>
      </c>
    </row>
    <row r="18" spans="1:36" x14ac:dyDescent="0.2">
      <c r="A18" s="4"/>
      <c r="B18" s="28"/>
      <c r="C18" s="28"/>
      <c r="D18" s="29"/>
      <c r="E18" s="30">
        <f ca="1">IF(AND($C$10=FALSE,E17="Sunday"),E16-2,IF(AND($C$10=FALSE,E17="Saturday"),E16-1,IF(AND($C$10=TRUE,E17="Sunday"),E16-1,E16)))</f>
        <v>46153</v>
      </c>
      <c r="F18" s="30">
        <f t="shared" ref="F18:O18" ca="1" si="4">IF(AND($C$10=FALSE,F17="Sunday"),F16-2,IF(AND($C$10=FALSE,F17="Saturday"),F16-1,IF(AND($C$10=TRUE,F17="Sunday"),F16-1,F16)))</f>
        <v>46154</v>
      </c>
      <c r="G18" s="30">
        <f t="shared" ca="1" si="4"/>
        <v>46154</v>
      </c>
      <c r="H18" s="30">
        <f t="shared" ca="1" si="4"/>
        <v>46156</v>
      </c>
      <c r="I18" s="30">
        <f t="shared" ca="1" si="4"/>
        <v>46155</v>
      </c>
      <c r="J18" s="30">
        <f t="shared" ca="1" si="4"/>
        <v>46157</v>
      </c>
      <c r="K18" s="30">
        <f t="shared" ca="1" si="4"/>
        <v>46157</v>
      </c>
      <c r="L18" s="30">
        <f t="shared" ca="1" si="4"/>
        <v>46157</v>
      </c>
      <c r="M18" s="30">
        <f t="shared" ca="1" si="4"/>
        <v>46157</v>
      </c>
      <c r="N18" s="30">
        <f t="shared" ca="1" si="4"/>
        <v>46157</v>
      </c>
      <c r="O18" s="30">
        <f t="shared" ca="1" si="4"/>
        <v>46157</v>
      </c>
      <c r="P18" s="29"/>
      <c r="Q18" s="29"/>
      <c r="R18" s="28"/>
      <c r="S18" s="28"/>
      <c r="T18" s="28"/>
      <c r="U18" s="4"/>
      <c r="V18" s="4"/>
      <c r="W18" s="4"/>
      <c r="X18" s="4"/>
      <c r="Y18" s="4"/>
      <c r="Z18" s="4"/>
      <c r="AA18" s="4"/>
      <c r="AB18" s="4"/>
      <c r="AC18" s="4"/>
      <c r="AH18" s="16" t="s">
        <v>195</v>
      </c>
      <c r="AI18" s="3">
        <v>15</v>
      </c>
      <c r="AJ18" s="3" t="s">
        <v>196</v>
      </c>
    </row>
    <row r="19" spans="1:36" x14ac:dyDescent="0.2">
      <c r="A19" s="4"/>
      <c r="B19" s="28"/>
      <c r="C19" s="28"/>
      <c r="D19" s="29"/>
      <c r="E19" s="31" t="str">
        <f ca="1">TEXT(E18,"dddd")</f>
        <v>Monday</v>
      </c>
      <c r="F19" s="31" t="str">
        <f t="shared" ref="F19:O19" ca="1" si="5">TEXT(F18,"dddd")</f>
        <v>Tuesday</v>
      </c>
      <c r="G19" s="31" t="str">
        <f t="shared" ca="1" si="5"/>
        <v>Tuesday</v>
      </c>
      <c r="H19" s="31" t="str">
        <f t="shared" ca="1" si="5"/>
        <v>Thursday</v>
      </c>
      <c r="I19" s="31" t="str">
        <f t="shared" ca="1" si="5"/>
        <v>Wednesday</v>
      </c>
      <c r="J19" s="31" t="str">
        <f t="shared" ca="1" si="5"/>
        <v>Friday</v>
      </c>
      <c r="K19" s="31" t="str">
        <f t="shared" ca="1" si="5"/>
        <v>Friday</v>
      </c>
      <c r="L19" s="31" t="str">
        <f t="shared" ca="1" si="5"/>
        <v>Friday</v>
      </c>
      <c r="M19" s="31" t="str">
        <f t="shared" ca="1" si="5"/>
        <v>Friday</v>
      </c>
      <c r="N19" s="31" t="str">
        <f t="shared" ca="1" si="5"/>
        <v>Friday</v>
      </c>
      <c r="O19" s="31" t="str">
        <f t="shared" ca="1" si="5"/>
        <v>Friday</v>
      </c>
      <c r="P19" s="29"/>
      <c r="Q19" s="29"/>
      <c r="R19" s="28"/>
      <c r="S19" s="28"/>
      <c r="T19" s="28"/>
      <c r="U19" s="4"/>
      <c r="V19" s="4"/>
      <c r="W19" s="4"/>
      <c r="X19" s="4"/>
      <c r="Y19" s="4"/>
      <c r="Z19" s="4"/>
      <c r="AA19" s="4"/>
      <c r="AB19" s="4"/>
      <c r="AC19" s="4"/>
      <c r="AH19" s="16" t="s">
        <v>197</v>
      </c>
      <c r="AI19" s="3">
        <v>16</v>
      </c>
      <c r="AJ19" s="3" t="s">
        <v>198</v>
      </c>
    </row>
    <row r="20" spans="1:36" x14ac:dyDescent="0.2">
      <c r="A20" s="4"/>
      <c r="B20" s="28"/>
      <c r="C20" s="28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8"/>
      <c r="S20" s="28"/>
      <c r="T20" s="28"/>
      <c r="U20" s="4"/>
      <c r="V20" s="4"/>
      <c r="W20" s="4"/>
      <c r="X20" s="4"/>
      <c r="Y20" s="4"/>
      <c r="Z20" s="4"/>
      <c r="AA20" s="4"/>
      <c r="AB20" s="4"/>
      <c r="AC20" s="4"/>
      <c r="AH20" s="16" t="s">
        <v>199</v>
      </c>
      <c r="AI20" s="3">
        <v>17</v>
      </c>
      <c r="AJ20" s="3" t="s">
        <v>200</v>
      </c>
    </row>
    <row r="21" spans="1:36" x14ac:dyDescent="0.2">
      <c r="A21" s="4"/>
      <c r="B21" s="28"/>
      <c r="C21" s="28"/>
      <c r="D21" s="30">
        <f ca="1">IF('Data Entry'!B1="",TODAY(),'Data Entry'!B1)</f>
        <v>46160</v>
      </c>
      <c r="E21" s="29" t="str">
        <f ca="1">IF(D21,TEXT(D21,"dddd"))</f>
        <v>Monday</v>
      </c>
      <c r="F21" s="29" t="s">
        <v>201</v>
      </c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8"/>
      <c r="S21" s="28"/>
      <c r="T21" s="28"/>
      <c r="U21" s="4"/>
      <c r="V21" s="4"/>
      <c r="W21" s="4"/>
      <c r="X21" s="4"/>
      <c r="Y21" s="4"/>
      <c r="Z21" s="4"/>
      <c r="AA21" s="4"/>
      <c r="AB21" s="4"/>
      <c r="AC21" s="4"/>
      <c r="AH21" s="16" t="s">
        <v>202</v>
      </c>
      <c r="AI21" s="3">
        <v>18</v>
      </c>
      <c r="AJ21" s="3" t="s">
        <v>203</v>
      </c>
    </row>
    <row r="22" spans="1:36" x14ac:dyDescent="0.2">
      <c r="A22" s="4"/>
      <c r="B22" s="28"/>
      <c r="C22" s="28"/>
      <c r="D22" s="30">
        <f ca="1">D21-2</f>
        <v>46158</v>
      </c>
      <c r="E22" s="29" t="str">
        <f ca="1">IF(D22,TEXT(D22,"dddd"))</f>
        <v>Saturday</v>
      </c>
      <c r="F22" s="29" t="s">
        <v>204</v>
      </c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8"/>
      <c r="S22" s="28"/>
      <c r="T22" s="28"/>
      <c r="U22" s="4"/>
      <c r="V22" s="4"/>
      <c r="W22" s="4"/>
      <c r="X22" s="4"/>
      <c r="Y22" s="4"/>
      <c r="Z22" s="4"/>
      <c r="AA22" s="4"/>
      <c r="AB22" s="4"/>
      <c r="AC22" s="4"/>
      <c r="AH22" s="16" t="s">
        <v>205</v>
      </c>
      <c r="AI22" s="3">
        <v>19</v>
      </c>
      <c r="AJ22" s="3" t="s">
        <v>206</v>
      </c>
    </row>
    <row r="23" spans="1:36" x14ac:dyDescent="0.2">
      <c r="A23" s="4"/>
      <c r="B23" s="28"/>
      <c r="C23" s="28"/>
      <c r="D23" s="30">
        <f ca="1">IF(AND(E22="Sunday",C10=TRUE),D22-1,IF(AND(E22="Sunday",C10=FALSE),D22-2,IF(AND(E22="Saturday",C10=FALSE),D22-1,D22)))</f>
        <v>46157</v>
      </c>
      <c r="E23" s="29" t="str">
        <f ca="1">IF(AND(E22="Sunday",C10=TRUE),"Saturday",IF(AND(E22="Sunday",C10=FALSE),"Friday",IF(AND(E22="Saturday",C10=FALSE),"Friday",E22)))</f>
        <v>Friday</v>
      </c>
      <c r="F23" s="29" t="s">
        <v>207</v>
      </c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8"/>
      <c r="S23" s="28"/>
      <c r="T23" s="28"/>
      <c r="U23" s="4"/>
      <c r="V23" s="4"/>
      <c r="W23" s="4"/>
      <c r="X23" s="4"/>
      <c r="Y23" s="4"/>
      <c r="Z23" s="4"/>
      <c r="AA23" s="4"/>
      <c r="AB23" s="4"/>
      <c r="AC23" s="4"/>
      <c r="AH23" s="16" t="s">
        <v>208</v>
      </c>
      <c r="AI23" s="3">
        <v>20</v>
      </c>
      <c r="AJ23" s="3" t="str">
        <f>AK4</f>
        <v>Twenty</v>
      </c>
    </row>
    <row r="24" spans="1:36" x14ac:dyDescent="0.2">
      <c r="A24" s="4"/>
      <c r="B24" s="28"/>
      <c r="C24" s="28"/>
      <c r="D24" s="29" t="str">
        <f ca="1">IF(D23,TEXT(D23,"dddd, mmmm dd"))</f>
        <v>Friday, May 15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8"/>
      <c r="S24" s="28"/>
      <c r="T24" s="28"/>
      <c r="U24" s="4"/>
      <c r="V24" s="4"/>
      <c r="W24" s="4"/>
      <c r="X24" s="4"/>
      <c r="Y24" s="4"/>
      <c r="Z24" s="4"/>
      <c r="AA24" s="4"/>
      <c r="AB24" s="4"/>
      <c r="AC24" s="4"/>
      <c r="AH24" s="16" t="s">
        <v>209</v>
      </c>
      <c r="AI24" s="3">
        <v>21</v>
      </c>
      <c r="AJ24" s="3" t="str">
        <f>$AK$4&amp;"-"&amp;AJ4</f>
        <v>Twenty-One</v>
      </c>
    </row>
    <row r="25" spans="1:36" x14ac:dyDescent="0.2">
      <c r="A25" s="4"/>
      <c r="B25" s="28"/>
      <c r="C25" s="28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8"/>
      <c r="S25" s="28"/>
      <c r="T25" s="28"/>
      <c r="U25" s="4"/>
      <c r="V25" s="4"/>
      <c r="W25" s="4"/>
      <c r="X25" s="4"/>
      <c r="Y25" s="4"/>
      <c r="Z25" s="4"/>
      <c r="AA25" s="4"/>
      <c r="AB25" s="4"/>
      <c r="AC25" s="4"/>
      <c r="AH25" s="16" t="s">
        <v>210</v>
      </c>
      <c r="AI25" s="3">
        <v>22</v>
      </c>
      <c r="AJ25" s="3" t="str">
        <f t="shared" ref="AJ25:AJ32" si="6">$AK$4&amp;"-"&amp;AJ5</f>
        <v>Twenty-Two</v>
      </c>
    </row>
    <row r="26" spans="1:36" x14ac:dyDescent="0.2">
      <c r="A26" s="4"/>
      <c r="B26" s="28"/>
      <c r="C26" s="28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8"/>
      <c r="S26" s="28"/>
      <c r="T26" s="28"/>
      <c r="U26" s="4"/>
      <c r="V26" s="4"/>
      <c r="W26" s="4"/>
      <c r="X26" s="4"/>
      <c r="Y26" s="4"/>
      <c r="Z26" s="4"/>
      <c r="AA26" s="4"/>
      <c r="AB26" s="4"/>
      <c r="AC26" s="4"/>
      <c r="AH26" s="16" t="s">
        <v>211</v>
      </c>
      <c r="AI26" s="3">
        <v>23</v>
      </c>
      <c r="AJ26" s="3" t="str">
        <f t="shared" si="6"/>
        <v>Twenty-Three</v>
      </c>
    </row>
    <row r="27" spans="1:36" x14ac:dyDescent="0.2">
      <c r="A27" s="4"/>
      <c r="B27" s="28"/>
      <c r="C27" s="28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8"/>
      <c r="S27" s="28"/>
      <c r="T27" s="28"/>
      <c r="U27" s="4"/>
      <c r="V27" s="4"/>
      <c r="W27" s="4"/>
      <c r="X27" s="4"/>
      <c r="Y27" s="4"/>
      <c r="Z27" s="4"/>
      <c r="AA27" s="4"/>
      <c r="AB27" s="4"/>
      <c r="AC27" s="4"/>
      <c r="AH27" s="16" t="s">
        <v>212</v>
      </c>
      <c r="AI27" s="3">
        <v>24</v>
      </c>
      <c r="AJ27" s="3" t="str">
        <f t="shared" si="6"/>
        <v>Twenty-Four</v>
      </c>
    </row>
    <row r="28" spans="1:36" x14ac:dyDescent="0.2">
      <c r="A28" s="4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H28" s="16" t="s">
        <v>213</v>
      </c>
      <c r="AI28" s="3">
        <v>25</v>
      </c>
      <c r="AJ28" s="3" t="str">
        <f t="shared" si="6"/>
        <v>Twenty-Five</v>
      </c>
    </row>
    <row r="29" spans="1:36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H29" s="16" t="s">
        <v>214</v>
      </c>
      <c r="AI29" s="3">
        <v>26</v>
      </c>
      <c r="AJ29" s="3" t="str">
        <f t="shared" si="6"/>
        <v>Twenty-Six</v>
      </c>
    </row>
    <row r="30" spans="1:36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H30" s="16" t="s">
        <v>215</v>
      </c>
      <c r="AI30" s="3">
        <v>27</v>
      </c>
      <c r="AJ30" s="3" t="str">
        <f t="shared" si="6"/>
        <v>Twenty-Seven</v>
      </c>
    </row>
    <row r="31" spans="1:36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H31" s="16" t="s">
        <v>216</v>
      </c>
      <c r="AI31" s="3">
        <v>28</v>
      </c>
      <c r="AJ31" s="3" t="str">
        <f t="shared" si="6"/>
        <v>Twenty-Eight</v>
      </c>
    </row>
    <row r="32" spans="1:36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H32" s="16" t="s">
        <v>217</v>
      </c>
      <c r="AI32" s="3">
        <v>29</v>
      </c>
      <c r="AJ32" s="3" t="str">
        <f t="shared" si="6"/>
        <v>Twenty-Nine</v>
      </c>
    </row>
    <row r="33" spans="1:36" ht="47.2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H33" s="16" t="s">
        <v>218</v>
      </c>
      <c r="AI33" s="3">
        <v>30</v>
      </c>
      <c r="AJ33" s="3" t="str">
        <f>AK5</f>
        <v>Thirty</v>
      </c>
    </row>
    <row r="34" spans="1:36" ht="30.7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H34" s="16" t="s">
        <v>219</v>
      </c>
      <c r="AI34" s="3">
        <v>31</v>
      </c>
      <c r="AJ34" s="3" t="str">
        <f>$AK$5&amp;"-"&amp;AJ4</f>
        <v>Thirty-One</v>
      </c>
    </row>
    <row r="35" spans="1:36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H35" s="16" t="s">
        <v>220</v>
      </c>
      <c r="AI35" s="3">
        <v>32</v>
      </c>
      <c r="AJ35" s="3" t="str">
        <f t="shared" ref="AJ35:AJ42" si="7">$AK$5&amp;"-"&amp;AJ5</f>
        <v>Thirty-Two</v>
      </c>
    </row>
    <row r="36" spans="1:36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H36" s="16" t="s">
        <v>221</v>
      </c>
      <c r="AI36" s="3">
        <v>33</v>
      </c>
      <c r="AJ36" s="3" t="str">
        <f t="shared" si="7"/>
        <v>Thirty-Three</v>
      </c>
    </row>
    <row r="37" spans="1:36" ht="15" customHeight="1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H37" s="16" t="s">
        <v>222</v>
      </c>
      <c r="AI37" s="3">
        <v>34</v>
      </c>
      <c r="AJ37" s="3" t="str">
        <f t="shared" si="7"/>
        <v>Thirty-Four</v>
      </c>
    </row>
    <row r="38" spans="1:36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H38" s="16" t="s">
        <v>223</v>
      </c>
      <c r="AI38" s="3">
        <v>35</v>
      </c>
      <c r="AJ38" s="3" t="str">
        <f t="shared" si="7"/>
        <v>Thirty-Five</v>
      </c>
    </row>
    <row r="39" spans="1:36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H39" s="16" t="s">
        <v>224</v>
      </c>
      <c r="AI39" s="3">
        <v>36</v>
      </c>
      <c r="AJ39" s="3" t="str">
        <f t="shared" si="7"/>
        <v>Thirty-Six</v>
      </c>
    </row>
    <row r="40" spans="1:36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H40" s="16" t="s">
        <v>225</v>
      </c>
      <c r="AI40" s="3">
        <v>37</v>
      </c>
      <c r="AJ40" s="3" t="str">
        <f t="shared" si="7"/>
        <v>Thirty-Seven</v>
      </c>
    </row>
    <row r="41" spans="1:36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H41" s="16" t="s">
        <v>226</v>
      </c>
      <c r="AI41" s="3">
        <v>38</v>
      </c>
      <c r="AJ41" s="3" t="str">
        <f t="shared" si="7"/>
        <v>Thirty-Eight</v>
      </c>
    </row>
    <row r="42" spans="1:36" ht="23.2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H42" s="16" t="s">
        <v>227</v>
      </c>
      <c r="AI42" s="3">
        <v>39</v>
      </c>
      <c r="AJ42" s="3" t="str">
        <f t="shared" si="7"/>
        <v>Thirty-Nine</v>
      </c>
    </row>
    <row r="43" spans="1:36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H43" s="16" t="s">
        <v>228</v>
      </c>
      <c r="AI43" s="3">
        <v>40</v>
      </c>
      <c r="AJ43" s="3" t="str">
        <f>AK6</f>
        <v>Forty</v>
      </c>
    </row>
    <row r="44" spans="1:36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H44" s="16" t="s">
        <v>229</v>
      </c>
      <c r="AI44" s="3">
        <v>41</v>
      </c>
      <c r="AJ44" s="3" t="str">
        <f>$AK$6&amp;"-"&amp;AJ4</f>
        <v>Forty-One</v>
      </c>
    </row>
    <row r="45" spans="1:36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H45" s="16" t="s">
        <v>230</v>
      </c>
      <c r="AI45" s="3">
        <v>42</v>
      </c>
      <c r="AJ45" s="3" t="str">
        <f t="shared" ref="AJ45:AJ52" si="8">$AK$6&amp;"-"&amp;AJ5</f>
        <v>Forty-Two</v>
      </c>
    </row>
    <row r="46" spans="1:36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H46" s="16" t="s">
        <v>231</v>
      </c>
      <c r="AI46" s="3">
        <v>43</v>
      </c>
      <c r="AJ46" s="3" t="str">
        <f t="shared" si="8"/>
        <v>Forty-Three</v>
      </c>
    </row>
    <row r="47" spans="1:36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H47" s="16" t="s">
        <v>232</v>
      </c>
      <c r="AI47" s="3">
        <v>44</v>
      </c>
      <c r="AJ47" s="3" t="str">
        <f t="shared" si="8"/>
        <v>Forty-Four</v>
      </c>
    </row>
    <row r="48" spans="1:36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H48" s="16" t="s">
        <v>233</v>
      </c>
      <c r="AI48" s="3">
        <v>45</v>
      </c>
      <c r="AJ48" s="3" t="str">
        <f t="shared" si="8"/>
        <v>Forty-Five</v>
      </c>
    </row>
    <row r="49" spans="1:36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H49" s="16" t="s">
        <v>234</v>
      </c>
      <c r="AI49" s="3">
        <v>46</v>
      </c>
      <c r="AJ49" s="3" t="str">
        <f t="shared" si="8"/>
        <v>Forty-Six</v>
      </c>
    </row>
    <row r="50" spans="1:36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H50" s="16" t="s">
        <v>235</v>
      </c>
      <c r="AI50" s="3">
        <v>47</v>
      </c>
      <c r="AJ50" s="3" t="str">
        <f t="shared" si="8"/>
        <v>Forty-Seven</v>
      </c>
    </row>
    <row r="51" spans="1:36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H51" s="16" t="s">
        <v>236</v>
      </c>
      <c r="AI51" s="3">
        <v>48</v>
      </c>
      <c r="AJ51" s="3" t="str">
        <f t="shared" si="8"/>
        <v>Forty-Eight</v>
      </c>
    </row>
    <row r="52" spans="1:36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H52" s="16" t="s">
        <v>237</v>
      </c>
      <c r="AI52" s="3">
        <v>49</v>
      </c>
      <c r="AJ52" s="3" t="str">
        <f t="shared" si="8"/>
        <v>Forty-Nine</v>
      </c>
    </row>
    <row r="53" spans="1:36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H53" s="16" t="s">
        <v>238</v>
      </c>
      <c r="AI53" s="3">
        <v>50</v>
      </c>
      <c r="AJ53" s="3" t="str">
        <f>AK7</f>
        <v>Fifty</v>
      </c>
    </row>
    <row r="54" spans="1:36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H54" s="16" t="s">
        <v>239</v>
      </c>
      <c r="AI54" s="3">
        <v>51</v>
      </c>
      <c r="AJ54" s="3" t="str">
        <f>$AK$7&amp;"-"&amp;AJ4</f>
        <v>Fifty-One</v>
      </c>
    </row>
    <row r="55" spans="1:36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H55" s="16" t="s">
        <v>240</v>
      </c>
      <c r="AI55" s="3">
        <v>52</v>
      </c>
      <c r="AJ55" s="3" t="str">
        <f t="shared" ref="AJ55:AJ62" si="9">$AK$7&amp;"-"&amp;AJ5</f>
        <v>Fifty-Two</v>
      </c>
    </row>
    <row r="56" spans="1:36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H56" s="16" t="s">
        <v>241</v>
      </c>
      <c r="AI56" s="3">
        <v>53</v>
      </c>
      <c r="AJ56" s="3" t="str">
        <f t="shared" si="9"/>
        <v>Fifty-Three</v>
      </c>
    </row>
    <row r="57" spans="1:36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H57" s="16" t="s">
        <v>242</v>
      </c>
      <c r="AI57" s="3">
        <v>54</v>
      </c>
      <c r="AJ57" s="3" t="str">
        <f t="shared" si="9"/>
        <v>Fifty-Four</v>
      </c>
    </row>
    <row r="58" spans="1:36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H58" s="16" t="s">
        <v>243</v>
      </c>
      <c r="AI58" s="3">
        <v>55</v>
      </c>
      <c r="AJ58" s="3" t="str">
        <f t="shared" si="9"/>
        <v>Fifty-Five</v>
      </c>
    </row>
    <row r="59" spans="1:36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H59" s="16" t="s">
        <v>244</v>
      </c>
      <c r="AI59" s="3">
        <v>56</v>
      </c>
      <c r="AJ59" s="3" t="str">
        <f t="shared" si="9"/>
        <v>Fifty-Six</v>
      </c>
    </row>
    <row r="60" spans="1:36" x14ac:dyDescent="0.2">
      <c r="AH60" s="16" t="s">
        <v>245</v>
      </c>
      <c r="AI60" s="3">
        <v>57</v>
      </c>
      <c r="AJ60" s="3" t="str">
        <f t="shared" si="9"/>
        <v>Fifty-Seven</v>
      </c>
    </row>
    <row r="61" spans="1:36" x14ac:dyDescent="0.2">
      <c r="AH61" s="16" t="s">
        <v>246</v>
      </c>
      <c r="AI61" s="3">
        <v>58</v>
      </c>
      <c r="AJ61" s="3" t="str">
        <f t="shared" si="9"/>
        <v>Fifty-Eight</v>
      </c>
    </row>
    <row r="62" spans="1:36" x14ac:dyDescent="0.2">
      <c r="AH62" s="16" t="s">
        <v>247</v>
      </c>
      <c r="AI62" s="3">
        <v>59</v>
      </c>
      <c r="AJ62" s="3" t="str">
        <f t="shared" si="9"/>
        <v>Fifty-Nine</v>
      </c>
    </row>
    <row r="63" spans="1:36" x14ac:dyDescent="0.2">
      <c r="AH63" s="16" t="s">
        <v>248</v>
      </c>
      <c r="AI63" s="3">
        <v>60</v>
      </c>
      <c r="AJ63" s="3" t="str">
        <f>AK8</f>
        <v>Sixty</v>
      </c>
    </row>
    <row r="64" spans="1:36" x14ac:dyDescent="0.2">
      <c r="AH64" s="16" t="s">
        <v>249</v>
      </c>
      <c r="AI64" s="3">
        <v>61</v>
      </c>
      <c r="AJ64" s="3" t="str">
        <f>$AK$8&amp;"-"&amp;AJ4</f>
        <v>Sixty-One</v>
      </c>
    </row>
    <row r="65" spans="34:36" x14ac:dyDescent="0.2">
      <c r="AH65" s="16" t="s">
        <v>250</v>
      </c>
      <c r="AI65" s="3">
        <v>62</v>
      </c>
      <c r="AJ65" s="3" t="str">
        <f t="shared" ref="AJ65:AJ72" si="10">$AK$8&amp;"-"&amp;AJ5</f>
        <v>Sixty-Two</v>
      </c>
    </row>
    <row r="66" spans="34:36" x14ac:dyDescent="0.2">
      <c r="AH66" s="16" t="s">
        <v>251</v>
      </c>
      <c r="AI66" s="3">
        <v>63</v>
      </c>
      <c r="AJ66" s="3" t="str">
        <f t="shared" si="10"/>
        <v>Sixty-Three</v>
      </c>
    </row>
    <row r="67" spans="34:36" x14ac:dyDescent="0.2">
      <c r="AH67" s="16" t="s">
        <v>252</v>
      </c>
      <c r="AI67" s="3">
        <v>64</v>
      </c>
      <c r="AJ67" s="3" t="str">
        <f t="shared" si="10"/>
        <v>Sixty-Four</v>
      </c>
    </row>
    <row r="68" spans="34:36" x14ac:dyDescent="0.2">
      <c r="AH68" s="16" t="s">
        <v>253</v>
      </c>
      <c r="AI68" s="3">
        <v>65</v>
      </c>
      <c r="AJ68" s="3" t="str">
        <f t="shared" si="10"/>
        <v>Sixty-Five</v>
      </c>
    </row>
    <row r="69" spans="34:36" x14ac:dyDescent="0.2">
      <c r="AH69" s="16" t="s">
        <v>254</v>
      </c>
      <c r="AI69" s="3">
        <v>66</v>
      </c>
      <c r="AJ69" s="3" t="str">
        <f t="shared" si="10"/>
        <v>Sixty-Six</v>
      </c>
    </row>
    <row r="70" spans="34:36" x14ac:dyDescent="0.2">
      <c r="AH70" s="16" t="s">
        <v>255</v>
      </c>
      <c r="AI70" s="3">
        <v>67</v>
      </c>
      <c r="AJ70" s="3" t="str">
        <f t="shared" si="10"/>
        <v>Sixty-Seven</v>
      </c>
    </row>
    <row r="71" spans="34:36" x14ac:dyDescent="0.2">
      <c r="AH71" s="16" t="s">
        <v>256</v>
      </c>
      <c r="AI71" s="3">
        <v>68</v>
      </c>
      <c r="AJ71" s="3" t="str">
        <f t="shared" si="10"/>
        <v>Sixty-Eight</v>
      </c>
    </row>
    <row r="72" spans="34:36" x14ac:dyDescent="0.2">
      <c r="AH72" s="16" t="s">
        <v>257</v>
      </c>
      <c r="AI72" s="3">
        <v>69</v>
      </c>
      <c r="AJ72" s="3" t="str">
        <f t="shared" si="10"/>
        <v>Sixty-Nine</v>
      </c>
    </row>
    <row r="73" spans="34:36" x14ac:dyDescent="0.2">
      <c r="AH73" s="16" t="s">
        <v>258</v>
      </c>
      <c r="AI73" s="3">
        <v>70</v>
      </c>
      <c r="AJ73" s="3" t="str">
        <f>AK9</f>
        <v>Seventy</v>
      </c>
    </row>
    <row r="74" spans="34:36" x14ac:dyDescent="0.2">
      <c r="AH74" s="16" t="s">
        <v>259</v>
      </c>
      <c r="AI74" s="3">
        <v>71</v>
      </c>
      <c r="AJ74" s="3" t="str">
        <f>$AK$9&amp;"-"&amp;AJ4</f>
        <v>Seventy-One</v>
      </c>
    </row>
    <row r="75" spans="34:36" x14ac:dyDescent="0.2">
      <c r="AH75" s="16" t="s">
        <v>260</v>
      </c>
      <c r="AI75" s="3">
        <v>72</v>
      </c>
      <c r="AJ75" s="3" t="str">
        <f t="shared" ref="AJ75:AJ82" si="11">$AK$9&amp;"-"&amp;AJ5</f>
        <v>Seventy-Two</v>
      </c>
    </row>
    <row r="76" spans="34:36" x14ac:dyDescent="0.2">
      <c r="AH76" s="16" t="s">
        <v>261</v>
      </c>
      <c r="AI76" s="3">
        <v>73</v>
      </c>
      <c r="AJ76" s="3" t="str">
        <f t="shared" si="11"/>
        <v>Seventy-Three</v>
      </c>
    </row>
    <row r="77" spans="34:36" x14ac:dyDescent="0.2">
      <c r="AH77" s="16" t="s">
        <v>262</v>
      </c>
      <c r="AI77" s="3">
        <v>74</v>
      </c>
      <c r="AJ77" s="3" t="str">
        <f t="shared" si="11"/>
        <v>Seventy-Four</v>
      </c>
    </row>
    <row r="78" spans="34:36" x14ac:dyDescent="0.2">
      <c r="AH78" s="16" t="s">
        <v>263</v>
      </c>
      <c r="AI78" s="3">
        <v>75</v>
      </c>
      <c r="AJ78" s="3" t="str">
        <f t="shared" si="11"/>
        <v>Seventy-Five</v>
      </c>
    </row>
    <row r="79" spans="34:36" x14ac:dyDescent="0.2">
      <c r="AH79" s="16" t="s">
        <v>264</v>
      </c>
      <c r="AI79" s="3">
        <v>76</v>
      </c>
      <c r="AJ79" s="3" t="str">
        <f t="shared" si="11"/>
        <v>Seventy-Six</v>
      </c>
    </row>
    <row r="80" spans="34:36" x14ac:dyDescent="0.2">
      <c r="AH80" s="16" t="s">
        <v>265</v>
      </c>
      <c r="AI80" s="3">
        <v>77</v>
      </c>
      <c r="AJ80" s="3" t="str">
        <f t="shared" si="11"/>
        <v>Seventy-Seven</v>
      </c>
    </row>
    <row r="81" spans="34:36" x14ac:dyDescent="0.2">
      <c r="AH81" s="16" t="s">
        <v>266</v>
      </c>
      <c r="AI81" s="3">
        <v>78</v>
      </c>
      <c r="AJ81" s="3" t="str">
        <f t="shared" si="11"/>
        <v>Seventy-Eight</v>
      </c>
    </row>
    <row r="82" spans="34:36" x14ac:dyDescent="0.2">
      <c r="AH82" s="16" t="s">
        <v>267</v>
      </c>
      <c r="AI82" s="3">
        <v>79</v>
      </c>
      <c r="AJ82" s="3" t="str">
        <f t="shared" si="11"/>
        <v>Seventy-Nine</v>
      </c>
    </row>
  </sheetData>
  <mergeCells count="1">
    <mergeCell ref="B2:O2"/>
  </mergeCells>
  <pageMargins left="0.69" right="0.75" top="1" bottom="1" header="0.5" footer="0.5"/>
  <pageSetup scale="85" orientation="landscape" r:id="rId1"/>
  <headerFooter alignWithMargins="0"/>
  <rowBreaks count="1" manualBreakCount="1">
    <brk id="32" max="16383" man="1"/>
  </rowBreaks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autoFill="0" autoLine="0" autoPict="0" altText="_x000a__x000a_Check this box!">
                <anchor moveWithCells="1">
                  <from>
                    <xdr:col>3</xdr:col>
                    <xdr:colOff>571500</xdr:colOff>
                    <xdr:row>8</xdr:row>
                    <xdr:rowOff>57150</xdr:rowOff>
                  </from>
                  <to>
                    <xdr:col>6</xdr:col>
                    <xdr:colOff>419100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94D621-EFC2-4E90-A5CA-AA62B0333C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13</vt:i4>
      </vt:variant>
    </vt:vector>
  </HeadingPairs>
  <TitlesOfParts>
    <vt:vector size="31" baseType="lpstr">
      <vt:lpstr>Data Entry</vt:lpstr>
      <vt:lpstr>Modify Here</vt:lpstr>
      <vt:lpstr>Final Price Sheet</vt:lpstr>
      <vt:lpstr>Job Cart Cover Sheet</vt:lpstr>
      <vt:lpstr>Purchase Order</vt:lpstr>
      <vt:lpstr>VJT Order</vt:lpstr>
      <vt:lpstr>CF5 Order</vt:lpstr>
      <vt:lpstr>CF Stone</vt:lpstr>
      <vt:lpstr>CF Thermo</vt:lpstr>
      <vt:lpstr>Doormark A1</vt:lpstr>
      <vt:lpstr>Doormark B1</vt:lpstr>
      <vt:lpstr>Ladder</vt:lpstr>
      <vt:lpstr>BCCD A1</vt:lpstr>
      <vt:lpstr>Holes</vt:lpstr>
      <vt:lpstr>W.W. Template</vt:lpstr>
      <vt:lpstr>Data Conversions</vt:lpstr>
      <vt:lpstr>Import</vt:lpstr>
      <vt:lpstr>Work Required Grid</vt:lpstr>
      <vt:lpstr>GraniteOptions</vt:lpstr>
      <vt:lpstr>MarbleOptions</vt:lpstr>
      <vt:lpstr>'CF Stone'!Print_Area</vt:lpstr>
      <vt:lpstr>'CF Thermo'!Print_Area</vt:lpstr>
      <vt:lpstr>'CF5 Order'!Print_Area</vt:lpstr>
      <vt:lpstr>'Final Price Sheet'!Print_Area</vt:lpstr>
      <vt:lpstr>'Job Cart Cover Sheet'!Print_Area</vt:lpstr>
      <vt:lpstr>Ladder!Print_Area</vt:lpstr>
      <vt:lpstr>'Purchase Order'!Print_Area</vt:lpstr>
      <vt:lpstr>'VJT Order'!Print_Area</vt:lpstr>
      <vt:lpstr>QuartzOptions</vt:lpstr>
      <vt:lpstr>RodFinish</vt:lpstr>
      <vt:lpstr>RodLength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Karpinski</dc:creator>
  <cp:keywords/>
  <dc:description/>
  <cp:lastModifiedBy>David Karpinski</cp:lastModifiedBy>
  <cp:revision/>
  <cp:lastPrinted>2024-07-30T13:43:46Z</cp:lastPrinted>
  <dcterms:created xsi:type="dcterms:W3CDTF">2013-06-09T12:47:33Z</dcterms:created>
  <dcterms:modified xsi:type="dcterms:W3CDTF">2026-05-18T21:07:24Z</dcterms:modified>
  <cp:category/>
  <cp:contentStatus/>
</cp:coreProperties>
</file>